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C:\Users\rajan.tripathi\Desktop\AI FORWARD DEPLOYED ENGINEER\roadmap by fde\"/>
    </mc:Choice>
  </mc:AlternateContent>
  <xr:revisionPtr revIDLastSave="0" documentId="8_{96DB37BB-EBB7-4BA8-ABB1-BE40B91D9B4A}" xr6:coauthVersionLast="47" xr6:coauthVersionMax="47" xr10:uidLastSave="{00000000-0000-0000-0000-000000000000}"/>
  <bookViews>
    <workbookView xWindow="2280" yWindow="2280" windowWidth="14400" windowHeight="8170" xr2:uid="{71D13C46-0AE2-4AD1-BE2F-99BA96AFD057}"/>
  </bookViews>
  <sheets>
    <sheet name="Read Me" sheetId="8" r:id="rId1"/>
    <sheet name="Settings" sheetId="7" r:id="rId2"/>
    <sheet name="Dashboard" sheetId="6" r:id="rId3"/>
    <sheet name="Schedule" sheetId="5" r:id="rId4"/>
    <sheet name="Weekly Timeline" sheetId="4" r:id="rId5"/>
    <sheet name="Topic Map" sheetId="3" r:id="rId6"/>
    <sheet name="Holidays" sheetId="2" r:id="rId7"/>
    <sheet name="Practice Log" sheetId="1" r:id="rId8"/>
  </sheets>
  <definedNames>
    <definedName name="_xlnm._FilterDatabase" localSheetId="7" hidden="1">'Practice Log'!$A$1:$I$201</definedName>
    <definedName name="_xlnm._FilterDatabase" localSheetId="3" hidden="1">Schedule!$A$1:$T$49</definedName>
    <definedName name="_xlnm._FilterDatabase" localSheetId="5" hidden="1">'Topic Map'!$A$1:$G$95</definedName>
  </definedNames>
  <calcPr calcId="191029" forceFullCal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warnBelowVersion="2" setVersion="2"/>
    </ext>
  </extLst>
</workbook>
</file>

<file path=xl/calcChain.xml><?xml version="1.0" encoding="utf-8"?>
<calcChain xmlns="http://schemas.openxmlformats.org/spreadsheetml/2006/main">
  <c r="F2" i="5" l="1"/>
  <c r="F3" i="5"/>
  <c r="F4" i="5"/>
  <c r="F5" i="5"/>
  <c r="F6" i="5"/>
  <c r="F7" i="5"/>
  <c r="F8" i="5"/>
  <c r="F9" i="5"/>
  <c r="F10" i="5"/>
  <c r="F11" i="5"/>
  <c r="F12" i="5"/>
  <c r="F13" i="5"/>
  <c r="F14" i="5"/>
  <c r="F15" i="5"/>
  <c r="F16" i="5"/>
  <c r="F17" i="5"/>
  <c r="F18" i="5"/>
  <c r="F19" i="5"/>
  <c r="F20" i="5"/>
  <c r="F21" i="5"/>
  <c r="F22" i="5"/>
  <c r="F23" i="5"/>
  <c r="F24" i="5"/>
  <c r="F25" i="5"/>
  <c r="F26" i="5"/>
  <c r="F27" i="5"/>
  <c r="F28" i="5"/>
  <c r="F29" i="5"/>
  <c r="F30" i="5"/>
  <c r="F31" i="5"/>
  <c r="F32" i="5"/>
  <c r="F33" i="5"/>
  <c r="F34" i="5"/>
  <c r="F35" i="5"/>
  <c r="F36" i="5"/>
  <c r="F37" i="5"/>
  <c r="F38" i="5"/>
  <c r="F39" i="5"/>
  <c r="F40" i="5"/>
  <c r="F41" i="5"/>
  <c r="F42" i="5"/>
  <c r="F43" i="5"/>
  <c r="F44" i="5"/>
  <c r="F45" i="5"/>
  <c r="F46" i="5"/>
  <c r="F47" i="5"/>
  <c r="F48" i="5"/>
  <c r="F49" i="5"/>
  <c r="D3" i="5"/>
  <c r="B7" i="7"/>
  <c r="B3" i="7"/>
  <c r="H201" i="1"/>
  <c r="H200" i="1"/>
  <c r="H199" i="1"/>
  <c r="H198" i="1"/>
  <c r="H197" i="1"/>
  <c r="H196" i="1"/>
  <c r="H195" i="1"/>
  <c r="H194" i="1"/>
  <c r="H193" i="1"/>
  <c r="H192" i="1"/>
  <c r="H191" i="1"/>
  <c r="H190" i="1"/>
  <c r="H189" i="1"/>
  <c r="H188" i="1"/>
  <c r="H187" i="1"/>
  <c r="H186" i="1"/>
  <c r="H185" i="1"/>
  <c r="H184" i="1"/>
  <c r="H183" i="1"/>
  <c r="H182" i="1"/>
  <c r="H181" i="1"/>
  <c r="H180" i="1"/>
  <c r="H179" i="1"/>
  <c r="H178" i="1"/>
  <c r="H177" i="1"/>
  <c r="H176" i="1"/>
  <c r="H175" i="1"/>
  <c r="H174" i="1"/>
  <c r="H173" i="1"/>
  <c r="H172" i="1"/>
  <c r="H171" i="1"/>
  <c r="H170" i="1"/>
  <c r="H169" i="1"/>
  <c r="H168" i="1"/>
  <c r="H167" i="1"/>
  <c r="H166" i="1"/>
  <c r="H165" i="1"/>
  <c r="H164" i="1"/>
  <c r="H163" i="1"/>
  <c r="H162" i="1"/>
  <c r="H161" i="1"/>
  <c r="H160" i="1"/>
  <c r="H159" i="1"/>
  <c r="H158" i="1"/>
  <c r="H157" i="1"/>
  <c r="H156" i="1"/>
  <c r="H155" i="1"/>
  <c r="H154" i="1"/>
  <c r="H153" i="1"/>
  <c r="H152" i="1"/>
  <c r="H151" i="1"/>
  <c r="H150" i="1"/>
  <c r="H149" i="1"/>
  <c r="H148" i="1"/>
  <c r="H147" i="1"/>
  <c r="H146" i="1"/>
  <c r="H145" i="1"/>
  <c r="H144" i="1"/>
  <c r="H143" i="1"/>
  <c r="H142" i="1"/>
  <c r="H141" i="1"/>
  <c r="H140" i="1"/>
  <c r="H139" i="1"/>
  <c r="H138" i="1"/>
  <c r="H137" i="1"/>
  <c r="H136" i="1"/>
  <c r="H135" i="1"/>
  <c r="H134" i="1"/>
  <c r="H133" i="1"/>
  <c r="H132" i="1"/>
  <c r="H131" i="1"/>
  <c r="H130" i="1"/>
  <c r="H129" i="1"/>
  <c r="H128" i="1"/>
  <c r="H127" i="1"/>
  <c r="H126" i="1"/>
  <c r="H125" i="1"/>
  <c r="H124" i="1"/>
  <c r="H123" i="1"/>
  <c r="H122" i="1"/>
  <c r="H121" i="1"/>
  <c r="H120" i="1"/>
  <c r="H119" i="1"/>
  <c r="H118" i="1"/>
  <c r="H117" i="1"/>
  <c r="H116" i="1"/>
  <c r="H115" i="1"/>
  <c r="H114" i="1"/>
  <c r="H113" i="1"/>
  <c r="H112" i="1"/>
  <c r="H111" i="1"/>
  <c r="H110" i="1"/>
  <c r="H109" i="1"/>
  <c r="H108" i="1"/>
  <c r="H107" i="1"/>
  <c r="H106" i="1"/>
  <c r="H105" i="1"/>
  <c r="H104" i="1"/>
  <c r="H103" i="1"/>
  <c r="H102" i="1"/>
  <c r="H101" i="1"/>
  <c r="H100" i="1"/>
  <c r="H99" i="1"/>
  <c r="H98" i="1"/>
  <c r="H97" i="1"/>
  <c r="H96" i="1"/>
  <c r="H95" i="1"/>
  <c r="H94" i="1"/>
  <c r="H93" i="1"/>
  <c r="H92" i="1"/>
  <c r="H91" i="1"/>
  <c r="H90" i="1"/>
  <c r="H89" i="1"/>
  <c r="H88" i="1"/>
  <c r="H87" i="1"/>
  <c r="H86" i="1"/>
  <c r="H85" i="1"/>
  <c r="H84" i="1"/>
  <c r="H83" i="1"/>
  <c r="H82" i="1"/>
  <c r="H81" i="1"/>
  <c r="H80" i="1"/>
  <c r="H79" i="1"/>
  <c r="H78" i="1"/>
  <c r="H77" i="1"/>
  <c r="H76" i="1"/>
  <c r="H75" i="1"/>
  <c r="H74" i="1"/>
  <c r="H73" i="1"/>
  <c r="H72" i="1"/>
  <c r="H71" i="1"/>
  <c r="H70" i="1"/>
  <c r="H69" i="1"/>
  <c r="H68" i="1"/>
  <c r="H67" i="1"/>
  <c r="H66" i="1"/>
  <c r="H65" i="1"/>
  <c r="H64" i="1"/>
  <c r="H63" i="1"/>
  <c r="H62" i="1"/>
  <c r="H61" i="1"/>
  <c r="H60" i="1"/>
  <c r="H59" i="1"/>
  <c r="H58" i="1"/>
  <c r="H57" i="1"/>
  <c r="H56" i="1"/>
  <c r="H55" i="1"/>
  <c r="H54" i="1"/>
  <c r="H53" i="1"/>
  <c r="H52" i="1"/>
  <c r="H51" i="1"/>
  <c r="H50" i="1"/>
  <c r="H49" i="1"/>
  <c r="H48" i="1"/>
  <c r="H47" i="1"/>
  <c r="H46" i="1"/>
  <c r="H45" i="1"/>
  <c r="H44" i="1"/>
  <c r="H43" i="1"/>
  <c r="H42" i="1"/>
  <c r="H41" i="1"/>
  <c r="H40" i="1"/>
  <c r="H39" i="1"/>
  <c r="H38" i="1"/>
  <c r="H37" i="1"/>
  <c r="H36" i="1"/>
  <c r="H35" i="1"/>
  <c r="H34" i="1"/>
  <c r="H33" i="1"/>
  <c r="H32" i="1"/>
  <c r="H31" i="1"/>
  <c r="H30" i="1"/>
  <c r="H29" i="1"/>
  <c r="H28" i="1"/>
  <c r="H27" i="1"/>
  <c r="H26" i="1"/>
  <c r="H25" i="1"/>
  <c r="H24" i="1"/>
  <c r="H23" i="1"/>
  <c r="H22" i="1"/>
  <c r="H21" i="1"/>
  <c r="H20" i="1"/>
  <c r="H19" i="1"/>
  <c r="H18" i="1"/>
  <c r="H17" i="1"/>
  <c r="H16" i="1"/>
  <c r="H15" i="1"/>
  <c r="H14" i="1"/>
  <c r="H13" i="1"/>
  <c r="H12" i="1"/>
  <c r="H11" i="1"/>
  <c r="H10" i="1"/>
  <c r="H9" i="1"/>
  <c r="H8" i="1"/>
  <c r="H7" i="1"/>
  <c r="H6" i="1"/>
  <c r="H5" i="1"/>
  <c r="H4" i="1"/>
  <c r="H3" i="1"/>
  <c r="H2" i="1"/>
  <c r="B49" i="4"/>
  <c r="A49" i="4"/>
  <c r="B48" i="4"/>
  <c r="A48" i="4"/>
  <c r="B47" i="4"/>
  <c r="A47" i="4"/>
  <c r="B46" i="4"/>
  <c r="A46" i="4"/>
  <c r="B45" i="4"/>
  <c r="A45" i="4"/>
  <c r="B44" i="4"/>
  <c r="A44" i="4"/>
  <c r="B43" i="4"/>
  <c r="A43" i="4"/>
  <c r="B42" i="4"/>
  <c r="A42" i="4"/>
  <c r="B41" i="4"/>
  <c r="A41" i="4"/>
  <c r="B40" i="4"/>
  <c r="A40" i="4"/>
  <c r="B39" i="4"/>
  <c r="A39" i="4"/>
  <c r="B38" i="4"/>
  <c r="A38" i="4"/>
  <c r="B37" i="4"/>
  <c r="A37" i="4"/>
  <c r="B36" i="4"/>
  <c r="A36" i="4"/>
  <c r="B35" i="4"/>
  <c r="A35" i="4"/>
  <c r="B34" i="4"/>
  <c r="A34" i="4"/>
  <c r="B33" i="4"/>
  <c r="A33" i="4"/>
  <c r="B32" i="4"/>
  <c r="A32" i="4"/>
  <c r="B31" i="4"/>
  <c r="A31" i="4"/>
  <c r="B30" i="4"/>
  <c r="A30" i="4"/>
  <c r="B29" i="4"/>
  <c r="A29" i="4"/>
  <c r="B28" i="4"/>
  <c r="A28" i="4"/>
  <c r="B27" i="4"/>
  <c r="A27" i="4"/>
  <c r="B26" i="4"/>
  <c r="A26" i="4"/>
  <c r="B25" i="4"/>
  <c r="A25" i="4"/>
  <c r="B24" i="4"/>
  <c r="A24" i="4"/>
  <c r="B23" i="4"/>
  <c r="A23" i="4"/>
  <c r="B22" i="4"/>
  <c r="A22" i="4"/>
  <c r="B21" i="4"/>
  <c r="A21" i="4"/>
  <c r="B20" i="4"/>
  <c r="A20" i="4"/>
  <c r="B19" i="4"/>
  <c r="A19" i="4"/>
  <c r="B18" i="4"/>
  <c r="A18" i="4"/>
  <c r="B17" i="4"/>
  <c r="A17" i="4"/>
  <c r="B16" i="4"/>
  <c r="A16" i="4"/>
  <c r="B15" i="4"/>
  <c r="A15" i="4"/>
  <c r="B14" i="4"/>
  <c r="A14" i="4"/>
  <c r="B13" i="4"/>
  <c r="A13" i="4"/>
  <c r="B12" i="4"/>
  <c r="A12" i="4"/>
  <c r="B11" i="4"/>
  <c r="A11" i="4"/>
  <c r="B10" i="4"/>
  <c r="A10" i="4"/>
  <c r="B9" i="4"/>
  <c r="A9" i="4"/>
  <c r="B8" i="4"/>
  <c r="A8" i="4"/>
  <c r="B7" i="4"/>
  <c r="A7" i="4"/>
  <c r="B6" i="4"/>
  <c r="A6" i="4"/>
  <c r="B5" i="4"/>
  <c r="A5" i="4"/>
  <c r="B4" i="4"/>
  <c r="A4" i="4"/>
  <c r="B3" i="4"/>
  <c r="A3" i="4"/>
  <c r="B2" i="4"/>
  <c r="A2" i="4"/>
  <c r="A21" i="6"/>
  <c r="A20" i="6"/>
  <c r="A19" i="6"/>
  <c r="A18" i="6"/>
  <c r="A17" i="6"/>
  <c r="D2" i="5"/>
  <c r="E2" i="5"/>
  <c r="E3" i="5"/>
  <c r="D4" i="5"/>
  <c r="E4" i="5"/>
  <c r="D5" i="5"/>
  <c r="E5" i="5"/>
  <c r="D6" i="5"/>
  <c r="E6" i="5"/>
  <c r="D7" i="5"/>
  <c r="E7" i="5"/>
  <c r="D8" i="5"/>
  <c r="E8" i="5"/>
  <c r="D9" i="5"/>
  <c r="E9" i="5"/>
  <c r="D10" i="5"/>
  <c r="E10" i="5"/>
  <c r="D11" i="5"/>
  <c r="E11" i="5"/>
  <c r="D12" i="5"/>
  <c r="E12" i="5"/>
  <c r="D13" i="5"/>
  <c r="E13" i="5"/>
  <c r="D14" i="5"/>
  <c r="E14" i="5"/>
  <c r="D15" i="5"/>
  <c r="E15" i="5"/>
  <c r="D16" i="5"/>
  <c r="E16" i="5"/>
  <c r="D17" i="5"/>
  <c r="E17" i="5"/>
  <c r="D18" i="5"/>
  <c r="E18" i="5"/>
  <c r="D19" i="5"/>
  <c r="E19" i="5"/>
  <c r="D20" i="5"/>
  <c r="E20" i="5"/>
  <c r="D21" i="5"/>
  <c r="E7" i="3" s="1"/>
  <c r="E21" i="5"/>
  <c r="D22" i="5"/>
  <c r="E22" i="5"/>
  <c r="D23" i="5"/>
  <c r="E23" i="5"/>
  <c r="D24" i="5"/>
  <c r="E24" i="5"/>
  <c r="D25" i="5"/>
  <c r="E25" i="5"/>
  <c r="D26" i="5"/>
  <c r="E26" i="5"/>
  <c r="D27" i="5"/>
  <c r="E27" i="5"/>
  <c r="D28" i="5"/>
  <c r="E28" i="5"/>
  <c r="D29" i="5"/>
  <c r="E29" i="5"/>
  <c r="D30" i="5"/>
  <c r="E30" i="5"/>
  <c r="D31" i="5"/>
  <c r="E31" i="5"/>
  <c r="D32" i="5"/>
  <c r="E32" i="5"/>
  <c r="D33" i="5"/>
  <c r="E33" i="5"/>
  <c r="D34" i="5"/>
  <c r="E34" i="5"/>
  <c r="D35" i="5"/>
  <c r="E35" i="5"/>
  <c r="D36" i="5"/>
  <c r="E36" i="5"/>
  <c r="D37" i="5"/>
  <c r="E37" i="5"/>
  <c r="D38" i="5"/>
  <c r="E38" i="5"/>
  <c r="D39" i="5"/>
  <c r="E39" i="5"/>
  <c r="D40" i="5"/>
  <c r="E40" i="5"/>
  <c r="D41" i="5"/>
  <c r="E9" i="3" s="1"/>
  <c r="E41" i="5"/>
  <c r="D42" i="5"/>
  <c r="E8" i="3" s="1"/>
  <c r="E42" i="5"/>
  <c r="D43" i="5"/>
  <c r="E43" i="5"/>
  <c r="D44" i="5"/>
  <c r="E44" i="5"/>
  <c r="D45" i="5"/>
  <c r="E45" i="5"/>
  <c r="D46" i="5"/>
  <c r="E46" i="5"/>
  <c r="D47" i="5"/>
  <c r="E47" i="5"/>
  <c r="D48" i="5"/>
  <c r="E48" i="5"/>
  <c r="D49" i="5"/>
  <c r="E49" i="5"/>
  <c r="B13" i="7"/>
  <c r="B9" i="7"/>
  <c r="B8" i="7"/>
  <c r="B6" i="7"/>
  <c r="B5" i="7"/>
  <c r="B2" i="7"/>
  <c r="B14" i="7" l="1"/>
  <c r="B15" i="7" s="1"/>
  <c r="E10" i="3"/>
  <c r="E3" i="3"/>
  <c r="E5" i="3"/>
  <c r="E2" i="3"/>
  <c r="E4" i="3"/>
  <c r="E6" i="3"/>
  <c r="B3" i="6"/>
  <c r="B5" i="6"/>
  <c r="E11" i="3"/>
  <c r="K2" i="5"/>
  <c r="E13" i="3"/>
  <c r="E12" i="3"/>
  <c r="K3" i="5"/>
  <c r="E21" i="3"/>
  <c r="K4" i="5"/>
  <c r="E20" i="3"/>
  <c r="K5" i="5"/>
  <c r="K6" i="5"/>
  <c r="E32" i="3"/>
  <c r="E27" i="3"/>
  <c r="E29" i="3"/>
  <c r="K7" i="5"/>
  <c r="E35" i="3"/>
  <c r="E30" i="3"/>
  <c r="E23" i="3"/>
  <c r="K8" i="5"/>
  <c r="E25" i="3"/>
  <c r="E14" i="3"/>
  <c r="E22" i="3"/>
  <c r="E24" i="3"/>
  <c r="E26" i="3"/>
  <c r="K9" i="5"/>
  <c r="E37" i="3"/>
  <c r="E36" i="3"/>
  <c r="E34" i="3"/>
  <c r="K10" i="5"/>
  <c r="K11" i="5"/>
  <c r="K12" i="5"/>
  <c r="K13" i="5"/>
  <c r="K14" i="5"/>
  <c r="K15" i="5"/>
  <c r="E41" i="3"/>
  <c r="K16" i="5"/>
  <c r="E46" i="3"/>
  <c r="E40" i="3"/>
  <c r="K17" i="5"/>
  <c r="E47" i="3"/>
  <c r="E42" i="3"/>
  <c r="E43" i="3"/>
  <c r="K18" i="5"/>
  <c r="E45" i="3"/>
  <c r="E44" i="3"/>
  <c r="E73" i="3"/>
  <c r="K19" i="5"/>
  <c r="E77" i="3"/>
  <c r="E80" i="3"/>
  <c r="E79" i="3"/>
  <c r="E78" i="3"/>
  <c r="K20" i="5"/>
  <c r="K21" i="5"/>
  <c r="E61" i="3"/>
  <c r="E50" i="3"/>
  <c r="E51" i="3"/>
  <c r="E52" i="3"/>
  <c r="E62" i="3"/>
  <c r="E49" i="3"/>
  <c r="E48" i="3"/>
  <c r="K22" i="5"/>
  <c r="E53" i="3"/>
  <c r="E74" i="3"/>
  <c r="K23" i="5"/>
  <c r="E54" i="3"/>
  <c r="K24" i="5"/>
  <c r="E63" i="3"/>
  <c r="E64" i="3"/>
  <c r="E68" i="3"/>
  <c r="E69" i="3"/>
  <c r="E67" i="3"/>
  <c r="E71" i="3"/>
  <c r="K25" i="5"/>
  <c r="E75" i="3"/>
  <c r="K26" i="5"/>
  <c r="E72" i="3"/>
  <c r="E76" i="3"/>
  <c r="K27" i="5"/>
  <c r="E19" i="3"/>
  <c r="K28" i="5"/>
  <c r="K29" i="5"/>
  <c r="K30" i="5"/>
  <c r="K31" i="5"/>
  <c r="K32" i="5"/>
  <c r="K33" i="5"/>
  <c r="E91" i="3"/>
  <c r="K34" i="5"/>
  <c r="E83" i="3"/>
  <c r="E90" i="3"/>
  <c r="E93" i="3"/>
  <c r="K35" i="5"/>
  <c r="E84" i="3"/>
  <c r="E85" i="3"/>
  <c r="E86" i="3"/>
  <c r="K36" i="5"/>
  <c r="E81" i="3"/>
  <c r="E82" i="3"/>
  <c r="K37" i="5"/>
  <c r="K38" i="5"/>
  <c r="K39" i="5"/>
  <c r="K40" i="5"/>
  <c r="K41" i="5"/>
  <c r="E87" i="3"/>
  <c r="E88" i="3"/>
  <c r="K42" i="5"/>
  <c r="E94" i="3"/>
  <c r="E92" i="3"/>
  <c r="E89" i="3"/>
  <c r="E95" i="3"/>
  <c r="K43" i="5"/>
  <c r="K44" i="5"/>
  <c r="M44" i="5"/>
  <c r="E15" i="3"/>
  <c r="E16" i="3"/>
  <c r="E17" i="3"/>
  <c r="E18" i="3"/>
  <c r="M45" i="5"/>
  <c r="K45" i="5"/>
  <c r="E65" i="3"/>
  <c r="E66" i="3"/>
  <c r="E38" i="3"/>
  <c r="K46" i="5"/>
  <c r="M46" i="5"/>
  <c r="E39" i="3"/>
  <c r="M47" i="5"/>
  <c r="K47" i="5"/>
  <c r="E70" i="3"/>
  <c r="M48" i="5"/>
  <c r="K48" i="5"/>
  <c r="E28" i="3"/>
  <c r="E31" i="3"/>
  <c r="E33" i="3"/>
  <c r="K49" i="5"/>
  <c r="M49" i="5"/>
  <c r="E59" i="3"/>
  <c r="E55" i="3"/>
  <c r="E56" i="3"/>
  <c r="E57" i="3"/>
  <c r="E58" i="3"/>
  <c r="E60" i="3"/>
  <c r="BX1" i="4"/>
  <c r="BY1" i="4"/>
  <c r="BZ1" i="4"/>
  <c r="CA1" i="4"/>
  <c r="CB1" i="4"/>
  <c r="CC1" i="4"/>
  <c r="CD1" i="4"/>
  <c r="CE1" i="4"/>
  <c r="CF1" i="4"/>
  <c r="CG1" i="4"/>
  <c r="CH1" i="4"/>
  <c r="CI1" i="4"/>
  <c r="CJ1" i="4"/>
  <c r="CK1" i="4"/>
  <c r="CL1" i="4"/>
  <c r="CM1" i="4"/>
  <c r="CN1" i="4"/>
  <c r="CO1" i="4"/>
  <c r="CP1" i="4"/>
  <c r="CQ1" i="4"/>
  <c r="CR1" i="4"/>
  <c r="CS1" i="4"/>
  <c r="CT1" i="4"/>
  <c r="CU1" i="4"/>
  <c r="CV1" i="4"/>
  <c r="CW1" i="4"/>
  <c r="CX1" i="4"/>
  <c r="CY1" i="4"/>
  <c r="CZ1" i="4"/>
  <c r="DA1" i="4"/>
  <c r="DB1" i="4"/>
  <c r="DC1" i="4"/>
  <c r="DD1" i="4"/>
  <c r="AQ1" i="4"/>
  <c r="AP1" i="4"/>
  <c r="AO1" i="4"/>
  <c r="AS1" i="4"/>
  <c r="BQ1" i="4"/>
  <c r="AN1" i="4"/>
  <c r="AM1" i="4"/>
  <c r="AL1" i="4"/>
  <c r="AK1" i="4"/>
  <c r="AJ1" i="4"/>
  <c r="AI1" i="4"/>
  <c r="AH1" i="4"/>
  <c r="AG1" i="4"/>
  <c r="AF1" i="4"/>
  <c r="AE1" i="4"/>
  <c r="AD1" i="4"/>
  <c r="AC1" i="4"/>
  <c r="AB1" i="4"/>
  <c r="AA1" i="4"/>
  <c r="Z1" i="4"/>
  <c r="Y1" i="4"/>
  <c r="X1" i="4"/>
  <c r="W1" i="4"/>
  <c r="V1" i="4"/>
  <c r="U1" i="4"/>
  <c r="T1" i="4"/>
  <c r="S1" i="4"/>
  <c r="R1" i="4"/>
  <c r="Q1" i="4"/>
  <c r="P1" i="4"/>
  <c r="O1" i="4"/>
  <c r="N1" i="4"/>
  <c r="M1" i="4"/>
  <c r="L1" i="4"/>
  <c r="K1" i="4"/>
  <c r="AR1" i="4"/>
  <c r="J1" i="4"/>
  <c r="I1" i="4"/>
  <c r="H1" i="4"/>
  <c r="BA1" i="4"/>
  <c r="F1" i="4"/>
  <c r="E1" i="4"/>
  <c r="BB1" i="4"/>
  <c r="BC1" i="4"/>
  <c r="BD1" i="4"/>
  <c r="BE1" i="4"/>
  <c r="BF1" i="4"/>
  <c r="BG1" i="4"/>
  <c r="BH1" i="4"/>
  <c r="BI1" i="4"/>
  <c r="BJ1" i="4"/>
  <c r="BK1" i="4"/>
  <c r="BL1" i="4"/>
  <c r="BM1" i="4"/>
  <c r="AT1" i="4"/>
  <c r="BN1" i="4"/>
  <c r="BO1" i="4"/>
  <c r="BP1" i="4"/>
  <c r="BR1" i="4"/>
  <c r="BS1" i="4"/>
  <c r="BT1" i="4"/>
  <c r="BU1" i="4"/>
  <c r="BV1" i="4"/>
  <c r="BW1" i="4"/>
  <c r="AU1" i="4"/>
  <c r="AV1" i="4"/>
  <c r="AW1" i="4"/>
  <c r="AX1" i="4"/>
  <c r="AY1" i="4"/>
  <c r="AZ1" i="4"/>
  <c r="G1" i="4"/>
  <c r="P44" i="5" l="1"/>
  <c r="C44" i="4" s="1"/>
  <c r="R44" i="5"/>
  <c r="F15" i="3"/>
  <c r="F16" i="3"/>
  <c r="F17" i="3"/>
  <c r="F18" i="3"/>
  <c r="Q44" i="5"/>
  <c r="D44" i="4" s="1"/>
  <c r="R45" i="5"/>
  <c r="Q45" i="5"/>
  <c r="D45" i="4" s="1"/>
  <c r="P45" i="5"/>
  <c r="C45" i="4" s="1"/>
  <c r="F65" i="3"/>
  <c r="F66" i="3"/>
  <c r="F38" i="3"/>
  <c r="F39" i="3"/>
  <c r="P46" i="5"/>
  <c r="C46" i="4" s="1"/>
  <c r="Q46" i="5"/>
  <c r="D46" i="4" s="1"/>
  <c r="R46" i="5"/>
  <c r="P47" i="5"/>
  <c r="C47" i="4" s="1"/>
  <c r="Q47" i="5"/>
  <c r="D47" i="4" s="1"/>
  <c r="R47" i="5"/>
  <c r="F70" i="3"/>
  <c r="P48" i="5"/>
  <c r="C48" i="4" s="1"/>
  <c r="Q48" i="5"/>
  <c r="D48" i="4" s="1"/>
  <c r="R48" i="5"/>
  <c r="F28" i="3"/>
  <c r="F31" i="3"/>
  <c r="F33" i="3"/>
  <c r="P49" i="5"/>
  <c r="C49" i="4" s="1"/>
  <c r="Q49" i="5"/>
  <c r="D49" i="4" s="1"/>
  <c r="R49" i="5"/>
  <c r="F55" i="3"/>
  <c r="F56" i="3"/>
  <c r="F57" i="3"/>
  <c r="F58" i="3"/>
  <c r="F59" i="3"/>
  <c r="F60" i="3"/>
  <c r="B12" i="7"/>
  <c r="B10" i="7"/>
  <c r="B11" i="7"/>
  <c r="B4" i="6"/>
  <c r="DD44" i="4" l="1"/>
  <c r="DC44" i="4"/>
  <c r="DB44" i="4"/>
  <c r="DA44" i="4"/>
  <c r="CZ44" i="4"/>
  <c r="CY44" i="4"/>
  <c r="CX44" i="4"/>
  <c r="CW44" i="4"/>
  <c r="CV44" i="4"/>
  <c r="CU44" i="4"/>
  <c r="CT44" i="4"/>
  <c r="CS44" i="4"/>
  <c r="CR44" i="4"/>
  <c r="CQ44" i="4"/>
  <c r="CP44" i="4"/>
  <c r="CO44" i="4"/>
  <c r="CN44" i="4"/>
  <c r="CM44" i="4"/>
  <c r="CL44" i="4"/>
  <c r="CK44" i="4"/>
  <c r="CJ44" i="4"/>
  <c r="CI44" i="4"/>
  <c r="CH44" i="4"/>
  <c r="CG44" i="4"/>
  <c r="CF44" i="4"/>
  <c r="CE44" i="4"/>
  <c r="CD44" i="4"/>
  <c r="CC44" i="4"/>
  <c r="CB44" i="4"/>
  <c r="CA44" i="4"/>
  <c r="BZ44" i="4"/>
  <c r="BY44" i="4"/>
  <c r="BX44" i="4"/>
  <c r="BW44" i="4"/>
  <c r="BV44" i="4"/>
  <c r="BU44" i="4"/>
  <c r="BT44" i="4"/>
  <c r="BS44" i="4"/>
  <c r="BR44" i="4"/>
  <c r="BQ44" i="4"/>
  <c r="BP44" i="4"/>
  <c r="BO44" i="4"/>
  <c r="BN44" i="4"/>
  <c r="BM44" i="4"/>
  <c r="BL44" i="4"/>
  <c r="BK44" i="4"/>
  <c r="BJ44" i="4"/>
  <c r="BI44" i="4"/>
  <c r="BH44" i="4"/>
  <c r="BG44" i="4"/>
  <c r="BF44" i="4"/>
  <c r="BE44" i="4"/>
  <c r="BD44" i="4"/>
  <c r="BC44" i="4"/>
  <c r="BB44" i="4"/>
  <c r="BA44" i="4"/>
  <c r="AZ44" i="4"/>
  <c r="AY44" i="4"/>
  <c r="AX44" i="4"/>
  <c r="AW44" i="4"/>
  <c r="AV44" i="4"/>
  <c r="AU44" i="4"/>
  <c r="AT44" i="4"/>
  <c r="AS44" i="4"/>
  <c r="AR44" i="4"/>
  <c r="AQ44" i="4"/>
  <c r="AP44" i="4"/>
  <c r="AO44" i="4"/>
  <c r="AN44" i="4"/>
  <c r="AM44" i="4"/>
  <c r="AL44" i="4"/>
  <c r="AK44" i="4"/>
  <c r="AJ44" i="4"/>
  <c r="AI44" i="4"/>
  <c r="AH44" i="4"/>
  <c r="AG44" i="4"/>
  <c r="AF44" i="4"/>
  <c r="AE44" i="4"/>
  <c r="AD44" i="4"/>
  <c r="AC44" i="4"/>
  <c r="AB44" i="4"/>
  <c r="AA44" i="4"/>
  <c r="Z44" i="4"/>
  <c r="Y44" i="4"/>
  <c r="X44" i="4"/>
  <c r="W44" i="4"/>
  <c r="V44" i="4"/>
  <c r="U44" i="4"/>
  <c r="T44" i="4"/>
  <c r="S44" i="4"/>
  <c r="R44" i="4"/>
  <c r="Q44" i="4"/>
  <c r="P44" i="4"/>
  <c r="O44" i="4"/>
  <c r="N44" i="4"/>
  <c r="M44" i="4"/>
  <c r="L44" i="4"/>
  <c r="K44" i="4"/>
  <c r="J44" i="4"/>
  <c r="I44" i="4"/>
  <c r="H44" i="4"/>
  <c r="G44" i="4"/>
  <c r="F44" i="4"/>
  <c r="E44" i="4"/>
  <c r="DD45" i="4"/>
  <c r="DC45" i="4"/>
  <c r="DB45" i="4"/>
  <c r="DA45" i="4"/>
  <c r="CZ45" i="4"/>
  <c r="CY45" i="4"/>
  <c r="CX45" i="4"/>
  <c r="CW45" i="4"/>
  <c r="CV45" i="4"/>
  <c r="CU45" i="4"/>
  <c r="CT45" i="4"/>
  <c r="CS45" i="4"/>
  <c r="CR45" i="4"/>
  <c r="CQ45" i="4"/>
  <c r="CP45" i="4"/>
  <c r="CO45" i="4"/>
  <c r="CN45" i="4"/>
  <c r="CM45" i="4"/>
  <c r="CL45" i="4"/>
  <c r="CK45" i="4"/>
  <c r="CJ45" i="4"/>
  <c r="CI45" i="4"/>
  <c r="CH45" i="4"/>
  <c r="CG45" i="4"/>
  <c r="CF45" i="4"/>
  <c r="CE45" i="4"/>
  <c r="CD45" i="4"/>
  <c r="CC45" i="4"/>
  <c r="CB45" i="4"/>
  <c r="CA45" i="4"/>
  <c r="BZ45" i="4"/>
  <c r="BY45" i="4"/>
  <c r="BX45" i="4"/>
  <c r="BW45" i="4"/>
  <c r="BV45" i="4"/>
  <c r="BU45" i="4"/>
  <c r="BT45" i="4"/>
  <c r="BS45" i="4"/>
  <c r="BR45" i="4"/>
  <c r="BQ45" i="4"/>
  <c r="BP45" i="4"/>
  <c r="BO45" i="4"/>
  <c r="BN45" i="4"/>
  <c r="BM45" i="4"/>
  <c r="BL45" i="4"/>
  <c r="BK45" i="4"/>
  <c r="BJ45" i="4"/>
  <c r="BI45" i="4"/>
  <c r="BH45" i="4"/>
  <c r="BG45" i="4"/>
  <c r="BF45" i="4"/>
  <c r="BE45" i="4"/>
  <c r="BD45" i="4"/>
  <c r="BC45" i="4"/>
  <c r="BB45" i="4"/>
  <c r="BA45" i="4"/>
  <c r="AZ45" i="4"/>
  <c r="AY45" i="4"/>
  <c r="AX45" i="4"/>
  <c r="AW45" i="4"/>
  <c r="AV45" i="4"/>
  <c r="AU45" i="4"/>
  <c r="AT45" i="4"/>
  <c r="AS45" i="4"/>
  <c r="AR45" i="4"/>
  <c r="AQ45" i="4"/>
  <c r="AP45" i="4"/>
  <c r="AO45" i="4"/>
  <c r="AN45" i="4"/>
  <c r="AM45" i="4"/>
  <c r="AL45" i="4"/>
  <c r="AK45" i="4"/>
  <c r="AJ45" i="4"/>
  <c r="AI45" i="4"/>
  <c r="AH45" i="4"/>
  <c r="AG45" i="4"/>
  <c r="AF45" i="4"/>
  <c r="AE45" i="4"/>
  <c r="AD45" i="4"/>
  <c r="AC45" i="4"/>
  <c r="AB45" i="4"/>
  <c r="AA45" i="4"/>
  <c r="Z45" i="4"/>
  <c r="Y45" i="4"/>
  <c r="X45" i="4"/>
  <c r="W45" i="4"/>
  <c r="V45" i="4"/>
  <c r="U45" i="4"/>
  <c r="T45" i="4"/>
  <c r="S45" i="4"/>
  <c r="R45" i="4"/>
  <c r="Q45" i="4"/>
  <c r="P45" i="4"/>
  <c r="O45" i="4"/>
  <c r="N45" i="4"/>
  <c r="M45" i="4"/>
  <c r="L45" i="4"/>
  <c r="K45" i="4"/>
  <c r="J45" i="4"/>
  <c r="I45" i="4"/>
  <c r="H45" i="4"/>
  <c r="G45" i="4"/>
  <c r="F45" i="4"/>
  <c r="E45" i="4"/>
  <c r="CZ46" i="4"/>
  <c r="CU46" i="4"/>
  <c r="DC46" i="4"/>
  <c r="CY46" i="4"/>
  <c r="CT46" i="4"/>
  <c r="DB46" i="4"/>
  <c r="CX46" i="4"/>
  <c r="CS46" i="4"/>
  <c r="CP46" i="4"/>
  <c r="CN46" i="4"/>
  <c r="CM46" i="4"/>
  <c r="CL46" i="4"/>
  <c r="CK46" i="4"/>
  <c r="CJ46" i="4"/>
  <c r="CI46" i="4"/>
  <c r="CH46" i="4"/>
  <c r="CG46" i="4"/>
  <c r="CF46" i="4"/>
  <c r="CE46" i="4"/>
  <c r="CD46" i="4"/>
  <c r="CC46" i="4"/>
  <c r="CB46" i="4"/>
  <c r="CA46" i="4"/>
  <c r="BZ46" i="4"/>
  <c r="BY46" i="4"/>
  <c r="BX46" i="4"/>
  <c r="BW46" i="4"/>
  <c r="BV46" i="4"/>
  <c r="BU46" i="4"/>
  <c r="BT46" i="4"/>
  <c r="BS46" i="4"/>
  <c r="BR46" i="4"/>
  <c r="BQ46" i="4"/>
  <c r="BP46" i="4"/>
  <c r="BO46" i="4"/>
  <c r="BN46" i="4"/>
  <c r="BM46" i="4"/>
  <c r="BL46" i="4"/>
  <c r="BK46" i="4"/>
  <c r="BJ46" i="4"/>
  <c r="BI46" i="4"/>
  <c r="BH46" i="4"/>
  <c r="BG46" i="4"/>
  <c r="BF46" i="4"/>
  <c r="BE46" i="4"/>
  <c r="BD46" i="4"/>
  <c r="BC46" i="4"/>
  <c r="BB46" i="4"/>
  <c r="BA46" i="4"/>
  <c r="AZ46" i="4"/>
  <c r="AY46" i="4"/>
  <c r="AX46" i="4"/>
  <c r="AW46" i="4"/>
  <c r="AV46" i="4"/>
  <c r="AU46" i="4"/>
  <c r="AT46" i="4"/>
  <c r="AS46" i="4"/>
  <c r="AR46" i="4"/>
  <c r="AQ46" i="4"/>
  <c r="AP46" i="4"/>
  <c r="AO46" i="4"/>
  <c r="AN46" i="4"/>
  <c r="AM46" i="4"/>
  <c r="AL46" i="4"/>
  <c r="AK46" i="4"/>
  <c r="AJ46" i="4"/>
  <c r="AI46" i="4"/>
  <c r="AH46" i="4"/>
  <c r="AG46" i="4"/>
  <c r="AF46" i="4"/>
  <c r="AE46" i="4"/>
  <c r="AD46" i="4"/>
  <c r="AC46" i="4"/>
  <c r="AB46" i="4"/>
  <c r="AA46" i="4"/>
  <c r="Z46" i="4"/>
  <c r="Y46" i="4"/>
  <c r="X46" i="4"/>
  <c r="W46" i="4"/>
  <c r="V46" i="4"/>
  <c r="U46" i="4"/>
  <c r="T46" i="4"/>
  <c r="S46" i="4"/>
  <c r="R46" i="4"/>
  <c r="Q46" i="4"/>
  <c r="P46" i="4"/>
  <c r="O46" i="4"/>
  <c r="N46" i="4"/>
  <c r="M46" i="4"/>
  <c r="L46" i="4"/>
  <c r="K46" i="4"/>
  <c r="J46" i="4"/>
  <c r="I46" i="4"/>
  <c r="H46" i="4"/>
  <c r="G46" i="4"/>
  <c r="F46" i="4"/>
  <c r="E46" i="4"/>
  <c r="DA46" i="4"/>
  <c r="CW46" i="4"/>
  <c r="CR46" i="4"/>
  <c r="DD46" i="4"/>
  <c r="CV46" i="4"/>
  <c r="CQ46" i="4"/>
  <c r="CO46" i="4"/>
  <c r="CF47" i="4"/>
  <c r="CA47" i="4"/>
  <c r="BX47" i="4"/>
  <c r="BT47" i="4"/>
  <c r="BL47" i="4"/>
  <c r="AU47" i="4"/>
  <c r="AR47" i="4"/>
  <c r="AN47" i="4"/>
  <c r="AK47" i="4"/>
  <c r="AG47" i="4"/>
  <c r="AD47" i="4"/>
  <c r="R47" i="4"/>
  <c r="L47" i="4"/>
  <c r="H47" i="4"/>
  <c r="CK47" i="4"/>
  <c r="CH47" i="4"/>
  <c r="CD47" i="4"/>
  <c r="BZ47" i="4"/>
  <c r="BS47" i="4"/>
  <c r="BO47" i="4"/>
  <c r="BK47" i="4"/>
  <c r="BH47" i="4"/>
  <c r="BE47" i="4"/>
  <c r="BB47" i="4"/>
  <c r="AZ47" i="4"/>
  <c r="AW47" i="4"/>
  <c r="AQ47" i="4"/>
  <c r="AJ47" i="4"/>
  <c r="AE47" i="4"/>
  <c r="AA47" i="4"/>
  <c r="Y47" i="4"/>
  <c r="V47" i="4"/>
  <c r="S47" i="4"/>
  <c r="P47" i="4"/>
  <c r="G47" i="4"/>
  <c r="DD47" i="4"/>
  <c r="DC47" i="4"/>
  <c r="DB47" i="4"/>
  <c r="DA47" i="4"/>
  <c r="CZ47" i="4"/>
  <c r="CY47" i="4"/>
  <c r="CX47" i="4"/>
  <c r="CW47" i="4"/>
  <c r="CV47" i="4"/>
  <c r="CU47" i="4"/>
  <c r="CT47" i="4"/>
  <c r="CS47" i="4"/>
  <c r="CR47" i="4"/>
  <c r="CQ47" i="4"/>
  <c r="CP47" i="4"/>
  <c r="CO47" i="4"/>
  <c r="CN47" i="4"/>
  <c r="CG47" i="4"/>
  <c r="CC47" i="4"/>
  <c r="BY47" i="4"/>
  <c r="BV47" i="4"/>
  <c r="BQ47" i="4"/>
  <c r="BN47" i="4"/>
  <c r="BI47" i="4"/>
  <c r="BF47" i="4"/>
  <c r="AV47" i="4"/>
  <c r="AM47" i="4"/>
  <c r="AI47" i="4"/>
  <c r="AB47" i="4"/>
  <c r="X47" i="4"/>
  <c r="O47" i="4"/>
  <c r="K47" i="4"/>
  <c r="F47" i="4"/>
  <c r="CM47" i="4"/>
  <c r="CJ47" i="4"/>
  <c r="CB47" i="4"/>
  <c r="BU47" i="4"/>
  <c r="BP47" i="4"/>
  <c r="BM47" i="4"/>
  <c r="BG47" i="4"/>
  <c r="BD47" i="4"/>
  <c r="BA47" i="4"/>
  <c r="AY47" i="4"/>
  <c r="AT47" i="4"/>
  <c r="AP47" i="4"/>
  <c r="AH47" i="4"/>
  <c r="AC47" i="4"/>
  <c r="W47" i="4"/>
  <c r="T47" i="4"/>
  <c r="Q47" i="4"/>
  <c r="N47" i="4"/>
  <c r="I47" i="4"/>
  <c r="CL47" i="4"/>
  <c r="CI47" i="4"/>
  <c r="CE47" i="4"/>
  <c r="BW47" i="4"/>
  <c r="BR47" i="4"/>
  <c r="BJ47" i="4"/>
  <c r="BC47" i="4"/>
  <c r="AX47" i="4"/>
  <c r="AS47" i="4"/>
  <c r="AO47" i="4"/>
  <c r="AL47" i="4"/>
  <c r="AF47" i="4"/>
  <c r="Z47" i="4"/>
  <c r="U47" i="4"/>
  <c r="M47" i="4"/>
  <c r="J47" i="4"/>
  <c r="E47" i="4"/>
  <c r="DD48" i="4"/>
  <c r="DC48" i="4"/>
  <c r="DB48" i="4"/>
  <c r="DA48" i="4"/>
  <c r="CZ48" i="4"/>
  <c r="CY48" i="4"/>
  <c r="CX48" i="4"/>
  <c r="CW48" i="4"/>
  <c r="CV48" i="4"/>
  <c r="CU48" i="4"/>
  <c r="CT48" i="4"/>
  <c r="CS48" i="4"/>
  <c r="CR48" i="4"/>
  <c r="CQ48" i="4"/>
  <c r="CP48" i="4"/>
  <c r="CO48" i="4"/>
  <c r="CN48" i="4"/>
  <c r="CM48" i="4"/>
  <c r="CL48" i="4"/>
  <c r="CK48" i="4"/>
  <c r="CJ48" i="4"/>
  <c r="CI48" i="4"/>
  <c r="CH48" i="4"/>
  <c r="CG48" i="4"/>
  <c r="CF48" i="4"/>
  <c r="CE48" i="4"/>
  <c r="CD48" i="4"/>
  <c r="CC48" i="4"/>
  <c r="CB48" i="4"/>
  <c r="CA48" i="4"/>
  <c r="BZ48" i="4"/>
  <c r="BY48" i="4"/>
  <c r="BX48" i="4"/>
  <c r="BW48" i="4"/>
  <c r="BV48" i="4"/>
  <c r="BU48" i="4"/>
  <c r="BT48" i="4"/>
  <c r="BS48" i="4"/>
  <c r="BR48" i="4"/>
  <c r="BQ48" i="4"/>
  <c r="BP48" i="4"/>
  <c r="BO48" i="4"/>
  <c r="BN48" i="4"/>
  <c r="BM48" i="4"/>
  <c r="BL48" i="4"/>
  <c r="BK48" i="4"/>
  <c r="BJ48" i="4"/>
  <c r="BI48" i="4"/>
  <c r="BH48" i="4"/>
  <c r="BG48" i="4"/>
  <c r="BF48" i="4"/>
  <c r="BE48" i="4"/>
  <c r="BD48" i="4"/>
  <c r="BC48" i="4"/>
  <c r="BB48" i="4"/>
  <c r="BA48" i="4"/>
  <c r="AZ48" i="4"/>
  <c r="AY48" i="4"/>
  <c r="AX48" i="4"/>
  <c r="AW48" i="4"/>
  <c r="AV48" i="4"/>
  <c r="AU48" i="4"/>
  <c r="AT48" i="4"/>
  <c r="AS48" i="4"/>
  <c r="AR48" i="4"/>
  <c r="AQ48" i="4"/>
  <c r="AP48" i="4"/>
  <c r="AO48" i="4"/>
  <c r="AN48" i="4"/>
  <c r="AM48" i="4"/>
  <c r="AL48" i="4"/>
  <c r="AK48" i="4"/>
  <c r="AJ48" i="4"/>
  <c r="AI48" i="4"/>
  <c r="AH48" i="4"/>
  <c r="AG48" i="4"/>
  <c r="AF48" i="4"/>
  <c r="AE48" i="4"/>
  <c r="AD48" i="4"/>
  <c r="AC48" i="4"/>
  <c r="AB48" i="4"/>
  <c r="AA48" i="4"/>
  <c r="Z48" i="4"/>
  <c r="Y48" i="4"/>
  <c r="X48" i="4"/>
  <c r="W48" i="4"/>
  <c r="V48" i="4"/>
  <c r="U48" i="4"/>
  <c r="T48" i="4"/>
  <c r="S48" i="4"/>
  <c r="R48" i="4"/>
  <c r="Q48" i="4"/>
  <c r="P48" i="4"/>
  <c r="O48" i="4"/>
  <c r="N48" i="4"/>
  <c r="M48" i="4"/>
  <c r="L48" i="4"/>
  <c r="K48" i="4"/>
  <c r="J48" i="4"/>
  <c r="I48" i="4"/>
  <c r="H48" i="4"/>
  <c r="G48" i="4"/>
  <c r="F48" i="4"/>
  <c r="E48" i="4"/>
  <c r="DD49" i="4"/>
  <c r="DC49" i="4"/>
  <c r="DB49" i="4"/>
  <c r="DA49" i="4"/>
  <c r="CZ49" i="4"/>
  <c r="CY49" i="4"/>
  <c r="CX49" i="4"/>
  <c r="CW49" i="4"/>
  <c r="CV49" i="4"/>
  <c r="CU49" i="4"/>
  <c r="CT49" i="4"/>
  <c r="CS49" i="4"/>
  <c r="CR49" i="4"/>
  <c r="CQ49" i="4"/>
  <c r="CP49" i="4"/>
  <c r="CO49" i="4"/>
  <c r="CN49" i="4"/>
  <c r="CM49" i="4"/>
  <c r="CL49" i="4"/>
  <c r="CK49" i="4"/>
  <c r="CJ49" i="4"/>
  <c r="CI49" i="4"/>
  <c r="CH49" i="4"/>
  <c r="CG49" i="4"/>
  <c r="CF49" i="4"/>
  <c r="CE49" i="4"/>
  <c r="CD49" i="4"/>
  <c r="CC49" i="4"/>
  <c r="CB49" i="4"/>
  <c r="CA49" i="4"/>
  <c r="BZ49" i="4"/>
  <c r="BY49" i="4"/>
  <c r="BX49" i="4"/>
  <c r="BW49" i="4"/>
  <c r="BV49" i="4"/>
  <c r="BU49" i="4"/>
  <c r="BT49" i="4"/>
  <c r="BS49" i="4"/>
  <c r="BR49" i="4"/>
  <c r="BQ49" i="4"/>
  <c r="BP49" i="4"/>
  <c r="BO49" i="4"/>
  <c r="BN49" i="4"/>
  <c r="BM49" i="4"/>
  <c r="BL49" i="4"/>
  <c r="BK49" i="4"/>
  <c r="BJ49" i="4"/>
  <c r="BI49" i="4"/>
  <c r="BH49" i="4"/>
  <c r="BG49" i="4"/>
  <c r="BF49" i="4"/>
  <c r="BE49" i="4"/>
  <c r="BD49" i="4"/>
  <c r="BC49" i="4"/>
  <c r="BB49" i="4"/>
  <c r="BA49" i="4"/>
  <c r="AZ49" i="4"/>
  <c r="AY49" i="4"/>
  <c r="AX49" i="4"/>
  <c r="AW49" i="4"/>
  <c r="AV49" i="4"/>
  <c r="AU49" i="4"/>
  <c r="AT49" i="4"/>
  <c r="AS49" i="4"/>
  <c r="AR49" i="4"/>
  <c r="AQ49" i="4"/>
  <c r="AP49" i="4"/>
  <c r="AO49" i="4"/>
  <c r="AN49" i="4"/>
  <c r="AM49" i="4"/>
  <c r="AL49" i="4"/>
  <c r="AK49" i="4"/>
  <c r="AJ49" i="4"/>
  <c r="AI49" i="4"/>
  <c r="AH49" i="4"/>
  <c r="AG49" i="4"/>
  <c r="AF49" i="4"/>
  <c r="AE49" i="4"/>
  <c r="AD49" i="4"/>
  <c r="AC49" i="4"/>
  <c r="AB49" i="4"/>
  <c r="AA49" i="4"/>
  <c r="Z49" i="4"/>
  <c r="Y49" i="4"/>
  <c r="X49" i="4"/>
  <c r="W49" i="4"/>
  <c r="V49" i="4"/>
  <c r="U49" i="4"/>
  <c r="T49" i="4"/>
  <c r="S49" i="4"/>
  <c r="R49" i="4"/>
  <c r="Q49" i="4"/>
  <c r="P49" i="4"/>
  <c r="O49" i="4"/>
  <c r="N49" i="4"/>
  <c r="M49" i="4"/>
  <c r="L49" i="4"/>
  <c r="K49" i="4"/>
  <c r="J49" i="4"/>
  <c r="I49" i="4"/>
  <c r="H49" i="4"/>
  <c r="G49" i="4"/>
  <c r="F49" i="4"/>
  <c r="E49" i="4"/>
  <c r="L34" i="5"/>
  <c r="L35" i="5"/>
  <c r="L36" i="5"/>
  <c r="L37" i="5"/>
  <c r="L38" i="5"/>
  <c r="L39" i="5"/>
  <c r="L40" i="5"/>
  <c r="L42" i="5"/>
  <c r="B12" i="6"/>
  <c r="L43" i="5"/>
  <c r="L41" i="5"/>
  <c r="L6" i="5"/>
  <c r="L11" i="5"/>
  <c r="L13" i="5"/>
  <c r="L14" i="5"/>
  <c r="L15" i="5"/>
  <c r="L16" i="5"/>
  <c r="L17" i="5"/>
  <c r="L18" i="5"/>
  <c r="L19" i="5"/>
  <c r="L20" i="5"/>
  <c r="L21" i="5"/>
  <c r="L22" i="5"/>
  <c r="L23" i="5"/>
  <c r="L24" i="5"/>
  <c r="L25" i="5"/>
  <c r="L26" i="5"/>
  <c r="L27" i="5"/>
  <c r="L2" i="5"/>
  <c r="M2" i="5" s="1"/>
  <c r="L8" i="5"/>
  <c r="L47" i="5"/>
  <c r="L48" i="5"/>
  <c r="L49" i="5"/>
  <c r="B10" i="6"/>
  <c r="L3" i="5"/>
  <c r="M3" i="5" s="1"/>
  <c r="L5" i="5"/>
  <c r="L10" i="5"/>
  <c r="L46" i="5"/>
  <c r="L44" i="5"/>
  <c r="L4" i="5"/>
  <c r="L7" i="5"/>
  <c r="L9" i="5"/>
  <c r="L12" i="5"/>
  <c r="L45" i="5"/>
  <c r="B11" i="6"/>
  <c r="L28" i="5"/>
  <c r="L29" i="5"/>
  <c r="L30" i="5"/>
  <c r="L31" i="5"/>
  <c r="L32" i="5"/>
  <c r="L33" i="5"/>
  <c r="M28" i="5" l="1"/>
  <c r="F19" i="3" s="1"/>
  <c r="F5" i="3"/>
  <c r="F4" i="3"/>
  <c r="F2" i="3"/>
  <c r="F11" i="3"/>
  <c r="F10" i="3"/>
  <c r="F6" i="3"/>
  <c r="N2" i="5"/>
  <c r="F3" i="3"/>
  <c r="F13" i="3"/>
  <c r="F12" i="3"/>
  <c r="M34" i="5"/>
  <c r="M4" i="5"/>
  <c r="F83" i="3" l="1"/>
  <c r="F90" i="3"/>
  <c r="F91" i="3"/>
  <c r="M35" i="5"/>
  <c r="F20" i="3"/>
  <c r="F21" i="3"/>
  <c r="O2" i="5"/>
  <c r="N34" i="5" s="1"/>
  <c r="P2" i="5"/>
  <c r="C2" i="4" s="1"/>
  <c r="M5" i="5"/>
  <c r="F84" i="3" l="1"/>
  <c r="F85" i="3"/>
  <c r="F86" i="3"/>
  <c r="F93" i="3"/>
  <c r="R2" i="5"/>
  <c r="N3" i="5"/>
  <c r="Q2" i="5"/>
  <c r="D2" i="4" s="1"/>
  <c r="O34" i="5"/>
  <c r="N35" i="5" s="1"/>
  <c r="P34" i="5"/>
  <c r="C34" i="4" s="1"/>
  <c r="M36" i="5"/>
  <c r="M6" i="5"/>
  <c r="O35" i="5" l="1"/>
  <c r="N36" i="5" s="1"/>
  <c r="P35" i="5"/>
  <c r="C35" i="4" s="1"/>
  <c r="O3" i="5"/>
  <c r="P3" i="5"/>
  <c r="C3" i="4" s="1"/>
  <c r="Q34" i="5"/>
  <c r="D34" i="4" s="1"/>
  <c r="R34" i="5"/>
  <c r="F82" i="3"/>
  <c r="F81" i="3"/>
  <c r="F27" i="3"/>
  <c r="F32" i="3"/>
  <c r="M7" i="5"/>
  <c r="AW2" i="4"/>
  <c r="AX2" i="4"/>
  <c r="AY2" i="4"/>
  <c r="AZ2" i="4"/>
  <c r="BA2" i="4"/>
  <c r="BB2" i="4"/>
  <c r="BC2" i="4"/>
  <c r="BD2" i="4"/>
  <c r="BE2" i="4"/>
  <c r="BF2" i="4"/>
  <c r="BG2" i="4"/>
  <c r="BH2" i="4"/>
  <c r="BI2" i="4"/>
  <c r="BJ2" i="4"/>
  <c r="BK2" i="4"/>
  <c r="BL2" i="4"/>
  <c r="BM2" i="4"/>
  <c r="BN2" i="4"/>
  <c r="BO2" i="4"/>
  <c r="BP2" i="4"/>
  <c r="E2" i="4"/>
  <c r="F2" i="4"/>
  <c r="G2" i="4"/>
  <c r="H2" i="4"/>
  <c r="I2" i="4"/>
  <c r="J2" i="4"/>
  <c r="K2" i="4"/>
  <c r="L2" i="4"/>
  <c r="M2" i="4"/>
  <c r="N2" i="4"/>
  <c r="O2" i="4"/>
  <c r="P2" i="4"/>
  <c r="R2" i="4"/>
  <c r="S2" i="4"/>
  <c r="U2" i="4"/>
  <c r="X2" i="4"/>
  <c r="Z2" i="4"/>
  <c r="AB2" i="4"/>
  <c r="AD2" i="4"/>
  <c r="AF2" i="4"/>
  <c r="AG2" i="4"/>
  <c r="AI2" i="4"/>
  <c r="AK2" i="4"/>
  <c r="AM2" i="4"/>
  <c r="AO2" i="4"/>
  <c r="AQ2" i="4"/>
  <c r="AS2" i="4"/>
  <c r="AU2" i="4"/>
  <c r="BQ2" i="4"/>
  <c r="BR2" i="4"/>
  <c r="BS2" i="4"/>
  <c r="BT2" i="4"/>
  <c r="BU2" i="4"/>
  <c r="BV2" i="4"/>
  <c r="BW2" i="4"/>
  <c r="BX2" i="4"/>
  <c r="BY2" i="4"/>
  <c r="BZ2" i="4"/>
  <c r="CA2" i="4"/>
  <c r="CB2" i="4"/>
  <c r="CC2" i="4"/>
  <c r="CD2" i="4"/>
  <c r="CE2" i="4"/>
  <c r="CF2" i="4"/>
  <c r="CG2" i="4"/>
  <c r="CH2" i="4"/>
  <c r="CI2" i="4"/>
  <c r="CJ2" i="4"/>
  <c r="CM2" i="4"/>
  <c r="CN2" i="4"/>
  <c r="CP2" i="4"/>
  <c r="CR2" i="4"/>
  <c r="CT2" i="4"/>
  <c r="CU2" i="4"/>
  <c r="CW2" i="4"/>
  <c r="CZ2" i="4"/>
  <c r="DB2" i="4"/>
  <c r="DD2" i="4"/>
  <c r="Q2" i="4"/>
  <c r="T2" i="4"/>
  <c r="V2" i="4"/>
  <c r="W2" i="4"/>
  <c r="Y2" i="4"/>
  <c r="AA2" i="4"/>
  <c r="AC2" i="4"/>
  <c r="AE2" i="4"/>
  <c r="AH2" i="4"/>
  <c r="AJ2" i="4"/>
  <c r="AL2" i="4"/>
  <c r="AN2" i="4"/>
  <c r="AP2" i="4"/>
  <c r="AR2" i="4"/>
  <c r="AT2" i="4"/>
  <c r="AV2" i="4"/>
  <c r="CK2" i="4"/>
  <c r="CL2" i="4"/>
  <c r="CO2" i="4"/>
  <c r="CQ2" i="4"/>
  <c r="CS2" i="4"/>
  <c r="CV2" i="4"/>
  <c r="CX2" i="4"/>
  <c r="CY2" i="4"/>
  <c r="DA2" i="4"/>
  <c r="DC2" i="4"/>
  <c r="R35" i="5" l="1"/>
  <c r="Q35" i="5"/>
  <c r="D35" i="4" s="1"/>
  <c r="N4" i="5"/>
  <c r="N28" i="5"/>
  <c r="Q3" i="5"/>
  <c r="D3" i="4" s="1"/>
  <c r="R3" i="5"/>
  <c r="F29" i="3"/>
  <c r="F30" i="3"/>
  <c r="F35" i="3"/>
  <c r="M8" i="5"/>
  <c r="AJ34" i="4"/>
  <c r="AN34" i="4"/>
  <c r="AR34" i="4"/>
  <c r="AU34" i="4"/>
  <c r="AZ34" i="4"/>
  <c r="BE34" i="4"/>
  <c r="BH34" i="4"/>
  <c r="BM34" i="4"/>
  <c r="BR34" i="4"/>
  <c r="BU34" i="4"/>
  <c r="BX34" i="4"/>
  <c r="CD34" i="4"/>
  <c r="CH34" i="4"/>
  <c r="CM34" i="4"/>
  <c r="CP34" i="4"/>
  <c r="CV34" i="4"/>
  <c r="DB34" i="4"/>
  <c r="E34" i="4"/>
  <c r="G34" i="4"/>
  <c r="J34" i="4"/>
  <c r="M34" i="4"/>
  <c r="P34" i="4"/>
  <c r="S34" i="4"/>
  <c r="V34" i="4"/>
  <c r="X34" i="4"/>
  <c r="AA34" i="4"/>
  <c r="AC34" i="4"/>
  <c r="AF34" i="4"/>
  <c r="AI34" i="4"/>
  <c r="AL34" i="4"/>
  <c r="AO34" i="4"/>
  <c r="AQ34" i="4"/>
  <c r="AT34" i="4"/>
  <c r="AW34" i="4"/>
  <c r="AY34" i="4"/>
  <c r="BC34" i="4"/>
  <c r="BF34" i="4"/>
  <c r="BJ34" i="4"/>
  <c r="BN34" i="4"/>
  <c r="BQ34" i="4"/>
  <c r="BT34" i="4"/>
  <c r="BY34" i="4"/>
  <c r="CC34" i="4"/>
  <c r="CG34" i="4"/>
  <c r="CK34" i="4"/>
  <c r="CQ34" i="4"/>
  <c r="CS34" i="4"/>
  <c r="CW34" i="4"/>
  <c r="CO34" i="4"/>
  <c r="CX34" i="4"/>
  <c r="DC34" i="4"/>
  <c r="K34" i="4"/>
  <c r="Q34" i="4"/>
  <c r="Y34" i="4"/>
  <c r="AG34" i="4"/>
  <c r="I34" i="4"/>
  <c r="L34" i="4"/>
  <c r="O34" i="4"/>
  <c r="R34" i="4"/>
  <c r="U34" i="4"/>
  <c r="Z34" i="4"/>
  <c r="AB34" i="4"/>
  <c r="AE34" i="4"/>
  <c r="AH34" i="4"/>
  <c r="AK34" i="4"/>
  <c r="AM34" i="4"/>
  <c r="AP34" i="4"/>
  <c r="AS34" i="4"/>
  <c r="AV34" i="4"/>
  <c r="AX34" i="4"/>
  <c r="BA34" i="4"/>
  <c r="BD34" i="4"/>
  <c r="BI34" i="4"/>
  <c r="BL34" i="4"/>
  <c r="BP34" i="4"/>
  <c r="BW34" i="4"/>
  <c r="CA34" i="4"/>
  <c r="CE34" i="4"/>
  <c r="CI34" i="4"/>
  <c r="CL34" i="4"/>
  <c r="CN34" i="4"/>
  <c r="CR34" i="4"/>
  <c r="CU34" i="4"/>
  <c r="CY34" i="4"/>
  <c r="DA34" i="4"/>
  <c r="BB34" i="4"/>
  <c r="BG34" i="4"/>
  <c r="BK34" i="4"/>
  <c r="BO34" i="4"/>
  <c r="BS34" i="4"/>
  <c r="BV34" i="4"/>
  <c r="BZ34" i="4"/>
  <c r="CB34" i="4"/>
  <c r="CF34" i="4"/>
  <c r="CJ34" i="4"/>
  <c r="CT34" i="4"/>
  <c r="CZ34" i="4"/>
  <c r="DD34" i="4"/>
  <c r="F34" i="4"/>
  <c r="H34" i="4"/>
  <c r="N34" i="4"/>
  <c r="T34" i="4"/>
  <c r="W34" i="4"/>
  <c r="AD34" i="4"/>
  <c r="P36" i="5"/>
  <c r="C36" i="4" s="1"/>
  <c r="O36" i="5"/>
  <c r="DC35" i="4" l="1"/>
  <c r="DB35" i="4"/>
  <c r="DA35" i="4"/>
  <c r="CZ35" i="4"/>
  <c r="CY35" i="4"/>
  <c r="CX35" i="4"/>
  <c r="CW35" i="4"/>
  <c r="CV35" i="4"/>
  <c r="CU35" i="4"/>
  <c r="CT35" i="4"/>
  <c r="CS35" i="4"/>
  <c r="CR35" i="4"/>
  <c r="CQ35" i="4"/>
  <c r="CP35" i="4"/>
  <c r="CO35" i="4"/>
  <c r="CN35" i="4"/>
  <c r="CM35" i="4"/>
  <c r="CL35" i="4"/>
  <c r="CK35" i="4"/>
  <c r="CJ35" i="4"/>
  <c r="CI35" i="4"/>
  <c r="CH35" i="4"/>
  <c r="CG35" i="4"/>
  <c r="CF35" i="4"/>
  <c r="CE35" i="4"/>
  <c r="CD35" i="4"/>
  <c r="CC35" i="4"/>
  <c r="CB35" i="4"/>
  <c r="CA35" i="4"/>
  <c r="BZ35" i="4"/>
  <c r="BY35" i="4"/>
  <c r="BX35" i="4"/>
  <c r="BW35" i="4"/>
  <c r="BV35" i="4"/>
  <c r="BU35" i="4"/>
  <c r="BT35" i="4"/>
  <c r="BS35" i="4"/>
  <c r="BR35" i="4"/>
  <c r="BQ35" i="4"/>
  <c r="BP35" i="4"/>
  <c r="BO35" i="4"/>
  <c r="BN35" i="4"/>
  <c r="BM35" i="4"/>
  <c r="BL35" i="4"/>
  <c r="BK35" i="4"/>
  <c r="BJ35" i="4"/>
  <c r="BI35" i="4"/>
  <c r="BH35" i="4"/>
  <c r="BG35" i="4"/>
  <c r="BF35" i="4"/>
  <c r="BE35" i="4"/>
  <c r="BD35" i="4"/>
  <c r="BC35" i="4"/>
  <c r="BB35" i="4"/>
  <c r="BA35" i="4"/>
  <c r="AZ35" i="4"/>
  <c r="AY35" i="4"/>
  <c r="AX35" i="4"/>
  <c r="AW35" i="4"/>
  <c r="AV35" i="4"/>
  <c r="AU35" i="4"/>
  <c r="AT35" i="4"/>
  <c r="AS35" i="4"/>
  <c r="AR35" i="4"/>
  <c r="AQ35" i="4"/>
  <c r="AP35" i="4"/>
  <c r="AO35" i="4"/>
  <c r="AN35" i="4"/>
  <c r="AM35" i="4"/>
  <c r="AL35" i="4"/>
  <c r="AK35" i="4"/>
  <c r="AJ35" i="4"/>
  <c r="AI35" i="4"/>
  <c r="AH35" i="4"/>
  <c r="AG35" i="4"/>
  <c r="AF35" i="4"/>
  <c r="AE35" i="4"/>
  <c r="AD35" i="4"/>
  <c r="AC35" i="4"/>
  <c r="AB35" i="4"/>
  <c r="AA35" i="4"/>
  <c r="Z35" i="4"/>
  <c r="Y35" i="4"/>
  <c r="X35" i="4"/>
  <c r="W35" i="4"/>
  <c r="V35" i="4"/>
  <c r="U35" i="4"/>
  <c r="T35" i="4"/>
  <c r="S35" i="4"/>
  <c r="R35" i="4"/>
  <c r="Q35" i="4"/>
  <c r="P35" i="4"/>
  <c r="O35" i="4"/>
  <c r="N35" i="4"/>
  <c r="M35" i="4"/>
  <c r="L35" i="4"/>
  <c r="K35" i="4"/>
  <c r="J35" i="4"/>
  <c r="I35" i="4"/>
  <c r="H35" i="4"/>
  <c r="G35" i="4"/>
  <c r="F35" i="4"/>
  <c r="E35" i="4"/>
  <c r="DD35" i="4"/>
  <c r="O4" i="5"/>
  <c r="P4" i="5"/>
  <c r="C4" i="4" s="1"/>
  <c r="O28" i="5"/>
  <c r="P28" i="5"/>
  <c r="C28" i="4" s="1"/>
  <c r="F14" i="3"/>
  <c r="F22" i="3"/>
  <c r="F23" i="3"/>
  <c r="F24" i="3"/>
  <c r="F25" i="3"/>
  <c r="F26" i="3"/>
  <c r="M9" i="5"/>
  <c r="R36" i="5"/>
  <c r="Q36" i="5"/>
  <c r="D36" i="4" s="1"/>
  <c r="BG3" i="4"/>
  <c r="BL3" i="4"/>
  <c r="BM3" i="4"/>
  <c r="BN3" i="4"/>
  <c r="BO3" i="4"/>
  <c r="BP3" i="4"/>
  <c r="BQ3" i="4"/>
  <c r="BR3" i="4"/>
  <c r="BS3" i="4"/>
  <c r="BT3" i="4"/>
  <c r="BU3" i="4"/>
  <c r="BV3" i="4"/>
  <c r="BW3" i="4"/>
  <c r="BX3" i="4"/>
  <c r="BY3" i="4"/>
  <c r="BZ3" i="4"/>
  <c r="CA3" i="4"/>
  <c r="CB3" i="4"/>
  <c r="CC3" i="4"/>
  <c r="CD3" i="4"/>
  <c r="CE3" i="4"/>
  <c r="CF3" i="4"/>
  <c r="CG3" i="4"/>
  <c r="CH3" i="4"/>
  <c r="CI3" i="4"/>
  <c r="CJ3" i="4"/>
  <c r="CK3" i="4"/>
  <c r="CL3" i="4"/>
  <c r="CM3" i="4"/>
  <c r="CN3" i="4"/>
  <c r="CO3" i="4"/>
  <c r="CP3" i="4"/>
  <c r="CQ3" i="4"/>
  <c r="CR3" i="4"/>
  <c r="CS3" i="4"/>
  <c r="CT3" i="4"/>
  <c r="CU3" i="4"/>
  <c r="CV3" i="4"/>
  <c r="CW3" i="4"/>
  <c r="CX3" i="4"/>
  <c r="CY3" i="4"/>
  <c r="CZ3" i="4"/>
  <c r="DA3" i="4"/>
  <c r="DB3" i="4"/>
  <c r="DC3" i="4"/>
  <c r="DD3" i="4"/>
  <c r="E3" i="4"/>
  <c r="F3" i="4"/>
  <c r="G3" i="4"/>
  <c r="H3" i="4"/>
  <c r="I3" i="4"/>
  <c r="J3" i="4"/>
  <c r="K3" i="4"/>
  <c r="L3" i="4"/>
  <c r="M3" i="4"/>
  <c r="N3" i="4"/>
  <c r="O3" i="4"/>
  <c r="P3" i="4"/>
  <c r="Q3" i="4"/>
  <c r="R3" i="4"/>
  <c r="S3" i="4"/>
  <c r="T3" i="4"/>
  <c r="U3" i="4"/>
  <c r="V3" i="4"/>
  <c r="W3" i="4"/>
  <c r="X3" i="4"/>
  <c r="Y3" i="4"/>
  <c r="Z3" i="4"/>
  <c r="AA3" i="4"/>
  <c r="AB3" i="4"/>
  <c r="AC3" i="4"/>
  <c r="AD3" i="4"/>
  <c r="AE3" i="4"/>
  <c r="AF3" i="4"/>
  <c r="AG3" i="4"/>
  <c r="AH3" i="4"/>
  <c r="AI3" i="4"/>
  <c r="AJ3" i="4"/>
  <c r="AK3" i="4"/>
  <c r="AL3" i="4"/>
  <c r="AM3" i="4"/>
  <c r="AN3" i="4"/>
  <c r="AO3" i="4"/>
  <c r="AP3" i="4"/>
  <c r="AQ3" i="4"/>
  <c r="AR3" i="4"/>
  <c r="AS3" i="4"/>
  <c r="AT3" i="4"/>
  <c r="AU3" i="4"/>
  <c r="AV3" i="4"/>
  <c r="AW3" i="4"/>
  <c r="AX3" i="4"/>
  <c r="AY3" i="4"/>
  <c r="AZ3" i="4"/>
  <c r="BA3" i="4"/>
  <c r="BB3" i="4"/>
  <c r="BC3" i="4"/>
  <c r="BD3" i="4"/>
  <c r="BE3" i="4"/>
  <c r="BF3" i="4"/>
  <c r="BH3" i="4"/>
  <c r="BI3" i="4"/>
  <c r="BJ3" i="4"/>
  <c r="BK3" i="4"/>
  <c r="E36" i="4" l="1"/>
  <c r="F36" i="4"/>
  <c r="G36" i="4"/>
  <c r="H36" i="4"/>
  <c r="I36" i="4"/>
  <c r="J36" i="4"/>
  <c r="K36" i="4"/>
  <c r="L36" i="4"/>
  <c r="M36" i="4"/>
  <c r="N36" i="4"/>
  <c r="O36" i="4"/>
  <c r="P36" i="4"/>
  <c r="Q36" i="4"/>
  <c r="R36" i="4"/>
  <c r="S36" i="4"/>
  <c r="T36" i="4"/>
  <c r="U36" i="4"/>
  <c r="V36" i="4"/>
  <c r="W36" i="4"/>
  <c r="X36" i="4"/>
  <c r="Y36" i="4"/>
  <c r="Z36" i="4"/>
  <c r="AA36" i="4"/>
  <c r="AB36" i="4"/>
  <c r="AC36" i="4"/>
  <c r="AD36" i="4"/>
  <c r="AE36" i="4"/>
  <c r="AF36" i="4"/>
  <c r="AG36" i="4"/>
  <c r="AH36" i="4"/>
  <c r="AI36" i="4"/>
  <c r="AJ36" i="4"/>
  <c r="AK36" i="4"/>
  <c r="AL36" i="4"/>
  <c r="AM36" i="4"/>
  <c r="AN36" i="4"/>
  <c r="AO36" i="4"/>
  <c r="AP36" i="4"/>
  <c r="AQ36" i="4"/>
  <c r="AR36" i="4"/>
  <c r="AS36" i="4"/>
  <c r="AT36" i="4"/>
  <c r="AU36" i="4"/>
  <c r="AV36" i="4"/>
  <c r="AW36" i="4"/>
  <c r="AX36" i="4"/>
  <c r="N5" i="5"/>
  <c r="R4" i="5"/>
  <c r="Q4" i="5"/>
  <c r="D4" i="4" s="1"/>
  <c r="Q28" i="5"/>
  <c r="D28" i="4" s="1"/>
  <c r="R28" i="5"/>
  <c r="F34" i="3"/>
  <c r="F36" i="3"/>
  <c r="F37" i="3"/>
  <c r="M10" i="5"/>
  <c r="AY36" i="4"/>
  <c r="AZ36" i="4"/>
  <c r="BA36" i="4"/>
  <c r="BB36" i="4"/>
  <c r="BC36" i="4"/>
  <c r="BD36" i="4"/>
  <c r="BE36" i="4"/>
  <c r="BF36" i="4"/>
  <c r="BG36" i="4"/>
  <c r="BH36" i="4"/>
  <c r="BI36" i="4"/>
  <c r="BJ36" i="4"/>
  <c r="BK36" i="4"/>
  <c r="BL36" i="4"/>
  <c r="BM36" i="4"/>
  <c r="BN36" i="4"/>
  <c r="BO36" i="4"/>
  <c r="BP36" i="4"/>
  <c r="BQ36" i="4"/>
  <c r="BR36" i="4"/>
  <c r="BS36" i="4"/>
  <c r="BT36" i="4"/>
  <c r="BU36" i="4"/>
  <c r="BV36" i="4"/>
  <c r="BW36" i="4"/>
  <c r="BX36" i="4"/>
  <c r="BY36" i="4"/>
  <c r="BZ36" i="4"/>
  <c r="CA36" i="4"/>
  <c r="CB36" i="4"/>
  <c r="CC36" i="4"/>
  <c r="CD36" i="4"/>
  <c r="CE36" i="4"/>
  <c r="CF36" i="4"/>
  <c r="CG36" i="4"/>
  <c r="CH36" i="4"/>
  <c r="CI36" i="4"/>
  <c r="CJ36" i="4"/>
  <c r="CK36" i="4"/>
  <c r="CL36" i="4"/>
  <c r="CM36" i="4"/>
  <c r="CN36" i="4"/>
  <c r="CO36" i="4"/>
  <c r="CP36" i="4"/>
  <c r="CQ36" i="4"/>
  <c r="CR36" i="4"/>
  <c r="CS36" i="4"/>
  <c r="CT36" i="4"/>
  <c r="CU36" i="4"/>
  <c r="CV36" i="4"/>
  <c r="CW36" i="4"/>
  <c r="CX36" i="4"/>
  <c r="CY36" i="4"/>
  <c r="CZ36" i="4"/>
  <c r="DA36" i="4"/>
  <c r="DB36" i="4"/>
  <c r="DC36" i="4"/>
  <c r="DD36" i="4"/>
  <c r="DD28" i="4" l="1"/>
  <c r="DC28" i="4"/>
  <c r="DB28" i="4"/>
  <c r="DA28" i="4"/>
  <c r="CZ28" i="4"/>
  <c r="CY28" i="4"/>
  <c r="CX28" i="4"/>
  <c r="CW28" i="4"/>
  <c r="CV28" i="4"/>
  <c r="CU28" i="4"/>
  <c r="CT28" i="4"/>
  <c r="CS28" i="4"/>
  <c r="CR28" i="4"/>
  <c r="CQ28" i="4"/>
  <c r="CP28" i="4"/>
  <c r="CO28" i="4"/>
  <c r="CN28" i="4"/>
  <c r="CM28" i="4"/>
  <c r="CL28" i="4"/>
  <c r="CK28" i="4"/>
  <c r="CJ28" i="4"/>
  <c r="CH28" i="4"/>
  <c r="CG28" i="4"/>
  <c r="CF28" i="4"/>
  <c r="CE28" i="4"/>
  <c r="CD28" i="4"/>
  <c r="CC28" i="4"/>
  <c r="CB28" i="4"/>
  <c r="CA28" i="4"/>
  <c r="CI28" i="4"/>
  <c r="O5" i="5"/>
  <c r="P5" i="5"/>
  <c r="C5" i="4" s="1"/>
  <c r="M11" i="5"/>
  <c r="CW4" i="4"/>
  <c r="CX4" i="4"/>
  <c r="CY4" i="4"/>
  <c r="CZ4" i="4"/>
  <c r="DA4" i="4"/>
  <c r="DB4" i="4"/>
  <c r="DC4" i="4"/>
  <c r="DD4" i="4"/>
  <c r="BC4" i="4"/>
  <c r="BE4" i="4"/>
  <c r="BG4" i="4"/>
  <c r="BI4" i="4"/>
  <c r="BK4" i="4"/>
  <c r="BL4" i="4"/>
  <c r="BN4" i="4"/>
  <c r="BQ4" i="4"/>
  <c r="BT4" i="4"/>
  <c r="BV4" i="4"/>
  <c r="BX4" i="4"/>
  <c r="BZ4" i="4"/>
  <c r="CB4" i="4"/>
  <c r="CC4" i="4"/>
  <c r="BO4" i="4"/>
  <c r="CF4" i="4"/>
  <c r="CH4" i="4"/>
  <c r="CJ4" i="4"/>
  <c r="CL4" i="4"/>
  <c r="CN4" i="4"/>
  <c r="CP4" i="4"/>
  <c r="CQ4" i="4"/>
  <c r="CU4" i="4"/>
  <c r="E4" i="4"/>
  <c r="G4" i="4"/>
  <c r="H4" i="4"/>
  <c r="I4" i="4"/>
  <c r="J4" i="4"/>
  <c r="K4" i="4"/>
  <c r="M4" i="4"/>
  <c r="O4" i="4"/>
  <c r="Q4" i="4"/>
  <c r="S4" i="4"/>
  <c r="U4" i="4"/>
  <c r="W4" i="4"/>
  <c r="Y4" i="4"/>
  <c r="AA4" i="4"/>
  <c r="AC4" i="4"/>
  <c r="AE4" i="4"/>
  <c r="AG4" i="4"/>
  <c r="AI4" i="4"/>
  <c r="AK4" i="4"/>
  <c r="AM4" i="4"/>
  <c r="AO4" i="4"/>
  <c r="AQ4" i="4"/>
  <c r="AS4" i="4"/>
  <c r="AU4" i="4"/>
  <c r="AW4" i="4"/>
  <c r="AY4" i="4"/>
  <c r="AZ4" i="4"/>
  <c r="BB4" i="4"/>
  <c r="BF4" i="4"/>
  <c r="BH4" i="4"/>
  <c r="BJ4" i="4"/>
  <c r="BM4" i="4"/>
  <c r="BP4" i="4"/>
  <c r="BR4" i="4"/>
  <c r="BS4" i="4"/>
  <c r="BU4" i="4"/>
  <c r="X4" i="4"/>
  <c r="BW4" i="4"/>
  <c r="BY4" i="4"/>
  <c r="CA4" i="4"/>
  <c r="CD4" i="4"/>
  <c r="CE4" i="4"/>
  <c r="CG4" i="4"/>
  <c r="CI4" i="4"/>
  <c r="CK4" i="4"/>
  <c r="CM4" i="4"/>
  <c r="CO4" i="4"/>
  <c r="CR4" i="4"/>
  <c r="CS4" i="4"/>
  <c r="CT4" i="4"/>
  <c r="CV4" i="4"/>
  <c r="F4" i="4"/>
  <c r="L4" i="4"/>
  <c r="N4" i="4"/>
  <c r="P4" i="4"/>
  <c r="R4" i="4"/>
  <c r="T4" i="4"/>
  <c r="V4" i="4"/>
  <c r="BD4" i="4"/>
  <c r="Z4" i="4"/>
  <c r="AB4" i="4"/>
  <c r="AD4" i="4"/>
  <c r="AF4" i="4"/>
  <c r="AH4" i="4"/>
  <c r="AJ4" i="4"/>
  <c r="AL4" i="4"/>
  <c r="AN4" i="4"/>
  <c r="AP4" i="4"/>
  <c r="AR4" i="4"/>
  <c r="AT4" i="4"/>
  <c r="AV4" i="4"/>
  <c r="AX4" i="4"/>
  <c r="BA4" i="4"/>
  <c r="BZ28" i="4"/>
  <c r="BY28" i="4"/>
  <c r="BX28" i="4"/>
  <c r="BW28" i="4"/>
  <c r="BV28" i="4"/>
  <c r="BU28" i="4"/>
  <c r="BT28" i="4"/>
  <c r="BS28" i="4"/>
  <c r="BR28" i="4"/>
  <c r="BQ28" i="4"/>
  <c r="BP28" i="4"/>
  <c r="BO28" i="4"/>
  <c r="BN28" i="4"/>
  <c r="BM28" i="4"/>
  <c r="BK28" i="4"/>
  <c r="BJ28" i="4"/>
  <c r="BI28" i="4"/>
  <c r="BH28" i="4"/>
  <c r="BG28" i="4"/>
  <c r="BF28" i="4"/>
  <c r="BE28" i="4"/>
  <c r="BD28" i="4"/>
  <c r="BC28" i="4"/>
  <c r="BB28" i="4"/>
  <c r="BA28" i="4"/>
  <c r="AZ28" i="4"/>
  <c r="AY28" i="4"/>
  <c r="AX28" i="4"/>
  <c r="AW28" i="4"/>
  <c r="AV28" i="4"/>
  <c r="AU28" i="4"/>
  <c r="AT28" i="4"/>
  <c r="AS28" i="4"/>
  <c r="AR28" i="4"/>
  <c r="AQ28" i="4"/>
  <c r="AP28" i="4"/>
  <c r="AO28" i="4"/>
  <c r="AN28" i="4"/>
  <c r="AM28" i="4"/>
  <c r="AL28" i="4"/>
  <c r="AK28" i="4"/>
  <c r="AJ28" i="4"/>
  <c r="AI28" i="4"/>
  <c r="AH28" i="4"/>
  <c r="AG28" i="4"/>
  <c r="AF28" i="4"/>
  <c r="AE28" i="4"/>
  <c r="AD28" i="4"/>
  <c r="AC28" i="4"/>
  <c r="AB28" i="4"/>
  <c r="AA28" i="4"/>
  <c r="Z28" i="4"/>
  <c r="Y28" i="4"/>
  <c r="X28" i="4"/>
  <c r="W28" i="4"/>
  <c r="V28" i="4"/>
  <c r="U28" i="4"/>
  <c r="T28" i="4"/>
  <c r="R28" i="4"/>
  <c r="Q28" i="4"/>
  <c r="P28" i="4"/>
  <c r="O28" i="4"/>
  <c r="N28" i="4"/>
  <c r="M28" i="4"/>
  <c r="L28" i="4"/>
  <c r="K28" i="4"/>
  <c r="J28" i="4"/>
  <c r="I28" i="4"/>
  <c r="H28" i="4"/>
  <c r="G28" i="4"/>
  <c r="F28" i="4"/>
  <c r="E28" i="4"/>
  <c r="S28" i="4"/>
  <c r="BL28" i="4"/>
  <c r="N6" i="5" l="1"/>
  <c r="R5" i="5"/>
  <c r="Q5" i="5"/>
  <c r="D5" i="4" s="1"/>
  <c r="M12" i="5"/>
  <c r="O6" i="5" l="1"/>
  <c r="P6" i="5"/>
  <c r="C6" i="4" s="1"/>
  <c r="M13" i="5"/>
  <c r="Y5" i="4"/>
  <c r="Z5" i="4"/>
  <c r="AA5" i="4"/>
  <c r="AB5" i="4"/>
  <c r="AC5" i="4"/>
  <c r="AD5" i="4"/>
  <c r="AE5" i="4"/>
  <c r="AF5" i="4"/>
  <c r="AG5" i="4"/>
  <c r="AH5" i="4"/>
  <c r="AI5" i="4"/>
  <c r="AJ5" i="4"/>
  <c r="AK5" i="4"/>
  <c r="AL5" i="4"/>
  <c r="AM5" i="4"/>
  <c r="AN5" i="4"/>
  <c r="AO5" i="4"/>
  <c r="AQ5" i="4"/>
  <c r="AR5" i="4"/>
  <c r="AS5" i="4"/>
  <c r="AT5" i="4"/>
  <c r="AU5" i="4"/>
  <c r="AV5" i="4"/>
  <c r="AW5" i="4"/>
  <c r="AX5" i="4"/>
  <c r="AY5" i="4"/>
  <c r="AZ5" i="4"/>
  <c r="BA5" i="4"/>
  <c r="BB5" i="4"/>
  <c r="BC5" i="4"/>
  <c r="BD5" i="4"/>
  <c r="BF5" i="4"/>
  <c r="BH5" i="4"/>
  <c r="BJ5" i="4"/>
  <c r="BL5" i="4"/>
  <c r="BN5" i="4"/>
  <c r="BP5" i="4"/>
  <c r="BR5" i="4"/>
  <c r="BU5" i="4"/>
  <c r="BW5" i="4"/>
  <c r="BX5" i="4"/>
  <c r="CA5" i="4"/>
  <c r="CF5" i="4"/>
  <c r="CG5" i="4"/>
  <c r="CI5" i="4"/>
  <c r="CK5" i="4"/>
  <c r="CM5" i="4"/>
  <c r="CN5" i="4"/>
  <c r="CP5" i="4"/>
  <c r="CR5" i="4"/>
  <c r="CU5" i="4"/>
  <c r="E5" i="4"/>
  <c r="F5" i="4"/>
  <c r="G5" i="4"/>
  <c r="H5" i="4"/>
  <c r="I5" i="4"/>
  <c r="J5" i="4"/>
  <c r="K5" i="4"/>
  <c r="L5" i="4"/>
  <c r="M5" i="4"/>
  <c r="N5" i="4"/>
  <c r="O5" i="4"/>
  <c r="P5" i="4"/>
  <c r="Q5" i="4"/>
  <c r="R5" i="4"/>
  <c r="S5" i="4"/>
  <c r="T5" i="4"/>
  <c r="U5" i="4"/>
  <c r="V5" i="4"/>
  <c r="W5" i="4"/>
  <c r="X5" i="4"/>
  <c r="AP5" i="4"/>
  <c r="BE5" i="4"/>
  <c r="BG5" i="4"/>
  <c r="BI5" i="4"/>
  <c r="BK5" i="4"/>
  <c r="BM5" i="4"/>
  <c r="BO5" i="4"/>
  <c r="BQ5" i="4"/>
  <c r="BS5" i="4"/>
  <c r="BT5" i="4"/>
  <c r="BV5" i="4"/>
  <c r="BY5" i="4"/>
  <c r="BZ5" i="4"/>
  <c r="CB5" i="4"/>
  <c r="CC5" i="4"/>
  <c r="CD5" i="4"/>
  <c r="CE5" i="4"/>
  <c r="CH5" i="4"/>
  <c r="CJ5" i="4"/>
  <c r="CL5" i="4"/>
  <c r="CO5" i="4"/>
  <c r="CQ5" i="4"/>
  <c r="CS5" i="4"/>
  <c r="CT5" i="4"/>
  <c r="CV5" i="4"/>
  <c r="CW5" i="4"/>
  <c r="CX5" i="4"/>
  <c r="CY5" i="4"/>
  <c r="CZ5" i="4"/>
  <c r="DA5" i="4"/>
  <c r="DB5" i="4"/>
  <c r="DC5" i="4"/>
  <c r="DD5" i="4"/>
  <c r="N7" i="5" l="1"/>
  <c r="R6" i="5"/>
  <c r="Q6" i="5"/>
  <c r="D6" i="4" s="1"/>
  <c r="M14" i="5"/>
  <c r="O7" i="5" l="1"/>
  <c r="P7" i="5"/>
  <c r="C7" i="4" s="1"/>
  <c r="M15" i="5"/>
  <c r="AG6" i="4"/>
  <c r="AH6" i="4"/>
  <c r="AI6" i="4"/>
  <c r="AJ6" i="4"/>
  <c r="AK6" i="4"/>
  <c r="AL6" i="4"/>
  <c r="AM6" i="4"/>
  <c r="AN6" i="4"/>
  <c r="AP6" i="4"/>
  <c r="AQ6" i="4"/>
  <c r="AR6" i="4"/>
  <c r="AS6" i="4"/>
  <c r="AT6" i="4"/>
  <c r="AU6" i="4"/>
  <c r="AV6" i="4"/>
  <c r="AW6" i="4"/>
  <c r="AX6" i="4"/>
  <c r="AY6" i="4"/>
  <c r="AZ6" i="4"/>
  <c r="BA6" i="4"/>
  <c r="BB6" i="4"/>
  <c r="BC6" i="4"/>
  <c r="BD6" i="4"/>
  <c r="BF6" i="4"/>
  <c r="BG6" i="4"/>
  <c r="BJ6" i="4"/>
  <c r="BL6" i="4"/>
  <c r="BN6" i="4"/>
  <c r="BO6" i="4"/>
  <c r="BR6" i="4"/>
  <c r="BT6" i="4"/>
  <c r="BU6" i="4"/>
  <c r="BV6" i="4"/>
  <c r="F6" i="4"/>
  <c r="G6" i="4"/>
  <c r="I6" i="4"/>
  <c r="K6" i="4"/>
  <c r="M6" i="4"/>
  <c r="O6" i="4"/>
  <c r="Q6" i="4"/>
  <c r="R6" i="4"/>
  <c r="T6" i="4"/>
  <c r="V6" i="4"/>
  <c r="X6" i="4"/>
  <c r="Z6" i="4"/>
  <c r="AB6" i="4"/>
  <c r="AD6" i="4"/>
  <c r="AF6" i="4"/>
  <c r="AO6" i="4"/>
  <c r="BE6" i="4"/>
  <c r="BH6" i="4"/>
  <c r="BI6" i="4"/>
  <c r="BK6" i="4"/>
  <c r="BM6" i="4"/>
  <c r="BP6" i="4"/>
  <c r="BQ6" i="4"/>
  <c r="BS6" i="4"/>
  <c r="E6" i="4"/>
  <c r="H6" i="4"/>
  <c r="J6" i="4"/>
  <c r="L6" i="4"/>
  <c r="N6" i="4"/>
  <c r="P6" i="4"/>
  <c r="S6" i="4"/>
  <c r="U6" i="4"/>
  <c r="W6" i="4"/>
  <c r="Y6" i="4"/>
  <c r="AA6" i="4"/>
  <c r="AC6" i="4"/>
  <c r="AE6" i="4"/>
  <c r="BW6" i="4"/>
  <c r="BX6" i="4"/>
  <c r="BY6" i="4"/>
  <c r="BZ6" i="4"/>
  <c r="CA6" i="4"/>
  <c r="CB6" i="4"/>
  <c r="CC6" i="4"/>
  <c r="CD6" i="4"/>
  <c r="CE6" i="4"/>
  <c r="CF6" i="4"/>
  <c r="CG6" i="4"/>
  <c r="CH6" i="4"/>
  <c r="CI6" i="4"/>
  <c r="CJ6" i="4"/>
  <c r="CK6" i="4"/>
  <c r="CL6" i="4"/>
  <c r="CM6" i="4"/>
  <c r="CN6" i="4"/>
  <c r="CO6" i="4"/>
  <c r="CP6" i="4"/>
  <c r="CQ6" i="4"/>
  <c r="CR6" i="4"/>
  <c r="CS6" i="4"/>
  <c r="CT6" i="4"/>
  <c r="CU6" i="4"/>
  <c r="CV6" i="4"/>
  <c r="CW6" i="4"/>
  <c r="CX6" i="4"/>
  <c r="CY6" i="4"/>
  <c r="CZ6" i="4"/>
  <c r="DA6" i="4"/>
  <c r="DB6" i="4"/>
  <c r="DC6" i="4"/>
  <c r="DD6" i="4"/>
  <c r="N8" i="5" l="1"/>
  <c r="R7" i="5"/>
  <c r="Q7" i="5"/>
  <c r="D7" i="4" s="1"/>
  <c r="M16" i="5"/>
  <c r="O8" i="5" l="1"/>
  <c r="P8" i="5"/>
  <c r="C8" i="4" s="1"/>
  <c r="F40" i="3"/>
  <c r="F41" i="3"/>
  <c r="F46" i="3"/>
  <c r="M17" i="5"/>
  <c r="Y7" i="4"/>
  <c r="Z7" i="4"/>
  <c r="AA7" i="4"/>
  <c r="AB7" i="4"/>
  <c r="AC7" i="4"/>
  <c r="AD7" i="4"/>
  <c r="AE7" i="4"/>
  <c r="AF7" i="4"/>
  <c r="AG7" i="4"/>
  <c r="AH7" i="4"/>
  <c r="AI7" i="4"/>
  <c r="AJ7" i="4"/>
  <c r="AK7" i="4"/>
  <c r="AL7" i="4"/>
  <c r="AM7" i="4"/>
  <c r="AN7" i="4"/>
  <c r="AO7" i="4"/>
  <c r="AP7" i="4"/>
  <c r="AQ7" i="4"/>
  <c r="AR7" i="4"/>
  <c r="AS7" i="4"/>
  <c r="AT7" i="4"/>
  <c r="AU7" i="4"/>
  <c r="AV7" i="4"/>
  <c r="AW7" i="4"/>
  <c r="AX7" i="4"/>
  <c r="AY7" i="4"/>
  <c r="AZ7" i="4"/>
  <c r="BA7" i="4"/>
  <c r="BB7" i="4"/>
  <c r="BC7" i="4"/>
  <c r="BD7" i="4"/>
  <c r="BE7" i="4"/>
  <c r="BF7" i="4"/>
  <c r="BG7" i="4"/>
  <c r="BH7" i="4"/>
  <c r="BI7" i="4"/>
  <c r="BJ7" i="4"/>
  <c r="BK7" i="4"/>
  <c r="BL7" i="4"/>
  <c r="BM7" i="4"/>
  <c r="BN7" i="4"/>
  <c r="BO7" i="4"/>
  <c r="BP7" i="4"/>
  <c r="BQ7" i="4"/>
  <c r="BR7" i="4"/>
  <c r="BS7" i="4"/>
  <c r="BT7" i="4"/>
  <c r="BU7" i="4"/>
  <c r="BV7" i="4"/>
  <c r="BW7" i="4"/>
  <c r="BX7" i="4"/>
  <c r="BY7" i="4"/>
  <c r="BZ7" i="4"/>
  <c r="CA7" i="4"/>
  <c r="CB7" i="4"/>
  <c r="CC7" i="4"/>
  <c r="CD7" i="4"/>
  <c r="E7" i="4"/>
  <c r="F7" i="4"/>
  <c r="G7" i="4"/>
  <c r="H7" i="4"/>
  <c r="I7" i="4"/>
  <c r="J7" i="4"/>
  <c r="K7" i="4"/>
  <c r="L7" i="4"/>
  <c r="M7" i="4"/>
  <c r="N7" i="4"/>
  <c r="O7" i="4"/>
  <c r="P7" i="4"/>
  <c r="Q7" i="4"/>
  <c r="R7" i="4"/>
  <c r="S7" i="4"/>
  <c r="T7" i="4"/>
  <c r="U7" i="4"/>
  <c r="V7" i="4"/>
  <c r="W7" i="4"/>
  <c r="X7" i="4"/>
  <c r="CE7" i="4"/>
  <c r="CF7" i="4"/>
  <c r="CG7" i="4"/>
  <c r="CH7" i="4"/>
  <c r="CI7" i="4"/>
  <c r="CJ7" i="4"/>
  <c r="CK7" i="4"/>
  <c r="CL7" i="4"/>
  <c r="CM7" i="4"/>
  <c r="CN7" i="4"/>
  <c r="CO7" i="4"/>
  <c r="CP7" i="4"/>
  <c r="CQ7" i="4"/>
  <c r="CR7" i="4"/>
  <c r="CS7" i="4"/>
  <c r="CT7" i="4"/>
  <c r="CU7" i="4"/>
  <c r="CV7" i="4"/>
  <c r="CW7" i="4"/>
  <c r="CX7" i="4"/>
  <c r="CY7" i="4"/>
  <c r="CZ7" i="4"/>
  <c r="DA7" i="4"/>
  <c r="DB7" i="4"/>
  <c r="DC7" i="4"/>
  <c r="DD7" i="4"/>
  <c r="N9" i="5" l="1"/>
  <c r="Q8" i="5"/>
  <c r="D8" i="4" s="1"/>
  <c r="R8" i="5"/>
  <c r="M18" i="5"/>
  <c r="F42" i="3"/>
  <c r="F43" i="3"/>
  <c r="F47" i="3"/>
  <c r="P9" i="5" l="1"/>
  <c r="C9" i="4" s="1"/>
  <c r="O9" i="5"/>
  <c r="F45" i="3"/>
  <c r="F44" i="3"/>
  <c r="M19" i="5"/>
  <c r="BL8" i="4"/>
  <c r="BM8" i="4"/>
  <c r="BN8" i="4"/>
  <c r="BO8" i="4"/>
  <c r="BP8" i="4"/>
  <c r="BQ8" i="4"/>
  <c r="BR8" i="4"/>
  <c r="BS8" i="4"/>
  <c r="AI8" i="4"/>
  <c r="AK8" i="4"/>
  <c r="AM8" i="4"/>
  <c r="AO8" i="4"/>
  <c r="AP8" i="4"/>
  <c r="AS8" i="4"/>
  <c r="AU8" i="4"/>
  <c r="AW8" i="4"/>
  <c r="AY8" i="4"/>
  <c r="BA8" i="4"/>
  <c r="BC8" i="4"/>
  <c r="BE8" i="4"/>
  <c r="BG8" i="4"/>
  <c r="BI8" i="4"/>
  <c r="BK8" i="4"/>
  <c r="BT8" i="4"/>
  <c r="BU8" i="4"/>
  <c r="BV8" i="4"/>
  <c r="BW8" i="4"/>
  <c r="BX8" i="4"/>
  <c r="BY8" i="4"/>
  <c r="BZ8" i="4"/>
  <c r="CA8" i="4"/>
  <c r="CB8" i="4"/>
  <c r="CC8" i="4"/>
  <c r="CD8" i="4"/>
  <c r="CE8" i="4"/>
  <c r="CF8" i="4"/>
  <c r="CG8" i="4"/>
  <c r="CH8" i="4"/>
  <c r="CI8" i="4"/>
  <c r="CJ8" i="4"/>
  <c r="CK8" i="4"/>
  <c r="CL8" i="4"/>
  <c r="CM8" i="4"/>
  <c r="CN8" i="4"/>
  <c r="CO8" i="4"/>
  <c r="CP8" i="4"/>
  <c r="CQ8" i="4"/>
  <c r="CR8" i="4"/>
  <c r="CS8" i="4"/>
  <c r="CT8" i="4"/>
  <c r="CU8" i="4"/>
  <c r="CW8" i="4"/>
  <c r="CX8" i="4"/>
  <c r="CY8" i="4"/>
  <c r="CZ8" i="4"/>
  <c r="DA8" i="4"/>
  <c r="DB8" i="4"/>
  <c r="DC8" i="4"/>
  <c r="DD8" i="4"/>
  <c r="E8" i="4"/>
  <c r="F8" i="4"/>
  <c r="G8" i="4"/>
  <c r="H8" i="4"/>
  <c r="I8" i="4"/>
  <c r="J8" i="4"/>
  <c r="L8" i="4"/>
  <c r="N8" i="4"/>
  <c r="P8" i="4"/>
  <c r="R8" i="4"/>
  <c r="CV8" i="4"/>
  <c r="O8" i="4"/>
  <c r="AH8" i="4"/>
  <c r="AJ8" i="4"/>
  <c r="AL8" i="4"/>
  <c r="AN8" i="4"/>
  <c r="AQ8" i="4"/>
  <c r="AR8" i="4"/>
  <c r="AT8" i="4"/>
  <c r="AV8" i="4"/>
  <c r="AX8" i="4"/>
  <c r="AZ8" i="4"/>
  <c r="BB8" i="4"/>
  <c r="BD8" i="4"/>
  <c r="BF8" i="4"/>
  <c r="BH8" i="4"/>
  <c r="BJ8" i="4"/>
  <c r="K8" i="4"/>
  <c r="M8" i="4"/>
  <c r="Q8" i="4"/>
  <c r="S8" i="4"/>
  <c r="T8" i="4"/>
  <c r="U8" i="4"/>
  <c r="V8" i="4"/>
  <c r="W8" i="4"/>
  <c r="X8" i="4"/>
  <c r="Y8" i="4"/>
  <c r="Z8" i="4"/>
  <c r="AA8" i="4"/>
  <c r="AB8" i="4"/>
  <c r="AC8" i="4"/>
  <c r="AD8" i="4"/>
  <c r="AE8" i="4"/>
  <c r="AF8" i="4"/>
  <c r="AG8" i="4"/>
  <c r="N10" i="5" l="1"/>
  <c r="Q9" i="5"/>
  <c r="D9" i="4" s="1"/>
  <c r="T9" i="4" s="1"/>
  <c r="R9" i="5"/>
  <c r="F73" i="3"/>
  <c r="M20" i="5"/>
  <c r="P10" i="5" l="1"/>
  <c r="C10" i="4" s="1"/>
  <c r="O10" i="5"/>
  <c r="F80" i="3"/>
  <c r="F79" i="3"/>
  <c r="F78" i="3"/>
  <c r="F77" i="3"/>
  <c r="M21" i="5"/>
  <c r="U9" i="4"/>
  <c r="V9" i="4"/>
  <c r="W9" i="4"/>
  <c r="X9" i="4"/>
  <c r="Y9" i="4"/>
  <c r="Z9" i="4"/>
  <c r="AA9" i="4"/>
  <c r="AB9" i="4"/>
  <c r="AC9" i="4"/>
  <c r="AD9" i="4"/>
  <c r="AE9" i="4"/>
  <c r="AF9" i="4"/>
  <c r="AG9" i="4"/>
  <c r="AH9" i="4"/>
  <c r="AI9" i="4"/>
  <c r="AJ9" i="4"/>
  <c r="AK9" i="4"/>
  <c r="AL9" i="4"/>
  <c r="AM9" i="4"/>
  <c r="AN9" i="4"/>
  <c r="AO9" i="4"/>
  <c r="AP9" i="4"/>
  <c r="AQ9" i="4"/>
  <c r="AR9" i="4"/>
  <c r="AS9" i="4"/>
  <c r="AT9" i="4"/>
  <c r="AU9" i="4"/>
  <c r="AV9" i="4"/>
  <c r="AW9" i="4"/>
  <c r="AX9" i="4"/>
  <c r="AY9" i="4"/>
  <c r="AZ9" i="4"/>
  <c r="BA9" i="4"/>
  <c r="BB9" i="4"/>
  <c r="BC9" i="4"/>
  <c r="BD9" i="4"/>
  <c r="BE9" i="4"/>
  <c r="BF9" i="4"/>
  <c r="BG9" i="4"/>
  <c r="BH9" i="4"/>
  <c r="BI9" i="4"/>
  <c r="BJ9" i="4"/>
  <c r="BK9" i="4"/>
  <c r="BL9" i="4"/>
  <c r="BM9" i="4"/>
  <c r="BN9" i="4"/>
  <c r="BO9" i="4"/>
  <c r="BP9" i="4"/>
  <c r="BQ9" i="4"/>
  <c r="BR9" i="4"/>
  <c r="E9" i="4"/>
  <c r="F9" i="4"/>
  <c r="G9" i="4"/>
  <c r="H9" i="4"/>
  <c r="I9" i="4"/>
  <c r="J9" i="4"/>
  <c r="K9" i="4"/>
  <c r="L9" i="4"/>
  <c r="M9" i="4"/>
  <c r="N9" i="4"/>
  <c r="O9" i="4"/>
  <c r="P9" i="4"/>
  <c r="Q9" i="4"/>
  <c r="R9" i="4"/>
  <c r="S9" i="4"/>
  <c r="BS9" i="4"/>
  <c r="BT9" i="4"/>
  <c r="BU9" i="4"/>
  <c r="BV9" i="4"/>
  <c r="BW9" i="4"/>
  <c r="BX9" i="4"/>
  <c r="BY9" i="4"/>
  <c r="BZ9" i="4"/>
  <c r="CA9" i="4"/>
  <c r="DB9" i="4"/>
  <c r="DD9" i="4"/>
  <c r="CB9" i="4"/>
  <c r="CC9" i="4"/>
  <c r="CD9" i="4"/>
  <c r="CE9" i="4"/>
  <c r="CF9" i="4"/>
  <c r="CG9" i="4"/>
  <c r="CH9" i="4"/>
  <c r="CI9" i="4"/>
  <c r="CJ9" i="4"/>
  <c r="CK9" i="4"/>
  <c r="CL9" i="4"/>
  <c r="CM9" i="4"/>
  <c r="CN9" i="4"/>
  <c r="CO9" i="4"/>
  <c r="CP9" i="4"/>
  <c r="CQ9" i="4"/>
  <c r="CR9" i="4"/>
  <c r="CS9" i="4"/>
  <c r="CT9" i="4"/>
  <c r="CU9" i="4"/>
  <c r="CV9" i="4"/>
  <c r="CW9" i="4"/>
  <c r="CX9" i="4"/>
  <c r="CY9" i="4"/>
  <c r="CZ9" i="4"/>
  <c r="DA9" i="4"/>
  <c r="DC9" i="4"/>
  <c r="N11" i="5" l="1"/>
  <c r="Q10" i="5"/>
  <c r="D10" i="4" s="1"/>
  <c r="R10" i="5"/>
  <c r="F62" i="3"/>
  <c r="F61" i="3"/>
  <c r="F52" i="3"/>
  <c r="F51" i="3"/>
  <c r="F50" i="3"/>
  <c r="F7" i="3"/>
  <c r="M22" i="5"/>
  <c r="O11" i="5" l="1"/>
  <c r="P11" i="5"/>
  <c r="C11" i="4" s="1"/>
  <c r="F74" i="3"/>
  <c r="F53" i="3"/>
  <c r="F49" i="3"/>
  <c r="F48" i="3"/>
  <c r="M23" i="5"/>
  <c r="E10" i="4"/>
  <c r="F10" i="4"/>
  <c r="G10" i="4"/>
  <c r="H10" i="4"/>
  <c r="I10" i="4"/>
  <c r="J10" i="4"/>
  <c r="K10" i="4"/>
  <c r="L10" i="4"/>
  <c r="M10" i="4"/>
  <c r="N10" i="4"/>
  <c r="O10" i="4"/>
  <c r="P10" i="4"/>
  <c r="Q10" i="4"/>
  <c r="R10" i="4"/>
  <c r="S10" i="4"/>
  <c r="T10" i="4"/>
  <c r="U10" i="4"/>
  <c r="V10" i="4"/>
  <c r="W10" i="4"/>
  <c r="X10" i="4"/>
  <c r="Y10" i="4"/>
  <c r="Z10" i="4"/>
  <c r="AA10" i="4"/>
  <c r="AB10" i="4"/>
  <c r="AC10" i="4"/>
  <c r="AD10" i="4"/>
  <c r="AE10" i="4"/>
  <c r="AF10" i="4"/>
  <c r="AG10" i="4"/>
  <c r="AH10" i="4"/>
  <c r="AI10" i="4"/>
  <c r="AJ10" i="4"/>
  <c r="AK10" i="4"/>
  <c r="AL10" i="4"/>
  <c r="AM10" i="4"/>
  <c r="AN10" i="4"/>
  <c r="AO10" i="4"/>
  <c r="AP10" i="4"/>
  <c r="AQ10" i="4"/>
  <c r="AR10" i="4"/>
  <c r="AS10" i="4"/>
  <c r="AT10" i="4"/>
  <c r="AU10" i="4"/>
  <c r="AV10" i="4"/>
  <c r="AW10" i="4"/>
  <c r="AX10" i="4"/>
  <c r="AY10" i="4"/>
  <c r="AZ10" i="4"/>
  <c r="BA10" i="4"/>
  <c r="BB10" i="4"/>
  <c r="BC10" i="4"/>
  <c r="BD10" i="4"/>
  <c r="BE10" i="4"/>
  <c r="BF10" i="4"/>
  <c r="BG10" i="4"/>
  <c r="BH10" i="4"/>
  <c r="BI10" i="4"/>
  <c r="BJ10" i="4"/>
  <c r="BK10" i="4"/>
  <c r="BL10" i="4"/>
  <c r="BM10" i="4"/>
  <c r="BN10" i="4"/>
  <c r="BO10" i="4"/>
  <c r="BP10" i="4"/>
  <c r="BQ10" i="4"/>
  <c r="BR10" i="4"/>
  <c r="BS10" i="4"/>
  <c r="BT10" i="4"/>
  <c r="BU10" i="4"/>
  <c r="BV10" i="4"/>
  <c r="BX10" i="4"/>
  <c r="BY10" i="4"/>
  <c r="BZ10" i="4"/>
  <c r="CA10" i="4"/>
  <c r="CB10" i="4"/>
  <c r="CC10" i="4"/>
  <c r="CD10" i="4"/>
  <c r="CE10" i="4"/>
  <c r="CF10" i="4"/>
  <c r="CG10" i="4"/>
  <c r="CH10" i="4"/>
  <c r="CI10" i="4"/>
  <c r="CJ10" i="4"/>
  <c r="CK10" i="4"/>
  <c r="CL10" i="4"/>
  <c r="CM10" i="4"/>
  <c r="CO10" i="4"/>
  <c r="CP10" i="4"/>
  <c r="CQ10" i="4"/>
  <c r="CR10" i="4"/>
  <c r="CS10" i="4"/>
  <c r="CT10" i="4"/>
  <c r="CU10" i="4"/>
  <c r="CV10" i="4"/>
  <c r="CW10" i="4"/>
  <c r="BW10" i="4"/>
  <c r="CN10" i="4"/>
  <c r="CX10" i="4"/>
  <c r="CY10" i="4"/>
  <c r="CZ10" i="4"/>
  <c r="DA10" i="4"/>
  <c r="DB10" i="4"/>
  <c r="DC10" i="4"/>
  <c r="DD10" i="4"/>
  <c r="N12" i="5" l="1"/>
  <c r="Q11" i="5"/>
  <c r="D11" i="4" s="1"/>
  <c r="R11" i="5"/>
  <c r="F54" i="3"/>
  <c r="M24" i="5"/>
  <c r="O12" i="5" l="1"/>
  <c r="P12" i="5"/>
  <c r="C12" i="4" s="1"/>
  <c r="F69" i="3"/>
  <c r="F68" i="3"/>
  <c r="F64" i="3"/>
  <c r="F63" i="3"/>
  <c r="M25" i="5"/>
  <c r="E11" i="4"/>
  <c r="F11" i="4"/>
  <c r="G11" i="4"/>
  <c r="H11" i="4"/>
  <c r="I11" i="4"/>
  <c r="J11" i="4"/>
  <c r="K11" i="4"/>
  <c r="L11" i="4"/>
  <c r="M11" i="4"/>
  <c r="N11" i="4"/>
  <c r="O11" i="4"/>
  <c r="P11" i="4"/>
  <c r="Q11" i="4"/>
  <c r="R11" i="4"/>
  <c r="S11" i="4"/>
  <c r="T11" i="4"/>
  <c r="U11" i="4"/>
  <c r="V11" i="4"/>
  <c r="W11" i="4"/>
  <c r="X11" i="4"/>
  <c r="Y11" i="4"/>
  <c r="Z11" i="4"/>
  <c r="AA11" i="4"/>
  <c r="AB11" i="4"/>
  <c r="AC11" i="4"/>
  <c r="AD11" i="4"/>
  <c r="AE11" i="4"/>
  <c r="AF11" i="4"/>
  <c r="AG11" i="4"/>
  <c r="AH11" i="4"/>
  <c r="AI11" i="4"/>
  <c r="AJ11" i="4"/>
  <c r="AK11" i="4"/>
  <c r="AL11" i="4"/>
  <c r="AM11" i="4"/>
  <c r="AN11" i="4"/>
  <c r="AO11" i="4"/>
  <c r="AP11" i="4"/>
  <c r="AQ11" i="4"/>
  <c r="AR11" i="4"/>
  <c r="AS11" i="4"/>
  <c r="AT11" i="4"/>
  <c r="AU11" i="4"/>
  <c r="AV11" i="4"/>
  <c r="AW11" i="4"/>
  <c r="AX11" i="4"/>
  <c r="AY11" i="4"/>
  <c r="AZ11" i="4"/>
  <c r="BA11" i="4"/>
  <c r="BB11" i="4"/>
  <c r="BC11" i="4"/>
  <c r="BD11" i="4"/>
  <c r="BE11" i="4"/>
  <c r="BF11" i="4"/>
  <c r="BG11" i="4"/>
  <c r="BH11" i="4"/>
  <c r="BI11" i="4"/>
  <c r="BJ11" i="4"/>
  <c r="BK11" i="4"/>
  <c r="BL11" i="4"/>
  <c r="BM11" i="4"/>
  <c r="BN11" i="4"/>
  <c r="BO11" i="4"/>
  <c r="BP11" i="4"/>
  <c r="BQ11" i="4"/>
  <c r="BR11" i="4"/>
  <c r="BS11" i="4"/>
  <c r="BT11" i="4"/>
  <c r="BU11" i="4"/>
  <c r="BV11" i="4"/>
  <c r="BW11" i="4"/>
  <c r="BX11" i="4"/>
  <c r="BY11" i="4"/>
  <c r="BZ11" i="4"/>
  <c r="CA11" i="4"/>
  <c r="CB11" i="4"/>
  <c r="CD11" i="4"/>
  <c r="CE11" i="4"/>
  <c r="CG11" i="4"/>
  <c r="CH11" i="4"/>
  <c r="CJ11" i="4"/>
  <c r="CL11" i="4"/>
  <c r="CN11" i="4"/>
  <c r="CO11" i="4"/>
  <c r="CP11" i="4"/>
  <c r="CQ11" i="4"/>
  <c r="CR11" i="4"/>
  <c r="CS11" i="4"/>
  <c r="CT11" i="4"/>
  <c r="CU11" i="4"/>
  <c r="CV11" i="4"/>
  <c r="CC11" i="4"/>
  <c r="CF11" i="4"/>
  <c r="CI11" i="4"/>
  <c r="CK11" i="4"/>
  <c r="CM11" i="4"/>
  <c r="CW11" i="4"/>
  <c r="CX11" i="4"/>
  <c r="CY11" i="4"/>
  <c r="CZ11" i="4"/>
  <c r="DA11" i="4"/>
  <c r="DB11" i="4"/>
  <c r="DC11" i="4"/>
  <c r="DD11" i="4"/>
  <c r="N13" i="5" l="1"/>
  <c r="Q12" i="5"/>
  <c r="D12" i="4" s="1"/>
  <c r="R12" i="5"/>
  <c r="F71" i="3"/>
  <c r="F67" i="3"/>
  <c r="M26" i="5"/>
  <c r="O13" i="5" l="1"/>
  <c r="P13" i="5"/>
  <c r="C13" i="4" s="1"/>
  <c r="F75" i="3"/>
  <c r="F72" i="3"/>
  <c r="M27" i="5"/>
  <c r="H12" i="4"/>
  <c r="I12" i="4"/>
  <c r="J12" i="4"/>
  <c r="K12" i="4"/>
  <c r="L12" i="4"/>
  <c r="M12" i="4"/>
  <c r="N12" i="4"/>
  <c r="O12" i="4"/>
  <c r="P12" i="4"/>
  <c r="Q12" i="4"/>
  <c r="R12" i="4"/>
  <c r="S12" i="4"/>
  <c r="T12" i="4"/>
  <c r="U12" i="4"/>
  <c r="V12" i="4"/>
  <c r="W12" i="4"/>
  <c r="X12" i="4"/>
  <c r="Y12" i="4"/>
  <c r="Z12" i="4"/>
  <c r="AA12" i="4"/>
  <c r="AB12" i="4"/>
  <c r="AC12" i="4"/>
  <c r="AD12" i="4"/>
  <c r="AE12" i="4"/>
  <c r="AF12" i="4"/>
  <c r="AG12" i="4"/>
  <c r="AH12" i="4"/>
  <c r="AI12" i="4"/>
  <c r="AJ12" i="4"/>
  <c r="AK12" i="4"/>
  <c r="AL12" i="4"/>
  <c r="AM12" i="4"/>
  <c r="AN12" i="4"/>
  <c r="AO12" i="4"/>
  <c r="AP12" i="4"/>
  <c r="AQ12" i="4"/>
  <c r="AR12" i="4"/>
  <c r="AS12" i="4"/>
  <c r="AT12" i="4"/>
  <c r="AU12" i="4"/>
  <c r="AV12" i="4"/>
  <c r="AW12" i="4"/>
  <c r="AX12" i="4"/>
  <c r="AY12" i="4"/>
  <c r="AZ12" i="4"/>
  <c r="BA12" i="4"/>
  <c r="BB12" i="4"/>
  <c r="BC12" i="4"/>
  <c r="BD12" i="4"/>
  <c r="BE12" i="4"/>
  <c r="BF12" i="4"/>
  <c r="BG12" i="4"/>
  <c r="BH12" i="4"/>
  <c r="BI12" i="4"/>
  <c r="BJ12" i="4"/>
  <c r="BK12" i="4"/>
  <c r="BL12" i="4"/>
  <c r="BM12" i="4"/>
  <c r="BN12" i="4"/>
  <c r="BO12" i="4"/>
  <c r="CE12" i="4"/>
  <c r="CH12" i="4"/>
  <c r="CK12" i="4"/>
  <c r="CM12" i="4"/>
  <c r="CP12" i="4"/>
  <c r="CS12" i="4"/>
  <c r="CU12" i="4"/>
  <c r="CW12" i="4"/>
  <c r="CY12" i="4"/>
  <c r="DA12" i="4"/>
  <c r="DC12" i="4"/>
  <c r="E12" i="4"/>
  <c r="F12" i="4"/>
  <c r="G12" i="4"/>
  <c r="BP12" i="4"/>
  <c r="BQ12" i="4"/>
  <c r="BR12" i="4"/>
  <c r="BS12" i="4"/>
  <c r="BT12" i="4"/>
  <c r="BU12" i="4"/>
  <c r="BV12" i="4"/>
  <c r="BW12" i="4"/>
  <c r="BX12" i="4"/>
  <c r="BY12" i="4"/>
  <c r="BZ12" i="4"/>
  <c r="CA12" i="4"/>
  <c r="CB12" i="4"/>
  <c r="CC12" i="4"/>
  <c r="CD12" i="4"/>
  <c r="CF12" i="4"/>
  <c r="CG12" i="4"/>
  <c r="CI12" i="4"/>
  <c r="CJ12" i="4"/>
  <c r="CL12" i="4"/>
  <c r="CN12" i="4"/>
  <c r="CO12" i="4"/>
  <c r="CQ12" i="4"/>
  <c r="CR12" i="4"/>
  <c r="CT12" i="4"/>
  <c r="CV12" i="4"/>
  <c r="CX12" i="4"/>
  <c r="CZ12" i="4"/>
  <c r="DB12" i="4"/>
  <c r="DD12" i="4"/>
  <c r="N14" i="5" l="1"/>
  <c r="R13" i="5"/>
  <c r="Q13" i="5"/>
  <c r="D13" i="4" s="1"/>
  <c r="F76" i="3"/>
  <c r="M29" i="5"/>
  <c r="O14" i="5" l="1"/>
  <c r="P14" i="5"/>
  <c r="C14" i="4" s="1"/>
  <c r="N29" i="5"/>
  <c r="M30" i="5"/>
  <c r="J13" i="4"/>
  <c r="K13" i="4"/>
  <c r="L13" i="4"/>
  <c r="M13" i="4"/>
  <c r="N13" i="4"/>
  <c r="O13" i="4"/>
  <c r="P13" i="4"/>
  <c r="Q13" i="4"/>
  <c r="R13" i="4"/>
  <c r="S13" i="4"/>
  <c r="T13" i="4"/>
  <c r="U13" i="4"/>
  <c r="V13" i="4"/>
  <c r="W13" i="4"/>
  <c r="X13" i="4"/>
  <c r="Y13" i="4"/>
  <c r="Z13" i="4"/>
  <c r="AA13" i="4"/>
  <c r="AB13" i="4"/>
  <c r="AC13" i="4"/>
  <c r="AD13" i="4"/>
  <c r="AE13" i="4"/>
  <c r="AF13" i="4"/>
  <c r="AG13" i="4"/>
  <c r="AH13" i="4"/>
  <c r="AI13" i="4"/>
  <c r="AJ13" i="4"/>
  <c r="AK13" i="4"/>
  <c r="AL13" i="4"/>
  <c r="AM13" i="4"/>
  <c r="AN13" i="4"/>
  <c r="AO13" i="4"/>
  <c r="AP13" i="4"/>
  <c r="AQ13" i="4"/>
  <c r="AR13" i="4"/>
  <c r="AS13" i="4"/>
  <c r="AT13" i="4"/>
  <c r="AU13" i="4"/>
  <c r="AV13" i="4"/>
  <c r="AW13" i="4"/>
  <c r="AX13" i="4"/>
  <c r="AY13" i="4"/>
  <c r="AZ13" i="4"/>
  <c r="BA13" i="4"/>
  <c r="BB13" i="4"/>
  <c r="BC13" i="4"/>
  <c r="BD13" i="4"/>
  <c r="BE13" i="4"/>
  <c r="BF13" i="4"/>
  <c r="BG13" i="4"/>
  <c r="BH13" i="4"/>
  <c r="BI13" i="4"/>
  <c r="BJ13" i="4"/>
  <c r="BK13" i="4"/>
  <c r="BL13" i="4"/>
  <c r="E13" i="4"/>
  <c r="F13" i="4"/>
  <c r="G13" i="4"/>
  <c r="H13" i="4"/>
  <c r="I13" i="4"/>
  <c r="BM13" i="4"/>
  <c r="BN13" i="4"/>
  <c r="BO13" i="4"/>
  <c r="BP13" i="4"/>
  <c r="BQ13" i="4"/>
  <c r="BR13" i="4"/>
  <c r="BS13" i="4"/>
  <c r="BT13" i="4"/>
  <c r="BU13" i="4"/>
  <c r="BV13" i="4"/>
  <c r="BW13" i="4"/>
  <c r="BX13" i="4"/>
  <c r="BY13" i="4"/>
  <c r="BZ13" i="4"/>
  <c r="CA13" i="4"/>
  <c r="CB13" i="4"/>
  <c r="CC13" i="4"/>
  <c r="CD13" i="4"/>
  <c r="CE13" i="4"/>
  <c r="CF13" i="4"/>
  <c r="CG13" i="4"/>
  <c r="CH13" i="4"/>
  <c r="CI13" i="4"/>
  <c r="CJ13" i="4"/>
  <c r="CK13" i="4"/>
  <c r="CL13" i="4"/>
  <c r="CM13" i="4"/>
  <c r="CN13" i="4"/>
  <c r="CO13" i="4"/>
  <c r="CP13" i="4"/>
  <c r="CQ13" i="4"/>
  <c r="CR13" i="4"/>
  <c r="CS13" i="4"/>
  <c r="CT13" i="4"/>
  <c r="CU13" i="4"/>
  <c r="CV13" i="4"/>
  <c r="CW13" i="4"/>
  <c r="CX13" i="4"/>
  <c r="CY13" i="4"/>
  <c r="CZ13" i="4"/>
  <c r="DA13" i="4"/>
  <c r="DB13" i="4"/>
  <c r="DC13" i="4"/>
  <c r="DD13" i="4"/>
  <c r="N15" i="5" l="1"/>
  <c r="R14" i="5"/>
  <c r="Q14" i="5"/>
  <c r="D14" i="4" s="1"/>
  <c r="M31" i="5"/>
  <c r="P29" i="5"/>
  <c r="C29" i="4" s="1"/>
  <c r="O29" i="5"/>
  <c r="N30" i="5" s="1"/>
  <c r="P15" i="5" l="1"/>
  <c r="C15" i="4" s="1"/>
  <c r="O15" i="5"/>
  <c r="M32" i="5"/>
  <c r="Q29" i="5"/>
  <c r="D29" i="4" s="1"/>
  <c r="R29" i="5"/>
  <c r="Y14" i="4"/>
  <c r="Z14" i="4"/>
  <c r="AA14" i="4"/>
  <c r="AB14" i="4"/>
  <c r="AC14" i="4"/>
  <c r="AD14" i="4"/>
  <c r="AE14" i="4"/>
  <c r="AF14" i="4"/>
  <c r="AG14" i="4"/>
  <c r="AH14" i="4"/>
  <c r="AI14" i="4"/>
  <c r="AJ14" i="4"/>
  <c r="AK14" i="4"/>
  <c r="AL14" i="4"/>
  <c r="AM14" i="4"/>
  <c r="AN14" i="4"/>
  <c r="AO14" i="4"/>
  <c r="AP14" i="4"/>
  <c r="AQ14" i="4"/>
  <c r="AR14" i="4"/>
  <c r="AS14" i="4"/>
  <c r="AT14" i="4"/>
  <c r="AU14" i="4"/>
  <c r="AV14" i="4"/>
  <c r="AW14" i="4"/>
  <c r="AX14" i="4"/>
  <c r="AY14" i="4"/>
  <c r="AZ14" i="4"/>
  <c r="BA14" i="4"/>
  <c r="BB14" i="4"/>
  <c r="BC14" i="4"/>
  <c r="BD14" i="4"/>
  <c r="BE14" i="4"/>
  <c r="BF14" i="4"/>
  <c r="BG14" i="4"/>
  <c r="BH14" i="4"/>
  <c r="BI14" i="4"/>
  <c r="BJ14" i="4"/>
  <c r="BK14" i="4"/>
  <c r="BL14" i="4"/>
  <c r="BM14" i="4"/>
  <c r="BN14" i="4"/>
  <c r="BO14" i="4"/>
  <c r="BP14" i="4"/>
  <c r="BQ14" i="4"/>
  <c r="BR14" i="4"/>
  <c r="BS14" i="4"/>
  <c r="BT14" i="4"/>
  <c r="BU14" i="4"/>
  <c r="BV14" i="4"/>
  <c r="BW14" i="4"/>
  <c r="BX14" i="4"/>
  <c r="CD14" i="4"/>
  <c r="CF14" i="4"/>
  <c r="CH14" i="4"/>
  <c r="CJ14" i="4"/>
  <c r="CL14" i="4"/>
  <c r="CN14" i="4"/>
  <c r="BY14" i="4"/>
  <c r="BZ14" i="4"/>
  <c r="CA14" i="4"/>
  <c r="CB14" i="4"/>
  <c r="CC14" i="4"/>
  <c r="CE14" i="4"/>
  <c r="CG14" i="4"/>
  <c r="CI14" i="4"/>
  <c r="CK14" i="4"/>
  <c r="CM14" i="4"/>
  <c r="CO14" i="4"/>
  <c r="E14" i="4"/>
  <c r="F14" i="4"/>
  <c r="G14" i="4"/>
  <c r="H14" i="4"/>
  <c r="I14" i="4"/>
  <c r="J14" i="4"/>
  <c r="K14" i="4"/>
  <c r="L14" i="4"/>
  <c r="M14" i="4"/>
  <c r="N14" i="4"/>
  <c r="O14" i="4"/>
  <c r="P14" i="4"/>
  <c r="Q14" i="4"/>
  <c r="R14" i="4"/>
  <c r="S14" i="4"/>
  <c r="T14" i="4"/>
  <c r="U14" i="4"/>
  <c r="V14" i="4"/>
  <c r="W14" i="4"/>
  <c r="X14" i="4"/>
  <c r="CP14" i="4"/>
  <c r="CQ14" i="4"/>
  <c r="CR14" i="4"/>
  <c r="CS14" i="4"/>
  <c r="CT14" i="4"/>
  <c r="CU14" i="4"/>
  <c r="CV14" i="4"/>
  <c r="CW14" i="4"/>
  <c r="CX14" i="4"/>
  <c r="CY14" i="4"/>
  <c r="CZ14" i="4"/>
  <c r="DA14" i="4"/>
  <c r="DB14" i="4"/>
  <c r="DC14" i="4"/>
  <c r="DD14" i="4"/>
  <c r="O30" i="5"/>
  <c r="N31" i="5" s="1"/>
  <c r="P30" i="5"/>
  <c r="C30" i="4" s="1"/>
  <c r="BY29" i="4" l="1"/>
  <c r="BX29" i="4"/>
  <c r="BW29" i="4"/>
  <c r="BV29" i="4"/>
  <c r="BU29" i="4"/>
  <c r="N16" i="5"/>
  <c r="R15" i="5"/>
  <c r="Q15" i="5"/>
  <c r="D15" i="4" s="1"/>
  <c r="M33" i="5"/>
  <c r="Q30" i="5"/>
  <c r="D30" i="4" s="1"/>
  <c r="R30" i="5"/>
  <c r="P31" i="5"/>
  <c r="C31" i="4" s="1"/>
  <c r="O31" i="5"/>
  <c r="N32" i="5" s="1"/>
  <c r="BT29" i="4"/>
  <c r="BS29" i="4"/>
  <c r="BR29" i="4"/>
  <c r="BQ29" i="4"/>
  <c r="BP29" i="4"/>
  <c r="BO29" i="4"/>
  <c r="BN29" i="4"/>
  <c r="BM29" i="4"/>
  <c r="BL29" i="4"/>
  <c r="BK29" i="4"/>
  <c r="BJ29" i="4"/>
  <c r="BI29" i="4"/>
  <c r="BH29" i="4"/>
  <c r="BG29" i="4"/>
  <c r="BF29" i="4"/>
  <c r="BE29" i="4"/>
  <c r="BD29" i="4"/>
  <c r="BC29" i="4"/>
  <c r="BB29" i="4"/>
  <c r="BA29" i="4"/>
  <c r="AZ29" i="4"/>
  <c r="AY29" i="4"/>
  <c r="AX29" i="4"/>
  <c r="AW29" i="4"/>
  <c r="AV29" i="4"/>
  <c r="AU29" i="4"/>
  <c r="AT29" i="4"/>
  <c r="AS29" i="4"/>
  <c r="AR29" i="4"/>
  <c r="AQ29" i="4"/>
  <c r="AP29" i="4"/>
  <c r="AO29" i="4"/>
  <c r="AN29" i="4"/>
  <c r="AM29" i="4"/>
  <c r="AL29" i="4"/>
  <c r="AK29" i="4"/>
  <c r="AJ29" i="4"/>
  <c r="AI29" i="4"/>
  <c r="AH29" i="4"/>
  <c r="AG29" i="4"/>
  <c r="AF29" i="4"/>
  <c r="AE29" i="4"/>
  <c r="AD29" i="4"/>
  <c r="AC29" i="4"/>
  <c r="AB29" i="4"/>
  <c r="AA29" i="4"/>
  <c r="Z29" i="4"/>
  <c r="Y29" i="4"/>
  <c r="X29" i="4"/>
  <c r="W29" i="4"/>
  <c r="V29" i="4"/>
  <c r="U29" i="4"/>
  <c r="T29" i="4"/>
  <c r="S29" i="4"/>
  <c r="R29" i="4"/>
  <c r="Q29" i="4"/>
  <c r="P29" i="4"/>
  <c r="O29" i="4"/>
  <c r="N29" i="4"/>
  <c r="M29" i="4"/>
  <c r="L29" i="4"/>
  <c r="K29" i="4"/>
  <c r="J29" i="4"/>
  <c r="I29" i="4"/>
  <c r="H29" i="4"/>
  <c r="G29" i="4"/>
  <c r="F29" i="4"/>
  <c r="E29" i="4"/>
  <c r="DD29" i="4"/>
  <c r="DC29" i="4"/>
  <c r="DB29" i="4"/>
  <c r="DA29" i="4"/>
  <c r="CZ29" i="4"/>
  <c r="CY29" i="4"/>
  <c r="CX29" i="4"/>
  <c r="CW29" i="4"/>
  <c r="CV29" i="4"/>
  <c r="CU29" i="4"/>
  <c r="CT29" i="4"/>
  <c r="CS29" i="4"/>
  <c r="CR29" i="4"/>
  <c r="CQ29" i="4"/>
  <c r="CP29" i="4"/>
  <c r="CO29" i="4"/>
  <c r="CN29" i="4"/>
  <c r="CM29" i="4"/>
  <c r="CL29" i="4"/>
  <c r="CK29" i="4"/>
  <c r="CJ29" i="4"/>
  <c r="CI29" i="4"/>
  <c r="CH29" i="4"/>
  <c r="CG29" i="4"/>
  <c r="CF29" i="4"/>
  <c r="CE29" i="4"/>
  <c r="CD29" i="4"/>
  <c r="CC29" i="4"/>
  <c r="CB29" i="4"/>
  <c r="CA29" i="4"/>
  <c r="BZ29" i="4"/>
  <c r="O16" i="5" l="1"/>
  <c r="P16" i="5"/>
  <c r="C16" i="4" s="1"/>
  <c r="M37" i="5"/>
  <c r="R31" i="5"/>
  <c r="Q31" i="5"/>
  <c r="D31" i="4" s="1"/>
  <c r="Q15" i="4"/>
  <c r="CH15" i="4"/>
  <c r="CT15" i="4"/>
  <c r="F15" i="4"/>
  <c r="H15" i="4"/>
  <c r="J15" i="4"/>
  <c r="L15" i="4"/>
  <c r="N15" i="4"/>
  <c r="P15" i="4"/>
  <c r="R15" i="4"/>
  <c r="T15" i="4"/>
  <c r="V15" i="4"/>
  <c r="X15" i="4"/>
  <c r="Z15" i="4"/>
  <c r="AB15" i="4"/>
  <c r="AD15" i="4"/>
  <c r="AH15" i="4"/>
  <c r="AJ15" i="4"/>
  <c r="AL15" i="4"/>
  <c r="AN15" i="4"/>
  <c r="AP15" i="4"/>
  <c r="AR15" i="4"/>
  <c r="AT15" i="4"/>
  <c r="AV15" i="4"/>
  <c r="AX15" i="4"/>
  <c r="AZ15" i="4"/>
  <c r="AF15" i="4"/>
  <c r="BB15" i="4"/>
  <c r="BD15" i="4"/>
  <c r="BE15" i="4"/>
  <c r="BG15" i="4"/>
  <c r="BI15" i="4"/>
  <c r="BJ15" i="4"/>
  <c r="BL15" i="4"/>
  <c r="BN15" i="4"/>
  <c r="BP15" i="4"/>
  <c r="BS15" i="4"/>
  <c r="BU15" i="4"/>
  <c r="BW15" i="4"/>
  <c r="BZ15" i="4"/>
  <c r="CB15" i="4"/>
  <c r="CD15" i="4"/>
  <c r="CF15" i="4"/>
  <c r="CJ15" i="4"/>
  <c r="CM15" i="4"/>
  <c r="CO15" i="4"/>
  <c r="E15" i="4"/>
  <c r="G15" i="4"/>
  <c r="I15" i="4"/>
  <c r="K15" i="4"/>
  <c r="M15" i="4"/>
  <c r="O15" i="4"/>
  <c r="CQ15" i="4"/>
  <c r="S15" i="4"/>
  <c r="U15" i="4"/>
  <c r="W15" i="4"/>
  <c r="Y15" i="4"/>
  <c r="AA15" i="4"/>
  <c r="AC15" i="4"/>
  <c r="AE15" i="4"/>
  <c r="AG15" i="4"/>
  <c r="AI15" i="4"/>
  <c r="AK15" i="4"/>
  <c r="AM15" i="4"/>
  <c r="AO15" i="4"/>
  <c r="AQ15" i="4"/>
  <c r="AS15" i="4"/>
  <c r="AU15" i="4"/>
  <c r="AW15" i="4"/>
  <c r="AY15" i="4"/>
  <c r="BA15" i="4"/>
  <c r="BC15" i="4"/>
  <c r="BF15" i="4"/>
  <c r="BH15" i="4"/>
  <c r="BK15" i="4"/>
  <c r="BM15" i="4"/>
  <c r="BO15" i="4"/>
  <c r="BQ15" i="4"/>
  <c r="BR15" i="4"/>
  <c r="BT15" i="4"/>
  <c r="BV15" i="4"/>
  <c r="BX15" i="4"/>
  <c r="BY15" i="4"/>
  <c r="CA15" i="4"/>
  <c r="CC15" i="4"/>
  <c r="CE15" i="4"/>
  <c r="CG15" i="4"/>
  <c r="CI15" i="4"/>
  <c r="CL15" i="4"/>
  <c r="CN15" i="4"/>
  <c r="CR15" i="4"/>
  <c r="CS15" i="4"/>
  <c r="CV15" i="4"/>
  <c r="CY15" i="4"/>
  <c r="DB15" i="4"/>
  <c r="CU15" i="4"/>
  <c r="CX15" i="4"/>
  <c r="DA15" i="4"/>
  <c r="DC15" i="4"/>
  <c r="CK15" i="4"/>
  <c r="CP15" i="4"/>
  <c r="CW15" i="4"/>
  <c r="CZ15" i="4"/>
  <c r="DD15" i="4"/>
  <c r="O32" i="5"/>
  <c r="N33" i="5" s="1"/>
  <c r="P32" i="5"/>
  <c r="C32" i="4" s="1"/>
  <c r="CG30" i="4"/>
  <c r="CF30" i="4"/>
  <c r="CE30" i="4"/>
  <c r="CD30" i="4"/>
  <c r="CC30" i="4"/>
  <c r="CB30" i="4"/>
  <c r="CA30" i="4"/>
  <c r="BZ30" i="4"/>
  <c r="BW30" i="4"/>
  <c r="BT30" i="4"/>
  <c r="BQ30" i="4"/>
  <c r="BM30" i="4"/>
  <c r="BK30" i="4"/>
  <c r="BH30" i="4"/>
  <c r="BE30" i="4"/>
  <c r="BB30" i="4"/>
  <c r="AY30" i="4"/>
  <c r="AV30" i="4"/>
  <c r="AT30" i="4"/>
  <c r="AQ30" i="4"/>
  <c r="AN30" i="4"/>
  <c r="AK30" i="4"/>
  <c r="AF30" i="4"/>
  <c r="Z30" i="4"/>
  <c r="W30" i="4"/>
  <c r="U30" i="4"/>
  <c r="Q30" i="4"/>
  <c r="BX30" i="4"/>
  <c r="BU30" i="4"/>
  <c r="BR30" i="4"/>
  <c r="BO30" i="4"/>
  <c r="BL30" i="4"/>
  <c r="BJ30" i="4"/>
  <c r="BF30" i="4"/>
  <c r="BC30" i="4"/>
  <c r="AZ30" i="4"/>
  <c r="AX30" i="4"/>
  <c r="AU30" i="4"/>
  <c r="AS30" i="4"/>
  <c r="AO30" i="4"/>
  <c r="AL30" i="4"/>
  <c r="AI30" i="4"/>
  <c r="AC30" i="4"/>
  <c r="AH30" i="4"/>
  <c r="AE30" i="4"/>
  <c r="AA30" i="4"/>
  <c r="X30" i="4"/>
  <c r="V30" i="4"/>
  <c r="S30" i="4"/>
  <c r="R30" i="4"/>
  <c r="P30" i="4"/>
  <c r="O30" i="4"/>
  <c r="N30" i="4"/>
  <c r="J30" i="4"/>
  <c r="I30" i="4"/>
  <c r="H30" i="4"/>
  <c r="G30" i="4"/>
  <c r="F30" i="4"/>
  <c r="E30" i="4"/>
  <c r="BY30" i="4"/>
  <c r="BN30" i="4"/>
  <c r="BI30" i="4"/>
  <c r="BG30" i="4"/>
  <c r="BD30" i="4"/>
  <c r="BA30" i="4"/>
  <c r="AW30" i="4"/>
  <c r="AR30" i="4"/>
  <c r="AP30" i="4"/>
  <c r="AM30" i="4"/>
  <c r="AJ30" i="4"/>
  <c r="AG30" i="4"/>
  <c r="AD30" i="4"/>
  <c r="AB30" i="4"/>
  <c r="Y30" i="4"/>
  <c r="T30" i="4"/>
  <c r="BV30" i="4"/>
  <c r="BS30" i="4"/>
  <c r="CJ30" i="4"/>
  <c r="BP30" i="4"/>
  <c r="L30" i="4"/>
  <c r="M30" i="4"/>
  <c r="CI30" i="4"/>
  <c r="CH30" i="4"/>
  <c r="K30" i="4"/>
  <c r="DD30" i="4"/>
  <c r="DC30" i="4"/>
  <c r="DB30" i="4"/>
  <c r="DA30" i="4"/>
  <c r="CZ30" i="4"/>
  <c r="CY30" i="4"/>
  <c r="CX30" i="4"/>
  <c r="CW30" i="4"/>
  <c r="CV30" i="4"/>
  <c r="CU30" i="4"/>
  <c r="CT30" i="4"/>
  <c r="CS30" i="4"/>
  <c r="CR30" i="4"/>
  <c r="CQ30" i="4"/>
  <c r="CP30" i="4"/>
  <c r="CO30" i="4"/>
  <c r="CN30" i="4"/>
  <c r="CM30" i="4"/>
  <c r="CL30" i="4"/>
  <c r="CK30" i="4"/>
  <c r="N17" i="5" l="1"/>
  <c r="R16" i="5"/>
  <c r="Q16" i="5"/>
  <c r="D16" i="4" s="1"/>
  <c r="N37" i="5"/>
  <c r="M38" i="5"/>
  <c r="R32" i="5"/>
  <c r="Q32" i="5"/>
  <c r="D32" i="4" s="1"/>
  <c r="P33" i="5"/>
  <c r="C33" i="4" s="1"/>
  <c r="O33" i="5"/>
  <c r="AW31" i="4"/>
  <c r="AV31" i="4"/>
  <c r="AU31" i="4"/>
  <c r="AT31" i="4"/>
  <c r="AS31" i="4"/>
  <c r="AR31" i="4"/>
  <c r="AQ31" i="4"/>
  <c r="AP31" i="4"/>
  <c r="AO31" i="4"/>
  <c r="AN31" i="4"/>
  <c r="AM31" i="4"/>
  <c r="AL31" i="4"/>
  <c r="AK31" i="4"/>
  <c r="AJ31" i="4"/>
  <c r="AI31" i="4"/>
  <c r="AH31" i="4"/>
  <c r="AG31" i="4"/>
  <c r="AF31" i="4"/>
  <c r="AE31" i="4"/>
  <c r="AD31" i="4"/>
  <c r="AC31" i="4"/>
  <c r="AB31" i="4"/>
  <c r="AA31" i="4"/>
  <c r="Z31" i="4"/>
  <c r="Y31" i="4"/>
  <c r="X31" i="4"/>
  <c r="W31" i="4"/>
  <c r="V31" i="4"/>
  <c r="U31" i="4"/>
  <c r="T31" i="4"/>
  <c r="S31" i="4"/>
  <c r="R31" i="4"/>
  <c r="Q31" i="4"/>
  <c r="P31" i="4"/>
  <c r="O31" i="4"/>
  <c r="N31" i="4"/>
  <c r="M31" i="4"/>
  <c r="L31" i="4"/>
  <c r="K31" i="4"/>
  <c r="J31" i="4"/>
  <c r="I31" i="4"/>
  <c r="H31" i="4"/>
  <c r="G31" i="4"/>
  <c r="F31" i="4"/>
  <c r="E31" i="4"/>
  <c r="DD31" i="4"/>
  <c r="DC31" i="4"/>
  <c r="DB31" i="4"/>
  <c r="DA31" i="4"/>
  <c r="CZ31" i="4"/>
  <c r="CY31" i="4"/>
  <c r="CX31" i="4"/>
  <c r="CW31" i="4"/>
  <c r="CV31" i="4"/>
  <c r="CU31" i="4"/>
  <c r="CT31" i="4"/>
  <c r="CS31" i="4"/>
  <c r="CR31" i="4"/>
  <c r="CQ31" i="4"/>
  <c r="CP31" i="4"/>
  <c r="CO31" i="4"/>
  <c r="CN31" i="4"/>
  <c r="CM31" i="4"/>
  <c r="CL31" i="4"/>
  <c r="CK31" i="4"/>
  <c r="CJ31" i="4"/>
  <c r="CI31" i="4"/>
  <c r="CH31" i="4"/>
  <c r="CG31" i="4"/>
  <c r="CF31" i="4"/>
  <c r="CE31" i="4"/>
  <c r="CD31" i="4"/>
  <c r="CC31" i="4"/>
  <c r="CB31" i="4"/>
  <c r="CA31" i="4"/>
  <c r="BZ31" i="4"/>
  <c r="BY31" i="4"/>
  <c r="BX31" i="4"/>
  <c r="BW31" i="4"/>
  <c r="BV31" i="4"/>
  <c r="BU31" i="4"/>
  <c r="BT31" i="4"/>
  <c r="BS31" i="4"/>
  <c r="BR31" i="4"/>
  <c r="BQ31" i="4"/>
  <c r="BP31" i="4"/>
  <c r="BO31" i="4"/>
  <c r="BN31" i="4"/>
  <c r="BM31" i="4"/>
  <c r="BL31" i="4"/>
  <c r="BK31" i="4"/>
  <c r="BJ31" i="4"/>
  <c r="BI31" i="4"/>
  <c r="BH31" i="4"/>
  <c r="BG31" i="4"/>
  <c r="BF31" i="4"/>
  <c r="BE31" i="4"/>
  <c r="BD31" i="4"/>
  <c r="BC31" i="4"/>
  <c r="BB31" i="4"/>
  <c r="BA31" i="4"/>
  <c r="AZ31" i="4"/>
  <c r="AY31" i="4"/>
  <c r="AX31" i="4"/>
  <c r="CG16" i="4" l="1"/>
  <c r="CJ16" i="4"/>
  <c r="CL16" i="4"/>
  <c r="CP16" i="4"/>
  <c r="CU16" i="4"/>
  <c r="CX16" i="4"/>
  <c r="CZ16" i="4"/>
  <c r="CE16" i="4"/>
  <c r="CN16" i="4"/>
  <c r="CS16" i="4"/>
  <c r="CW16" i="4"/>
  <c r="CY16" i="4"/>
  <c r="O37" i="5"/>
  <c r="N38" i="5" s="1"/>
  <c r="P37" i="5"/>
  <c r="C37" i="4" s="1"/>
  <c r="DA16" i="4"/>
  <c r="DB16" i="4"/>
  <c r="DC16" i="4"/>
  <c r="DD16" i="4"/>
  <c r="E16" i="4"/>
  <c r="F16" i="4"/>
  <c r="G16" i="4"/>
  <c r="H16" i="4"/>
  <c r="I16" i="4"/>
  <c r="J16" i="4"/>
  <c r="K16" i="4"/>
  <c r="L16" i="4"/>
  <c r="M16" i="4"/>
  <c r="N16" i="4"/>
  <c r="O16" i="4"/>
  <c r="P16" i="4"/>
  <c r="Q16" i="4"/>
  <c r="R16" i="4"/>
  <c r="S16" i="4"/>
  <c r="T16" i="4"/>
  <c r="U16" i="4"/>
  <c r="V16" i="4"/>
  <c r="W16" i="4"/>
  <c r="X16" i="4"/>
  <c r="Y16" i="4"/>
  <c r="Z16" i="4"/>
  <c r="AA16" i="4"/>
  <c r="AB16" i="4"/>
  <c r="AC16" i="4"/>
  <c r="AD16" i="4"/>
  <c r="AE16" i="4"/>
  <c r="H32" i="4"/>
  <c r="I32" i="4"/>
  <c r="J32" i="4"/>
  <c r="K32" i="4"/>
  <c r="L32" i="4"/>
  <c r="M32" i="4"/>
  <c r="N32" i="4"/>
  <c r="O32" i="4"/>
  <c r="P32" i="4"/>
  <c r="Q32" i="4"/>
  <c r="R32" i="4"/>
  <c r="S32" i="4"/>
  <c r="T32" i="4"/>
  <c r="U32" i="4"/>
  <c r="V32" i="4"/>
  <c r="W32" i="4"/>
  <c r="X32" i="4"/>
  <c r="Y32" i="4"/>
  <c r="Z32" i="4"/>
  <c r="AA32" i="4"/>
  <c r="AB32" i="4"/>
  <c r="AC32" i="4"/>
  <c r="AD32" i="4"/>
  <c r="AE32" i="4"/>
  <c r="AF32" i="4"/>
  <c r="AG32" i="4"/>
  <c r="AH32" i="4"/>
  <c r="AI32" i="4"/>
  <c r="AJ32" i="4"/>
  <c r="AK32" i="4"/>
  <c r="AL32" i="4"/>
  <c r="AM32" i="4"/>
  <c r="AN32" i="4"/>
  <c r="AO32" i="4"/>
  <c r="AP32" i="4"/>
  <c r="AQ32" i="4"/>
  <c r="AR32" i="4"/>
  <c r="AS32" i="4"/>
  <c r="AT32" i="4"/>
  <c r="AU32" i="4"/>
  <c r="AV32" i="4"/>
  <c r="AW32" i="4"/>
  <c r="AX32" i="4"/>
  <c r="AY32" i="4"/>
  <c r="AZ32" i="4"/>
  <c r="BA32" i="4"/>
  <c r="BB32" i="4"/>
  <c r="BC32" i="4"/>
  <c r="BD32" i="4"/>
  <c r="BE32" i="4"/>
  <c r="BF32" i="4"/>
  <c r="BG32" i="4"/>
  <c r="BH32" i="4"/>
  <c r="BI32" i="4"/>
  <c r="BJ32" i="4"/>
  <c r="BK32" i="4"/>
  <c r="BL32" i="4"/>
  <c r="BM32" i="4"/>
  <c r="BN32" i="4"/>
  <c r="BO32" i="4"/>
  <c r="BP32" i="4"/>
  <c r="BQ32" i="4"/>
  <c r="BR32" i="4"/>
  <c r="BS32" i="4"/>
  <c r="BT32" i="4"/>
  <c r="BU32" i="4"/>
  <c r="P17" i="5"/>
  <c r="C17" i="4" s="1"/>
  <c r="O17" i="5"/>
  <c r="M39" i="5"/>
  <c r="R33" i="5"/>
  <c r="Q33" i="5"/>
  <c r="D33" i="4" s="1"/>
  <c r="AF16" i="4"/>
  <c r="AG16" i="4"/>
  <c r="AH16" i="4"/>
  <c r="AI16" i="4"/>
  <c r="AJ16" i="4"/>
  <c r="AK16" i="4"/>
  <c r="AL16" i="4"/>
  <c r="AM16" i="4"/>
  <c r="AN16" i="4"/>
  <c r="AO16" i="4"/>
  <c r="AP16" i="4"/>
  <c r="AQ16" i="4"/>
  <c r="AR16" i="4"/>
  <c r="AS16" i="4"/>
  <c r="AT16" i="4"/>
  <c r="AU16" i="4"/>
  <c r="AV16" i="4"/>
  <c r="AW16" i="4"/>
  <c r="AX16" i="4"/>
  <c r="AY16" i="4"/>
  <c r="AZ16" i="4"/>
  <c r="BA16" i="4"/>
  <c r="BB16" i="4"/>
  <c r="CR16" i="4"/>
  <c r="CT16" i="4"/>
  <c r="CV16" i="4"/>
  <c r="BC16" i="4"/>
  <c r="BD16" i="4"/>
  <c r="BE16" i="4"/>
  <c r="BF16" i="4"/>
  <c r="BG16" i="4"/>
  <c r="BH16" i="4"/>
  <c r="BI16" i="4"/>
  <c r="BJ16" i="4"/>
  <c r="BK16" i="4"/>
  <c r="BL16" i="4"/>
  <c r="BM16" i="4"/>
  <c r="BN16" i="4"/>
  <c r="BO16" i="4"/>
  <c r="BP16" i="4"/>
  <c r="BQ16" i="4"/>
  <c r="BR16" i="4"/>
  <c r="BS16" i="4"/>
  <c r="BT16" i="4"/>
  <c r="BU16" i="4"/>
  <c r="BV16" i="4"/>
  <c r="BW16" i="4"/>
  <c r="BX16" i="4"/>
  <c r="BY16" i="4"/>
  <c r="BZ16" i="4"/>
  <c r="CA16" i="4"/>
  <c r="CB16" i="4"/>
  <c r="CC16" i="4"/>
  <c r="CD16" i="4"/>
  <c r="CF16" i="4"/>
  <c r="CH16" i="4"/>
  <c r="CI16" i="4"/>
  <c r="CK16" i="4"/>
  <c r="CM16" i="4"/>
  <c r="CO16" i="4"/>
  <c r="CQ16" i="4"/>
  <c r="E32" i="4"/>
  <c r="F32" i="4"/>
  <c r="G32" i="4"/>
  <c r="BV32" i="4"/>
  <c r="BW32" i="4"/>
  <c r="BX32" i="4"/>
  <c r="BY32" i="4"/>
  <c r="BZ32" i="4"/>
  <c r="CA32" i="4"/>
  <c r="CB32" i="4"/>
  <c r="CC32" i="4"/>
  <c r="CD32" i="4"/>
  <c r="CE32" i="4"/>
  <c r="CF32" i="4"/>
  <c r="CG32" i="4"/>
  <c r="CH32" i="4"/>
  <c r="CI32" i="4"/>
  <c r="CJ32" i="4"/>
  <c r="CK32" i="4"/>
  <c r="CL32" i="4"/>
  <c r="CM32" i="4"/>
  <c r="CN32" i="4"/>
  <c r="CO32" i="4"/>
  <c r="CP32" i="4"/>
  <c r="CQ32" i="4"/>
  <c r="CR32" i="4"/>
  <c r="CS32" i="4"/>
  <c r="CT32" i="4"/>
  <c r="CU32" i="4"/>
  <c r="CV32" i="4"/>
  <c r="CW32" i="4"/>
  <c r="CX32" i="4"/>
  <c r="CY32" i="4"/>
  <c r="CZ32" i="4"/>
  <c r="DA32" i="4"/>
  <c r="DB32" i="4"/>
  <c r="DC32" i="4"/>
  <c r="DD32" i="4"/>
  <c r="R37" i="5" l="1"/>
  <c r="Q37" i="5"/>
  <c r="D37" i="4" s="1"/>
  <c r="N18" i="5"/>
  <c r="Q17" i="5"/>
  <c r="D17" i="4" s="1"/>
  <c r="R17" i="5"/>
  <c r="M40" i="5"/>
  <c r="O38" i="5"/>
  <c r="P38" i="5"/>
  <c r="C38" i="4" s="1"/>
  <c r="AO33" i="4"/>
  <c r="AT33" i="4"/>
  <c r="AV33" i="4"/>
  <c r="AW33" i="4"/>
  <c r="AX33" i="4"/>
  <c r="AY33" i="4"/>
  <c r="AZ33" i="4"/>
  <c r="BA33" i="4"/>
  <c r="BB33" i="4"/>
  <c r="BC33" i="4"/>
  <c r="BD33" i="4"/>
  <c r="BE33" i="4"/>
  <c r="BF33" i="4"/>
  <c r="BG33" i="4"/>
  <c r="BH33" i="4"/>
  <c r="BI33" i="4"/>
  <c r="BJ33" i="4"/>
  <c r="BK33" i="4"/>
  <c r="BL33" i="4"/>
  <c r="BM33" i="4"/>
  <c r="BN33" i="4"/>
  <c r="BO33" i="4"/>
  <c r="BP33" i="4"/>
  <c r="BQ33" i="4"/>
  <c r="BR33" i="4"/>
  <c r="BS33" i="4"/>
  <c r="BT33" i="4"/>
  <c r="BU33" i="4"/>
  <c r="BV33" i="4"/>
  <c r="BW33" i="4"/>
  <c r="BX33" i="4"/>
  <c r="BY33" i="4"/>
  <c r="BZ33" i="4"/>
  <c r="CA33" i="4"/>
  <c r="CB33" i="4"/>
  <c r="CC33" i="4"/>
  <c r="CD33" i="4"/>
  <c r="CE33" i="4"/>
  <c r="CF33" i="4"/>
  <c r="CG33" i="4"/>
  <c r="CH33" i="4"/>
  <c r="CI33" i="4"/>
  <c r="CJ33" i="4"/>
  <c r="CK33" i="4"/>
  <c r="CL33" i="4"/>
  <c r="CM33" i="4"/>
  <c r="CN33" i="4"/>
  <c r="CO33" i="4"/>
  <c r="CP33" i="4"/>
  <c r="CQ33" i="4"/>
  <c r="CR33" i="4"/>
  <c r="CS33" i="4"/>
  <c r="CT33" i="4"/>
  <c r="CU33" i="4"/>
  <c r="CV33" i="4"/>
  <c r="CW33" i="4"/>
  <c r="CX33" i="4"/>
  <c r="CY33" i="4"/>
  <c r="CZ33" i="4"/>
  <c r="DA33" i="4"/>
  <c r="DB33" i="4"/>
  <c r="DC33" i="4"/>
  <c r="DD33" i="4"/>
  <c r="E33" i="4"/>
  <c r="F33" i="4"/>
  <c r="G33" i="4"/>
  <c r="H33" i="4"/>
  <c r="I33" i="4"/>
  <c r="J33" i="4"/>
  <c r="K33" i="4"/>
  <c r="L33" i="4"/>
  <c r="M33" i="4"/>
  <c r="N33" i="4"/>
  <c r="O33" i="4"/>
  <c r="P33" i="4"/>
  <c r="Q33" i="4"/>
  <c r="R33" i="4"/>
  <c r="S33" i="4"/>
  <c r="T33" i="4"/>
  <c r="U33" i="4"/>
  <c r="V33" i="4"/>
  <c r="W33" i="4"/>
  <c r="X33" i="4"/>
  <c r="Y33" i="4"/>
  <c r="Z33" i="4"/>
  <c r="AA33" i="4"/>
  <c r="AB33" i="4"/>
  <c r="AC33" i="4"/>
  <c r="AD33" i="4"/>
  <c r="AE33" i="4"/>
  <c r="AF33" i="4"/>
  <c r="AG33" i="4"/>
  <c r="AH33" i="4"/>
  <c r="AI33" i="4"/>
  <c r="AJ33" i="4"/>
  <c r="AK33" i="4"/>
  <c r="AL33" i="4"/>
  <c r="AM33" i="4"/>
  <c r="AN33" i="4"/>
  <c r="AP33" i="4"/>
  <c r="AQ33" i="4"/>
  <c r="AR33" i="4"/>
  <c r="AS33" i="4"/>
  <c r="AU33" i="4"/>
  <c r="CH37" i="4" l="1"/>
  <c r="CI37" i="4"/>
  <c r="CJ37" i="4"/>
  <c r="CK37" i="4"/>
  <c r="CL37" i="4"/>
  <c r="CM37" i="4"/>
  <c r="CN37" i="4"/>
  <c r="CO37" i="4"/>
  <c r="CP37" i="4"/>
  <c r="CQ37" i="4"/>
  <c r="CR37" i="4"/>
  <c r="CS37" i="4"/>
  <c r="CT37" i="4"/>
  <c r="CU37" i="4"/>
  <c r="CV37" i="4"/>
  <c r="CW37" i="4"/>
  <c r="CX37" i="4"/>
  <c r="CY37" i="4"/>
  <c r="CZ37" i="4"/>
  <c r="DA37" i="4"/>
  <c r="BX37" i="4"/>
  <c r="BW37" i="4"/>
  <c r="BV37" i="4"/>
  <c r="BU37" i="4"/>
  <c r="BT37" i="4"/>
  <c r="BS37" i="4"/>
  <c r="BR37" i="4"/>
  <c r="BQ37" i="4"/>
  <c r="BP37" i="4"/>
  <c r="BO37" i="4"/>
  <c r="BN37" i="4"/>
  <c r="BM37" i="4"/>
  <c r="BL37" i="4"/>
  <c r="BK37" i="4"/>
  <c r="AM37" i="4"/>
  <c r="AK37" i="4"/>
  <c r="AI37" i="4"/>
  <c r="AG37" i="4"/>
  <c r="AE37" i="4"/>
  <c r="AC37" i="4"/>
  <c r="AA37" i="4"/>
  <c r="Y37" i="4"/>
  <c r="W37" i="4"/>
  <c r="U37" i="4"/>
  <c r="S37" i="4"/>
  <c r="Q37" i="4"/>
  <c r="O37" i="4"/>
  <c r="M37" i="4"/>
  <c r="K37" i="4"/>
  <c r="I37" i="4"/>
  <c r="G37" i="4"/>
  <c r="E37" i="4"/>
  <c r="BJ37" i="4"/>
  <c r="BI37" i="4"/>
  <c r="BH37" i="4"/>
  <c r="BG37" i="4"/>
  <c r="BF37" i="4"/>
  <c r="BE37" i="4"/>
  <c r="BD37" i="4"/>
  <c r="BC37" i="4"/>
  <c r="BB37" i="4"/>
  <c r="BA37" i="4"/>
  <c r="AZ37" i="4"/>
  <c r="AY37" i="4"/>
  <c r="AX37" i="4"/>
  <c r="AW37" i="4"/>
  <c r="AV37" i="4"/>
  <c r="AU37" i="4"/>
  <c r="AT37" i="4"/>
  <c r="AS37" i="4"/>
  <c r="AR37" i="4"/>
  <c r="AQ37" i="4"/>
  <c r="AP37" i="4"/>
  <c r="AO37" i="4"/>
  <c r="AN37" i="4"/>
  <c r="AL37" i="4"/>
  <c r="AJ37" i="4"/>
  <c r="AH37" i="4"/>
  <c r="AF37" i="4"/>
  <c r="AD37" i="4"/>
  <c r="AB37" i="4"/>
  <c r="Z37" i="4"/>
  <c r="DD37" i="4"/>
  <c r="V37" i="4"/>
  <c r="T37" i="4"/>
  <c r="R37" i="4"/>
  <c r="P37" i="4"/>
  <c r="X37" i="4"/>
  <c r="L37" i="4"/>
  <c r="J37" i="4"/>
  <c r="H37" i="4"/>
  <c r="F37" i="4"/>
  <c r="N37" i="4"/>
  <c r="DC37" i="4"/>
  <c r="DB37" i="4"/>
  <c r="CG37" i="4"/>
  <c r="CF37" i="4"/>
  <c r="CE37" i="4"/>
  <c r="CD37" i="4"/>
  <c r="CC37" i="4"/>
  <c r="CB37" i="4"/>
  <c r="CA37" i="4"/>
  <c r="BZ37" i="4"/>
  <c r="BY37" i="4"/>
  <c r="P18" i="5"/>
  <c r="C18" i="4" s="1"/>
  <c r="O18" i="5"/>
  <c r="M41" i="5"/>
  <c r="R38" i="5"/>
  <c r="Q38" i="5"/>
  <c r="D38" i="4" s="1"/>
  <c r="E17" i="4"/>
  <c r="F17" i="4"/>
  <c r="G17" i="4"/>
  <c r="H17" i="4"/>
  <c r="I17" i="4"/>
  <c r="J17" i="4"/>
  <c r="K17" i="4"/>
  <c r="L17" i="4"/>
  <c r="M17" i="4"/>
  <c r="N17" i="4"/>
  <c r="O17" i="4"/>
  <c r="P17" i="4"/>
  <c r="Q17" i="4"/>
  <c r="R17" i="4"/>
  <c r="S17" i="4"/>
  <c r="T17" i="4"/>
  <c r="U17" i="4"/>
  <c r="V17" i="4"/>
  <c r="W17" i="4"/>
  <c r="X17" i="4"/>
  <c r="Y17" i="4"/>
  <c r="Z17" i="4"/>
  <c r="AA17" i="4"/>
  <c r="AB17" i="4"/>
  <c r="AC17" i="4"/>
  <c r="AD17" i="4"/>
  <c r="AE17" i="4"/>
  <c r="AF17" i="4"/>
  <c r="AG17" i="4"/>
  <c r="AH17" i="4"/>
  <c r="AI17" i="4"/>
  <c r="CW17" i="4"/>
  <c r="CY17" i="4"/>
  <c r="DA17" i="4"/>
  <c r="DC17" i="4"/>
  <c r="AJ17" i="4"/>
  <c r="AK17" i="4"/>
  <c r="AL17" i="4"/>
  <c r="AM17" i="4"/>
  <c r="AN17" i="4"/>
  <c r="AO17" i="4"/>
  <c r="AP17" i="4"/>
  <c r="AQ17" i="4"/>
  <c r="AR17" i="4"/>
  <c r="AS17" i="4"/>
  <c r="AT17" i="4"/>
  <c r="AU17" i="4"/>
  <c r="AV17" i="4"/>
  <c r="AW17" i="4"/>
  <c r="AX17" i="4"/>
  <c r="AY17" i="4"/>
  <c r="AZ17" i="4"/>
  <c r="BA17" i="4"/>
  <c r="BB17" i="4"/>
  <c r="BC17" i="4"/>
  <c r="BD17" i="4"/>
  <c r="BE17" i="4"/>
  <c r="BF17" i="4"/>
  <c r="BG17" i="4"/>
  <c r="BH17" i="4"/>
  <c r="BI17" i="4"/>
  <c r="BJ17" i="4"/>
  <c r="BK17" i="4"/>
  <c r="BL17" i="4"/>
  <c r="BM17" i="4"/>
  <c r="BN17" i="4"/>
  <c r="BO17" i="4"/>
  <c r="BP17" i="4"/>
  <c r="BQ17" i="4"/>
  <c r="BR17" i="4"/>
  <c r="BS17" i="4"/>
  <c r="BT17" i="4"/>
  <c r="BU17" i="4"/>
  <c r="BV17" i="4"/>
  <c r="BW17" i="4"/>
  <c r="BX17" i="4"/>
  <c r="BY17" i="4"/>
  <c r="BZ17" i="4"/>
  <c r="CA17" i="4"/>
  <c r="CB17" i="4"/>
  <c r="CC17" i="4"/>
  <c r="CD17" i="4"/>
  <c r="CE17" i="4"/>
  <c r="CF17" i="4"/>
  <c r="CG17" i="4"/>
  <c r="CH17" i="4"/>
  <c r="CI17" i="4"/>
  <c r="CJ17" i="4"/>
  <c r="CK17" i="4"/>
  <c r="CL17" i="4"/>
  <c r="CM17" i="4"/>
  <c r="CN17" i="4"/>
  <c r="CO17" i="4"/>
  <c r="CP17" i="4"/>
  <c r="CQ17" i="4"/>
  <c r="CR17" i="4"/>
  <c r="CS17" i="4"/>
  <c r="CU17" i="4"/>
  <c r="CV17" i="4"/>
  <c r="CX17" i="4"/>
  <c r="CZ17" i="4"/>
  <c r="DB17" i="4"/>
  <c r="DD17" i="4"/>
  <c r="CT17" i="4"/>
  <c r="N19" i="5" l="1"/>
  <c r="Q18" i="5"/>
  <c r="D18" i="4" s="1"/>
  <c r="R18" i="5"/>
  <c r="F9" i="3"/>
  <c r="M42" i="5"/>
  <c r="CV38" i="4"/>
  <c r="CW38" i="4"/>
  <c r="CX38" i="4"/>
  <c r="CY38" i="4"/>
  <c r="CZ38" i="4"/>
  <c r="DA38" i="4"/>
  <c r="DB38" i="4"/>
  <c r="DD38" i="4"/>
  <c r="DC38" i="4"/>
  <c r="E38" i="4"/>
  <c r="F38" i="4"/>
  <c r="G38" i="4"/>
  <c r="H38" i="4"/>
  <c r="I38" i="4"/>
  <c r="J38" i="4"/>
  <c r="K38" i="4"/>
  <c r="L38" i="4"/>
  <c r="M38" i="4"/>
  <c r="N38" i="4"/>
  <c r="O38" i="4"/>
  <c r="P38" i="4"/>
  <c r="Q38" i="4"/>
  <c r="R38" i="4"/>
  <c r="S38" i="4"/>
  <c r="T38" i="4"/>
  <c r="U38" i="4"/>
  <c r="V38" i="4"/>
  <c r="W38" i="4"/>
  <c r="X38" i="4"/>
  <c r="Y38" i="4"/>
  <c r="Z38" i="4"/>
  <c r="AA38" i="4"/>
  <c r="AB38" i="4"/>
  <c r="AC38" i="4"/>
  <c r="AD38" i="4"/>
  <c r="AE38" i="4"/>
  <c r="AF38" i="4"/>
  <c r="AG38" i="4"/>
  <c r="AH38" i="4"/>
  <c r="AI38" i="4"/>
  <c r="AJ38" i="4"/>
  <c r="AK38" i="4"/>
  <c r="AL38" i="4"/>
  <c r="AM38" i="4"/>
  <c r="AN38" i="4"/>
  <c r="AO38" i="4"/>
  <c r="AP38" i="4"/>
  <c r="AQ38" i="4"/>
  <c r="AR38" i="4"/>
  <c r="AS38" i="4"/>
  <c r="AT38" i="4"/>
  <c r="AU38" i="4"/>
  <c r="AV38" i="4"/>
  <c r="AW38" i="4"/>
  <c r="AX38" i="4"/>
  <c r="AY38" i="4"/>
  <c r="AZ38" i="4"/>
  <c r="BA38" i="4"/>
  <c r="BB38" i="4"/>
  <c r="BC38" i="4"/>
  <c r="BD38" i="4"/>
  <c r="BE38" i="4"/>
  <c r="BF38" i="4"/>
  <c r="BG38" i="4"/>
  <c r="BH38" i="4"/>
  <c r="BI38" i="4"/>
  <c r="BJ38" i="4"/>
  <c r="BK38" i="4"/>
  <c r="BL38" i="4"/>
  <c r="BM38" i="4"/>
  <c r="BN38" i="4"/>
  <c r="BO38" i="4"/>
  <c r="BP38" i="4"/>
  <c r="BQ38" i="4"/>
  <c r="BR38" i="4"/>
  <c r="BS38" i="4"/>
  <c r="BT38" i="4"/>
  <c r="BU38" i="4"/>
  <c r="BV38" i="4"/>
  <c r="BW38" i="4"/>
  <c r="BX38" i="4"/>
  <c r="BY38" i="4"/>
  <c r="BZ38" i="4"/>
  <c r="CA38" i="4"/>
  <c r="CB38" i="4"/>
  <c r="CC38" i="4"/>
  <c r="CD38" i="4"/>
  <c r="CE38" i="4"/>
  <c r="CF38" i="4"/>
  <c r="CG38" i="4"/>
  <c r="CH38" i="4"/>
  <c r="CI38" i="4"/>
  <c r="CJ38" i="4"/>
  <c r="CK38" i="4"/>
  <c r="CL38" i="4"/>
  <c r="CM38" i="4"/>
  <c r="CN38" i="4"/>
  <c r="CO38" i="4"/>
  <c r="CP38" i="4"/>
  <c r="CQ38" i="4"/>
  <c r="CR38" i="4"/>
  <c r="CS38" i="4"/>
  <c r="CT38" i="4"/>
  <c r="CU38" i="4"/>
  <c r="O19" i="5" l="1"/>
  <c r="P19" i="5"/>
  <c r="C19" i="4" s="1"/>
  <c r="F8" i="3"/>
  <c r="F87" i="3"/>
  <c r="F88" i="3"/>
  <c r="M43" i="5"/>
  <c r="AS18" i="4"/>
  <c r="AR18" i="4"/>
  <c r="AQ18" i="4"/>
  <c r="AP18" i="4"/>
  <c r="AO18" i="4"/>
  <c r="AN18" i="4"/>
  <c r="AM18" i="4"/>
  <c r="AL18" i="4"/>
  <c r="AK18" i="4"/>
  <c r="AJ18" i="4"/>
  <c r="AI18" i="4"/>
  <c r="AH18" i="4"/>
  <c r="AG18" i="4"/>
  <c r="AF18" i="4"/>
  <c r="AE18" i="4"/>
  <c r="AD18" i="4"/>
  <c r="AC18" i="4"/>
  <c r="AB18" i="4"/>
  <c r="AA18" i="4"/>
  <c r="Z18" i="4"/>
  <c r="Y18" i="4"/>
  <c r="X18" i="4"/>
  <c r="W18" i="4"/>
  <c r="V18" i="4"/>
  <c r="U18" i="4"/>
  <c r="T18" i="4"/>
  <c r="S18" i="4"/>
  <c r="R18" i="4"/>
  <c r="Q18" i="4"/>
  <c r="P18" i="4"/>
  <c r="O18" i="4"/>
  <c r="N18" i="4"/>
  <c r="M18" i="4"/>
  <c r="L18" i="4"/>
  <c r="K18" i="4"/>
  <c r="J18" i="4"/>
  <c r="I18" i="4"/>
  <c r="H18" i="4"/>
  <c r="G18" i="4"/>
  <c r="F18" i="4"/>
  <c r="E18" i="4"/>
  <c r="DC18" i="4"/>
  <c r="CY18" i="4"/>
  <c r="CW18" i="4"/>
  <c r="CU18" i="4"/>
  <c r="CS18" i="4"/>
  <c r="CQ18" i="4"/>
  <c r="CO18" i="4"/>
  <c r="CM18" i="4"/>
  <c r="CK18" i="4"/>
  <c r="CI18" i="4"/>
  <c r="CG18" i="4"/>
  <c r="CE18" i="4"/>
  <c r="CC18" i="4"/>
  <c r="CA18" i="4"/>
  <c r="BY18" i="4"/>
  <c r="BW18" i="4"/>
  <c r="BT18" i="4"/>
  <c r="BR18" i="4"/>
  <c r="BP18" i="4"/>
  <c r="BN18" i="4"/>
  <c r="BL18" i="4"/>
  <c r="BJ18" i="4"/>
  <c r="BH18" i="4"/>
  <c r="BF18" i="4"/>
  <c r="BD18" i="4"/>
  <c r="BB18" i="4"/>
  <c r="BA18" i="4"/>
  <c r="AY18" i="4"/>
  <c r="AW18" i="4"/>
  <c r="AV18" i="4"/>
  <c r="AT18" i="4"/>
  <c r="DD18" i="4"/>
  <c r="DB18" i="4"/>
  <c r="DA18" i="4"/>
  <c r="CZ18" i="4"/>
  <c r="CX18" i="4"/>
  <c r="CV18" i="4"/>
  <c r="CT18" i="4"/>
  <c r="CR18" i="4"/>
  <c r="CP18" i="4"/>
  <c r="CN18" i="4"/>
  <c r="CL18" i="4"/>
  <c r="CJ18" i="4"/>
  <c r="CH18" i="4"/>
  <c r="CF18" i="4"/>
  <c r="CD18" i="4"/>
  <c r="CB18" i="4"/>
  <c r="BZ18" i="4"/>
  <c r="BX18" i="4"/>
  <c r="BV18" i="4"/>
  <c r="BU18" i="4"/>
  <c r="BS18" i="4"/>
  <c r="BQ18" i="4"/>
  <c r="BO18" i="4"/>
  <c r="BM18" i="4"/>
  <c r="BK18" i="4"/>
  <c r="BI18" i="4"/>
  <c r="BG18" i="4"/>
  <c r="BE18" i="4"/>
  <c r="BC18" i="4"/>
  <c r="AZ18" i="4"/>
  <c r="AX18" i="4"/>
  <c r="AU18" i="4"/>
  <c r="N39" i="5" l="1"/>
  <c r="N20" i="5"/>
  <c r="Q19" i="5"/>
  <c r="D19" i="4" s="1"/>
  <c r="R19" i="5"/>
  <c r="F89" i="3"/>
  <c r="F92" i="3"/>
  <c r="F94" i="3"/>
  <c r="F95" i="3"/>
  <c r="B2" i="6"/>
  <c r="O39" i="5" l="1"/>
  <c r="P39" i="5"/>
  <c r="C39" i="4" s="1"/>
  <c r="O20" i="5"/>
  <c r="P20" i="5"/>
  <c r="C20" i="4" s="1"/>
  <c r="BK19" i="4"/>
  <c r="BJ19" i="4"/>
  <c r="BI19" i="4"/>
  <c r="BH19" i="4"/>
  <c r="BG19" i="4"/>
  <c r="BF19" i="4"/>
  <c r="BE19" i="4"/>
  <c r="BD19" i="4"/>
  <c r="BC19" i="4"/>
  <c r="BB19" i="4"/>
  <c r="BA19" i="4"/>
  <c r="AZ19" i="4"/>
  <c r="AY19" i="4"/>
  <c r="AX19" i="4"/>
  <c r="AW19" i="4"/>
  <c r="AV19" i="4"/>
  <c r="AU19" i="4"/>
  <c r="AT19" i="4"/>
  <c r="AS19" i="4"/>
  <c r="AR19" i="4"/>
  <c r="AQ19" i="4"/>
  <c r="AP19" i="4"/>
  <c r="AO19" i="4"/>
  <c r="AN19" i="4"/>
  <c r="AM19" i="4"/>
  <c r="AL19" i="4"/>
  <c r="AK19" i="4"/>
  <c r="AJ19" i="4"/>
  <c r="AI19" i="4"/>
  <c r="AH19" i="4"/>
  <c r="AG19" i="4"/>
  <c r="AF19" i="4"/>
  <c r="AE19" i="4"/>
  <c r="AD19" i="4"/>
  <c r="AC19" i="4"/>
  <c r="AB19" i="4"/>
  <c r="AA19" i="4"/>
  <c r="Z19" i="4"/>
  <c r="Y19" i="4"/>
  <c r="X19" i="4"/>
  <c r="W19" i="4"/>
  <c r="V19" i="4"/>
  <c r="U19" i="4"/>
  <c r="T19" i="4"/>
  <c r="S19" i="4"/>
  <c r="R19" i="4"/>
  <c r="Q19" i="4"/>
  <c r="P19" i="4"/>
  <c r="O19" i="4"/>
  <c r="N19" i="4"/>
  <c r="M19" i="4"/>
  <c r="L19" i="4"/>
  <c r="K19" i="4"/>
  <c r="CA19" i="4"/>
  <c r="DD19" i="4"/>
  <c r="DC19" i="4"/>
  <c r="DB19" i="4"/>
  <c r="DA19" i="4"/>
  <c r="CZ19" i="4"/>
  <c r="CY19" i="4"/>
  <c r="CX19" i="4"/>
  <c r="CW19" i="4"/>
  <c r="CV19" i="4"/>
  <c r="CU19" i="4"/>
  <c r="CT19" i="4"/>
  <c r="CS19" i="4"/>
  <c r="CR19" i="4"/>
  <c r="CQ19" i="4"/>
  <c r="CP19" i="4"/>
  <c r="CO19" i="4"/>
  <c r="CN19" i="4"/>
  <c r="CM19" i="4"/>
  <c r="CL19" i="4"/>
  <c r="CK19" i="4"/>
  <c r="CJ19" i="4"/>
  <c r="CI19" i="4"/>
  <c r="CH19" i="4"/>
  <c r="CG19" i="4"/>
  <c r="CF19" i="4"/>
  <c r="CE19" i="4"/>
  <c r="CD19" i="4"/>
  <c r="CC19" i="4"/>
  <c r="CB19" i="4"/>
  <c r="BZ19" i="4"/>
  <c r="BY19" i="4"/>
  <c r="BX19" i="4"/>
  <c r="BW19" i="4"/>
  <c r="BV19" i="4"/>
  <c r="BU19" i="4"/>
  <c r="BT19" i="4"/>
  <c r="BS19" i="4"/>
  <c r="BR19" i="4"/>
  <c r="BQ19" i="4"/>
  <c r="BP19" i="4"/>
  <c r="BO19" i="4"/>
  <c r="BN19" i="4"/>
  <c r="BM19" i="4"/>
  <c r="BL19" i="4"/>
  <c r="J19" i="4"/>
  <c r="I19" i="4"/>
  <c r="H19" i="4"/>
  <c r="G19" i="4"/>
  <c r="F19" i="4"/>
  <c r="E19" i="4"/>
  <c r="Q39" i="5" l="1"/>
  <c r="D39" i="4" s="1"/>
  <c r="R39" i="5"/>
  <c r="N21" i="5"/>
  <c r="Q20" i="5"/>
  <c r="R20" i="5"/>
  <c r="P21" i="5" l="1"/>
  <c r="C21" i="4" s="1"/>
  <c r="O21" i="5"/>
  <c r="D20" i="4"/>
  <c r="BX39" i="4"/>
  <c r="BY39" i="4"/>
  <c r="BZ39" i="4"/>
  <c r="CA39" i="4"/>
  <c r="CB39" i="4"/>
  <c r="CC39" i="4"/>
  <c r="CD39" i="4"/>
  <c r="CE39" i="4"/>
  <c r="CF39" i="4"/>
  <c r="CG39" i="4"/>
  <c r="CH39" i="4"/>
  <c r="CI39" i="4"/>
  <c r="CJ39" i="4"/>
  <c r="CK39" i="4"/>
  <c r="CL39" i="4"/>
  <c r="CM39" i="4"/>
  <c r="CN39" i="4"/>
  <c r="CO39" i="4"/>
  <c r="CP39" i="4"/>
  <c r="CQ39" i="4"/>
  <c r="CR39" i="4"/>
  <c r="CS39" i="4"/>
  <c r="CT39" i="4"/>
  <c r="CU39" i="4"/>
  <c r="CV39" i="4"/>
  <c r="CW39" i="4"/>
  <c r="CX39" i="4"/>
  <c r="CY39" i="4"/>
  <c r="CZ39" i="4"/>
  <c r="DA39" i="4"/>
  <c r="DB39" i="4"/>
  <c r="DC39" i="4"/>
  <c r="DD39" i="4"/>
  <c r="F39" i="4"/>
  <c r="L39" i="4"/>
  <c r="R39" i="4"/>
  <c r="V39" i="4"/>
  <c r="Y39" i="4"/>
  <c r="AD39" i="4"/>
  <c r="I39" i="4"/>
  <c r="M39" i="4"/>
  <c r="P39" i="4"/>
  <c r="T39" i="4"/>
  <c r="W39" i="4"/>
  <c r="Z39" i="4"/>
  <c r="AC39" i="4"/>
  <c r="G39" i="4"/>
  <c r="J39" i="4"/>
  <c r="N39" i="4"/>
  <c r="Q39" i="4"/>
  <c r="X39" i="4"/>
  <c r="AA39" i="4"/>
  <c r="AF39" i="4"/>
  <c r="E39" i="4"/>
  <c r="H39" i="4"/>
  <c r="K39" i="4"/>
  <c r="O39" i="4"/>
  <c r="S39" i="4"/>
  <c r="U39" i="4"/>
  <c r="AB39" i="4"/>
  <c r="AE39" i="4"/>
  <c r="AG39" i="4"/>
  <c r="AH39" i="4"/>
  <c r="AI39" i="4"/>
  <c r="AJ39" i="4"/>
  <c r="AK39" i="4"/>
  <c r="AL39" i="4"/>
  <c r="AM39" i="4"/>
  <c r="AN39" i="4"/>
  <c r="AO39" i="4"/>
  <c r="AP39" i="4"/>
  <c r="AQ39" i="4"/>
  <c r="AR39" i="4"/>
  <c r="AS39" i="4"/>
  <c r="AT39" i="4"/>
  <c r="AU39" i="4"/>
  <c r="AV39" i="4"/>
  <c r="AW39" i="4"/>
  <c r="AX39" i="4"/>
  <c r="AY39" i="4"/>
  <c r="AZ39" i="4"/>
  <c r="BA39" i="4"/>
  <c r="BB39" i="4"/>
  <c r="BC39" i="4"/>
  <c r="BD39" i="4"/>
  <c r="BE39" i="4"/>
  <c r="BF39" i="4"/>
  <c r="BG39" i="4"/>
  <c r="BH39" i="4"/>
  <c r="BI39" i="4"/>
  <c r="BJ39" i="4"/>
  <c r="BK39" i="4"/>
  <c r="BL39" i="4"/>
  <c r="BM39" i="4"/>
  <c r="BN39" i="4"/>
  <c r="BO39" i="4"/>
  <c r="BP39" i="4"/>
  <c r="BQ39" i="4"/>
  <c r="BR39" i="4"/>
  <c r="BS39" i="4"/>
  <c r="BT39" i="4"/>
  <c r="BU39" i="4"/>
  <c r="BV39" i="4"/>
  <c r="BW39" i="4"/>
  <c r="N22" i="5" l="1"/>
  <c r="R21" i="5"/>
  <c r="Q21" i="5"/>
  <c r="BO20" i="4"/>
  <c r="BS20" i="4"/>
  <c r="BW20" i="4"/>
  <c r="BY20" i="4"/>
  <c r="CD20" i="4"/>
  <c r="CH20" i="4"/>
  <c r="CL20" i="4"/>
  <c r="CP20" i="4"/>
  <c r="CY20" i="4"/>
  <c r="N20" i="4"/>
  <c r="BM20" i="4"/>
  <c r="BQ20" i="4"/>
  <c r="BU20" i="4"/>
  <c r="CB20" i="4"/>
  <c r="CF20" i="4"/>
  <c r="CJ20" i="4"/>
  <c r="CN20" i="4"/>
  <c r="CR20" i="4"/>
  <c r="CU20" i="4"/>
  <c r="CW20" i="4"/>
  <c r="DA20" i="4"/>
  <c r="DC20" i="4"/>
  <c r="E20" i="4"/>
  <c r="F20" i="4"/>
  <c r="G20" i="4"/>
  <c r="H20" i="4"/>
  <c r="I20" i="4"/>
  <c r="J20" i="4"/>
  <c r="K20" i="4"/>
  <c r="L20" i="4"/>
  <c r="M20" i="4"/>
  <c r="O20" i="4"/>
  <c r="P20" i="4"/>
  <c r="Q20" i="4"/>
  <c r="R20" i="4"/>
  <c r="S20" i="4"/>
  <c r="T20" i="4"/>
  <c r="U20" i="4"/>
  <c r="V20" i="4"/>
  <c r="W20" i="4"/>
  <c r="X20" i="4"/>
  <c r="Y20" i="4"/>
  <c r="Z20" i="4"/>
  <c r="AA20" i="4"/>
  <c r="AB20" i="4"/>
  <c r="AC20" i="4"/>
  <c r="AD20" i="4"/>
  <c r="AE20" i="4"/>
  <c r="AF20" i="4"/>
  <c r="AG20" i="4"/>
  <c r="AH20" i="4"/>
  <c r="AI20" i="4"/>
  <c r="AJ20" i="4"/>
  <c r="AK20" i="4"/>
  <c r="AL20" i="4"/>
  <c r="AM20" i="4"/>
  <c r="AN20" i="4"/>
  <c r="AO20" i="4"/>
  <c r="AP20" i="4"/>
  <c r="AQ20" i="4"/>
  <c r="AR20" i="4"/>
  <c r="AS20" i="4"/>
  <c r="AT20" i="4"/>
  <c r="AU20" i="4"/>
  <c r="AV20" i="4"/>
  <c r="AW20" i="4"/>
  <c r="AX20" i="4"/>
  <c r="AY20" i="4"/>
  <c r="AZ20" i="4"/>
  <c r="BA20" i="4"/>
  <c r="BB20" i="4"/>
  <c r="BC20" i="4"/>
  <c r="BD20" i="4"/>
  <c r="BE20" i="4"/>
  <c r="BF20" i="4"/>
  <c r="BG20" i="4"/>
  <c r="BH20" i="4"/>
  <c r="BI20" i="4"/>
  <c r="BJ20" i="4"/>
  <c r="BK20" i="4"/>
  <c r="BL20" i="4"/>
  <c r="BN20" i="4"/>
  <c r="BP20" i="4"/>
  <c r="BR20" i="4"/>
  <c r="BT20" i="4"/>
  <c r="BV20" i="4"/>
  <c r="BX20" i="4"/>
  <c r="BZ20" i="4"/>
  <c r="CA20" i="4"/>
  <c r="CC20" i="4"/>
  <c r="CE20" i="4"/>
  <c r="CG20" i="4"/>
  <c r="CI20" i="4"/>
  <c r="CK20" i="4"/>
  <c r="CM20" i="4"/>
  <c r="CO20" i="4"/>
  <c r="CQ20" i="4"/>
  <c r="CS20" i="4"/>
  <c r="CT20" i="4"/>
  <c r="CV20" i="4"/>
  <c r="CX20" i="4"/>
  <c r="CZ20" i="4"/>
  <c r="DB20" i="4"/>
  <c r="DD20" i="4"/>
  <c r="O22" i="5" l="1"/>
  <c r="P22" i="5"/>
  <c r="C22" i="4" s="1"/>
  <c r="D21" i="4"/>
  <c r="N40" i="5" l="1"/>
  <c r="N23" i="5"/>
  <c r="Q22" i="5"/>
  <c r="R22" i="5"/>
  <c r="BI21" i="4"/>
  <c r="BM21" i="4"/>
  <c r="BS21" i="4"/>
  <c r="BU21" i="4"/>
  <c r="BW21" i="4"/>
  <c r="BZ21" i="4"/>
  <c r="CC21" i="4"/>
  <c r="CE21" i="4"/>
  <c r="CH21" i="4"/>
  <c r="CJ21" i="4"/>
  <c r="CL21" i="4"/>
  <c r="CN21" i="4"/>
  <c r="CP21" i="4"/>
  <c r="CR21" i="4"/>
  <c r="CU21" i="4"/>
  <c r="CW21" i="4"/>
  <c r="CY21" i="4"/>
  <c r="DB21" i="4"/>
  <c r="DD21" i="4"/>
  <c r="G21" i="4"/>
  <c r="K21" i="4"/>
  <c r="O21" i="4"/>
  <c r="S21" i="4"/>
  <c r="V21" i="4"/>
  <c r="Z21" i="4"/>
  <c r="AD21" i="4"/>
  <c r="AH21" i="4"/>
  <c r="AL21" i="4"/>
  <c r="AP21" i="4"/>
  <c r="AS21" i="4"/>
  <c r="AW21" i="4"/>
  <c r="BA21" i="4"/>
  <c r="BD21" i="4"/>
  <c r="BH21" i="4"/>
  <c r="BL21" i="4"/>
  <c r="BR21" i="4"/>
  <c r="BK21" i="4"/>
  <c r="BO21" i="4"/>
  <c r="BQ21" i="4"/>
  <c r="BT21" i="4"/>
  <c r="BV21" i="4"/>
  <c r="BX21" i="4"/>
  <c r="BY21" i="4"/>
  <c r="CA21" i="4"/>
  <c r="CB21" i="4"/>
  <c r="CD21" i="4"/>
  <c r="CF21" i="4"/>
  <c r="CG21" i="4"/>
  <c r="CI21" i="4"/>
  <c r="CK21" i="4"/>
  <c r="CM21" i="4"/>
  <c r="CO21" i="4"/>
  <c r="CQ21" i="4"/>
  <c r="CS21" i="4"/>
  <c r="CT21" i="4"/>
  <c r="CV21" i="4"/>
  <c r="CX21" i="4"/>
  <c r="CZ21" i="4"/>
  <c r="DA21" i="4"/>
  <c r="DC21" i="4"/>
  <c r="F21" i="4"/>
  <c r="I21" i="4"/>
  <c r="M21" i="4"/>
  <c r="Q21" i="4"/>
  <c r="U21" i="4"/>
  <c r="X21" i="4"/>
  <c r="AB21" i="4"/>
  <c r="AF21" i="4"/>
  <c r="AJ21" i="4"/>
  <c r="AN21" i="4"/>
  <c r="AQ21" i="4"/>
  <c r="AU21" i="4"/>
  <c r="AY21" i="4"/>
  <c r="BC21" i="4"/>
  <c r="BF21" i="4"/>
  <c r="BJ21" i="4"/>
  <c r="BN21" i="4"/>
  <c r="BP21" i="4"/>
  <c r="E21" i="4"/>
  <c r="H21" i="4"/>
  <c r="J21" i="4"/>
  <c r="L21" i="4"/>
  <c r="N21" i="4"/>
  <c r="P21" i="4"/>
  <c r="R21" i="4"/>
  <c r="T21" i="4"/>
  <c r="W21" i="4"/>
  <c r="Y21" i="4"/>
  <c r="AA21" i="4"/>
  <c r="AC21" i="4"/>
  <c r="AE21" i="4"/>
  <c r="AG21" i="4"/>
  <c r="AI21" i="4"/>
  <c r="AK21" i="4"/>
  <c r="AM21" i="4"/>
  <c r="AO21" i="4"/>
  <c r="AR21" i="4"/>
  <c r="AT21" i="4"/>
  <c r="AV21" i="4"/>
  <c r="AX21" i="4"/>
  <c r="AZ21" i="4"/>
  <c r="BB21" i="4"/>
  <c r="BE21" i="4"/>
  <c r="BG21" i="4"/>
  <c r="P40" i="5" l="1"/>
  <c r="C40" i="4" s="1"/>
  <c r="O40" i="5"/>
  <c r="O23" i="5"/>
  <c r="P23" i="5"/>
  <c r="C23" i="4" s="1"/>
  <c r="D22" i="4"/>
  <c r="R40" i="5" l="1"/>
  <c r="Q40" i="5"/>
  <c r="D40" i="4" s="1"/>
  <c r="N24" i="5"/>
  <c r="Q23" i="5"/>
  <c r="D23" i="4" s="1"/>
  <c r="R23" i="5"/>
  <c r="F22" i="4"/>
  <c r="G22" i="4"/>
  <c r="I22" i="4"/>
  <c r="L22" i="4"/>
  <c r="N22" i="4"/>
  <c r="Q22" i="4"/>
  <c r="E22" i="4"/>
  <c r="H22" i="4"/>
  <c r="J22" i="4"/>
  <c r="K22" i="4"/>
  <c r="M22" i="4"/>
  <c r="O22" i="4"/>
  <c r="P22" i="4"/>
  <c r="R22" i="4"/>
  <c r="S22" i="4"/>
  <c r="T22" i="4"/>
  <c r="U22" i="4"/>
  <c r="V22" i="4"/>
  <c r="W22" i="4"/>
  <c r="X22" i="4"/>
  <c r="Y22" i="4"/>
  <c r="Z22" i="4"/>
  <c r="AA22" i="4"/>
  <c r="AB22" i="4"/>
  <c r="AC22" i="4"/>
  <c r="AD22" i="4"/>
  <c r="AE22" i="4"/>
  <c r="AF22" i="4"/>
  <c r="AG22" i="4"/>
  <c r="AH22" i="4"/>
  <c r="AI22" i="4"/>
  <c r="AJ22" i="4"/>
  <c r="AK22" i="4"/>
  <c r="AL22" i="4"/>
  <c r="AM22" i="4"/>
  <c r="AN22" i="4"/>
  <c r="AO22" i="4"/>
  <c r="AP22" i="4"/>
  <c r="AQ22" i="4"/>
  <c r="AR22" i="4"/>
  <c r="AS22" i="4"/>
  <c r="AT22" i="4"/>
  <c r="AU22" i="4"/>
  <c r="AV22" i="4"/>
  <c r="AW22" i="4"/>
  <c r="AX22" i="4"/>
  <c r="AY22" i="4"/>
  <c r="AZ22" i="4"/>
  <c r="BA22" i="4"/>
  <c r="BB22" i="4"/>
  <c r="BC22" i="4"/>
  <c r="BD22" i="4"/>
  <c r="BE22" i="4"/>
  <c r="BF22" i="4"/>
  <c r="BG22" i="4"/>
  <c r="BH22" i="4"/>
  <c r="BI22" i="4"/>
  <c r="BJ22" i="4"/>
  <c r="BK22" i="4"/>
  <c r="BL22" i="4"/>
  <c r="BM22" i="4"/>
  <c r="BN22" i="4"/>
  <c r="BO22" i="4"/>
  <c r="BP22" i="4"/>
  <c r="BQ22" i="4"/>
  <c r="BR22" i="4"/>
  <c r="BS22" i="4"/>
  <c r="BT22" i="4"/>
  <c r="BU22" i="4"/>
  <c r="BV22" i="4"/>
  <c r="BW22" i="4"/>
  <c r="BX22" i="4"/>
  <c r="BY22" i="4"/>
  <c r="BZ22" i="4"/>
  <c r="CA22" i="4"/>
  <c r="CB22" i="4"/>
  <c r="CC22" i="4"/>
  <c r="CD22" i="4"/>
  <c r="CE22" i="4"/>
  <c r="CF22" i="4"/>
  <c r="CG22" i="4"/>
  <c r="CH22" i="4"/>
  <c r="CI22" i="4"/>
  <c r="CJ22" i="4"/>
  <c r="CK22" i="4"/>
  <c r="CL22" i="4"/>
  <c r="CM22" i="4"/>
  <c r="CN22" i="4"/>
  <c r="CO22" i="4"/>
  <c r="CP22" i="4"/>
  <c r="CQ22" i="4"/>
  <c r="CR22" i="4"/>
  <c r="CS22" i="4"/>
  <c r="CT22" i="4"/>
  <c r="CU22" i="4"/>
  <c r="CV22" i="4"/>
  <c r="CW22" i="4"/>
  <c r="CX22" i="4"/>
  <c r="CY22" i="4"/>
  <c r="CZ22" i="4"/>
  <c r="DA22" i="4"/>
  <c r="DB22" i="4"/>
  <c r="DC22" i="4"/>
  <c r="DD22" i="4"/>
  <c r="P24" i="5" l="1"/>
  <c r="C24" i="4" s="1"/>
  <c r="O24" i="5"/>
  <c r="CM40" i="4"/>
  <c r="CN40" i="4"/>
  <c r="CO40" i="4"/>
  <c r="CP40" i="4"/>
  <c r="CQ40" i="4"/>
  <c r="CR40" i="4"/>
  <c r="CS40" i="4"/>
  <c r="CT40" i="4"/>
  <c r="CU40" i="4"/>
  <c r="CX40" i="4"/>
  <c r="DD40" i="4"/>
  <c r="BL40" i="4"/>
  <c r="BO40" i="4"/>
  <c r="BQ40" i="4"/>
  <c r="AN40" i="4"/>
  <c r="BT40" i="4"/>
  <c r="BW40" i="4"/>
  <c r="AU40" i="4"/>
  <c r="AZ40" i="4"/>
  <c r="BC40" i="4"/>
  <c r="BE40" i="4"/>
  <c r="BJ40" i="4"/>
  <c r="BZ40" i="4"/>
  <c r="CB40" i="4"/>
  <c r="CF40" i="4"/>
  <c r="CI40" i="4"/>
  <c r="CL40" i="4"/>
  <c r="AY40" i="4"/>
  <c r="BH40" i="4"/>
  <c r="BN40" i="4"/>
  <c r="BS40" i="4"/>
  <c r="BV40" i="4"/>
  <c r="BY40" i="4"/>
  <c r="CD40" i="4"/>
  <c r="CG40" i="4"/>
  <c r="CK40" i="4"/>
  <c r="CW40" i="4"/>
  <c r="DB40" i="4"/>
  <c r="CV40" i="4"/>
  <c r="DA40" i="4"/>
  <c r="CY40" i="4"/>
  <c r="CZ40" i="4"/>
  <c r="DC40" i="4"/>
  <c r="E40" i="4"/>
  <c r="F40" i="4"/>
  <c r="G40" i="4"/>
  <c r="H40" i="4"/>
  <c r="I40" i="4"/>
  <c r="J40" i="4"/>
  <c r="K40" i="4"/>
  <c r="L40" i="4"/>
  <c r="M40" i="4"/>
  <c r="N40" i="4"/>
  <c r="O40" i="4"/>
  <c r="P40" i="4"/>
  <c r="Q40" i="4"/>
  <c r="R40" i="4"/>
  <c r="S40" i="4"/>
  <c r="T40" i="4"/>
  <c r="U40" i="4"/>
  <c r="V40" i="4"/>
  <c r="W40" i="4"/>
  <c r="X40" i="4"/>
  <c r="Y40" i="4"/>
  <c r="Z40" i="4"/>
  <c r="AA40" i="4"/>
  <c r="AB40" i="4"/>
  <c r="AC40" i="4"/>
  <c r="AD40" i="4"/>
  <c r="AE40" i="4"/>
  <c r="AF40" i="4"/>
  <c r="AG40" i="4"/>
  <c r="AH40" i="4"/>
  <c r="AI40" i="4"/>
  <c r="AJ40" i="4"/>
  <c r="AK40" i="4"/>
  <c r="AL40" i="4"/>
  <c r="AM40" i="4"/>
  <c r="AO40" i="4"/>
  <c r="AP40" i="4"/>
  <c r="AQ40" i="4"/>
  <c r="AR40" i="4"/>
  <c r="AS40" i="4"/>
  <c r="AT40" i="4"/>
  <c r="AV40" i="4"/>
  <c r="AW40" i="4"/>
  <c r="AX40" i="4"/>
  <c r="BA40" i="4"/>
  <c r="BB40" i="4"/>
  <c r="BD40" i="4"/>
  <c r="BF40" i="4"/>
  <c r="BG40" i="4"/>
  <c r="BI40" i="4"/>
  <c r="BK40" i="4"/>
  <c r="BM40" i="4"/>
  <c r="BP40" i="4"/>
  <c r="BR40" i="4"/>
  <c r="BU40" i="4"/>
  <c r="BX40" i="4"/>
  <c r="CA40" i="4"/>
  <c r="CC40" i="4"/>
  <c r="CE40" i="4"/>
  <c r="CH40" i="4"/>
  <c r="CJ40" i="4"/>
  <c r="AV23" i="4"/>
  <c r="BK23" i="4"/>
  <c r="BJ23" i="4"/>
  <c r="BI23" i="4"/>
  <c r="BH23" i="4"/>
  <c r="BG23" i="4"/>
  <c r="BF23" i="4"/>
  <c r="BE23" i="4"/>
  <c r="BD23" i="4"/>
  <c r="BC23" i="4"/>
  <c r="BB23" i="4"/>
  <c r="BA23" i="4"/>
  <c r="AZ23" i="4"/>
  <c r="AY23" i="4"/>
  <c r="CF23" i="4"/>
  <c r="CE23" i="4"/>
  <c r="CD23" i="4"/>
  <c r="CC23" i="4"/>
  <c r="CB23" i="4"/>
  <c r="CA23" i="4"/>
  <c r="BZ23" i="4"/>
  <c r="BY23" i="4"/>
  <c r="BX23" i="4"/>
  <c r="BW23" i="4"/>
  <c r="BV23" i="4"/>
  <c r="BU23" i="4"/>
  <c r="BT23" i="4"/>
  <c r="BS23" i="4"/>
  <c r="BR23" i="4"/>
  <c r="BQ23" i="4"/>
  <c r="BP23" i="4"/>
  <c r="BO23" i="4"/>
  <c r="BN23" i="4"/>
  <c r="BM23" i="4"/>
  <c r="BL23" i="4"/>
  <c r="AX23" i="4"/>
  <c r="AW23" i="4"/>
  <c r="AU23" i="4"/>
  <c r="AT23" i="4"/>
  <c r="AS23" i="4"/>
  <c r="AR23" i="4"/>
  <c r="AQ23" i="4"/>
  <c r="AP23" i="4"/>
  <c r="AO23" i="4"/>
  <c r="AN23" i="4"/>
  <c r="AM23" i="4"/>
  <c r="AL23" i="4"/>
  <c r="AK23" i="4"/>
  <c r="AJ23" i="4"/>
  <c r="AI23" i="4"/>
  <c r="AH23" i="4"/>
  <c r="AG23" i="4"/>
  <c r="AF23" i="4"/>
  <c r="AE23" i="4"/>
  <c r="AD23" i="4"/>
  <c r="AC23" i="4"/>
  <c r="AB23" i="4"/>
  <c r="AA23" i="4"/>
  <c r="Z23" i="4"/>
  <c r="Y23" i="4"/>
  <c r="X23" i="4"/>
  <c r="W23" i="4"/>
  <c r="V23" i="4"/>
  <c r="U23" i="4"/>
  <c r="T23" i="4"/>
  <c r="S23" i="4"/>
  <c r="R23" i="4"/>
  <c r="Q23" i="4"/>
  <c r="P23" i="4"/>
  <c r="O23" i="4"/>
  <c r="N23" i="4"/>
  <c r="M23" i="4"/>
  <c r="L23" i="4"/>
  <c r="K23" i="4"/>
  <c r="J23" i="4"/>
  <c r="I23" i="4"/>
  <c r="H23" i="4"/>
  <c r="CN23" i="4"/>
  <c r="G23" i="4"/>
  <c r="F23" i="4"/>
  <c r="E23" i="4"/>
  <c r="DD23" i="4"/>
  <c r="DC23" i="4"/>
  <c r="DA23" i="4"/>
  <c r="CY23" i="4"/>
  <c r="CW23" i="4"/>
  <c r="CT23" i="4"/>
  <c r="CR23" i="4"/>
  <c r="CP23" i="4"/>
  <c r="CM23" i="4"/>
  <c r="CK23" i="4"/>
  <c r="CI23" i="4"/>
  <c r="CG23" i="4"/>
  <c r="DB23" i="4"/>
  <c r="CZ23" i="4"/>
  <c r="CX23" i="4"/>
  <c r="CV23" i="4"/>
  <c r="CU23" i="4"/>
  <c r="CS23" i="4"/>
  <c r="CQ23" i="4"/>
  <c r="CO23" i="4"/>
  <c r="CL23" i="4"/>
  <c r="CJ23" i="4"/>
  <c r="CH23" i="4"/>
  <c r="N25" i="5" l="1"/>
  <c r="Q24" i="5"/>
  <c r="D24" i="4" s="1"/>
  <c r="R24" i="5"/>
  <c r="O25" i="5" l="1"/>
  <c r="P25" i="5"/>
  <c r="C25" i="4" s="1"/>
  <c r="BJ24" i="4"/>
  <c r="BI24" i="4"/>
  <c r="BH24" i="4"/>
  <c r="BG24" i="4"/>
  <c r="BF24" i="4"/>
  <c r="BE24" i="4"/>
  <c r="BD24" i="4"/>
  <c r="BC24" i="4"/>
  <c r="R24" i="4"/>
  <c r="N24" i="4"/>
  <c r="J24" i="4"/>
  <c r="F24" i="4"/>
  <c r="AZ24" i="4"/>
  <c r="AV24" i="4"/>
  <c r="AQ24" i="4"/>
  <c r="AK24" i="4"/>
  <c r="AF24" i="4"/>
  <c r="AA24" i="4"/>
  <c r="W24" i="4"/>
  <c r="Q24" i="4"/>
  <c r="BA24" i="4"/>
  <c r="AY24" i="4"/>
  <c r="AW24" i="4"/>
  <c r="AT24" i="4"/>
  <c r="AR24" i="4"/>
  <c r="AP24" i="4"/>
  <c r="AN24" i="4"/>
  <c r="AL24" i="4"/>
  <c r="AJ24" i="4"/>
  <c r="AI24" i="4"/>
  <c r="AG24" i="4"/>
  <c r="AD24" i="4"/>
  <c r="AB24" i="4"/>
  <c r="Z24" i="4"/>
  <c r="X24" i="4"/>
  <c r="V24" i="4"/>
  <c r="T24" i="4"/>
  <c r="P24" i="4"/>
  <c r="L24" i="4"/>
  <c r="H24" i="4"/>
  <c r="BB24" i="4"/>
  <c r="AX24" i="4"/>
  <c r="AU24" i="4"/>
  <c r="AS24" i="4"/>
  <c r="AO24" i="4"/>
  <c r="AM24" i="4"/>
  <c r="AH24" i="4"/>
  <c r="AE24" i="4"/>
  <c r="AC24" i="4"/>
  <c r="Y24" i="4"/>
  <c r="U24" i="4"/>
  <c r="S24" i="4"/>
  <c r="O24" i="4"/>
  <c r="M24" i="4"/>
  <c r="DD24" i="4"/>
  <c r="DC24" i="4"/>
  <c r="DB24" i="4"/>
  <c r="DA24" i="4"/>
  <c r="CZ24" i="4"/>
  <c r="CY24" i="4"/>
  <c r="CX24" i="4"/>
  <c r="CW24" i="4"/>
  <c r="CV24" i="4"/>
  <c r="CU24" i="4"/>
  <c r="CT24" i="4"/>
  <c r="CS24" i="4"/>
  <c r="CR24" i="4"/>
  <c r="CQ24" i="4"/>
  <c r="CP24" i="4"/>
  <c r="CO24" i="4"/>
  <c r="CN24" i="4"/>
  <c r="CM24" i="4"/>
  <c r="CL24" i="4"/>
  <c r="CK24" i="4"/>
  <c r="CJ24" i="4"/>
  <c r="CI24" i="4"/>
  <c r="CH24" i="4"/>
  <c r="CG24" i="4"/>
  <c r="CF24" i="4"/>
  <c r="CE24" i="4"/>
  <c r="CD24" i="4"/>
  <c r="CC24" i="4"/>
  <c r="CB24" i="4"/>
  <c r="CA24" i="4"/>
  <c r="BZ24" i="4"/>
  <c r="BY24" i="4"/>
  <c r="BX24" i="4"/>
  <c r="BW24" i="4"/>
  <c r="BV24" i="4"/>
  <c r="BU24" i="4"/>
  <c r="BS24" i="4"/>
  <c r="BR24" i="4"/>
  <c r="BQ24" i="4"/>
  <c r="BP24" i="4"/>
  <c r="BN24" i="4"/>
  <c r="BM24" i="4"/>
  <c r="BK24" i="4"/>
  <c r="K24" i="4"/>
  <c r="I24" i="4"/>
  <c r="G24" i="4"/>
  <c r="E24" i="4"/>
  <c r="BT24" i="4"/>
  <c r="BO24" i="4"/>
  <c r="BL24" i="4"/>
  <c r="N26" i="5" l="1"/>
  <c r="Q25" i="5"/>
  <c r="D25" i="4" s="1"/>
  <c r="R25" i="5"/>
  <c r="P26" i="5" l="1"/>
  <c r="C26" i="4" s="1"/>
  <c r="O26" i="5"/>
  <c r="CD25" i="4"/>
  <c r="CC25" i="4"/>
  <c r="CB25" i="4"/>
  <c r="CA25" i="4"/>
  <c r="BZ25" i="4"/>
  <c r="BY25" i="4"/>
  <c r="BX25" i="4"/>
  <c r="BW25" i="4"/>
  <c r="BV25" i="4"/>
  <c r="BU25" i="4"/>
  <c r="BT25" i="4"/>
  <c r="BS25" i="4"/>
  <c r="BR25" i="4"/>
  <c r="BQ25" i="4"/>
  <c r="BP25" i="4"/>
  <c r="BO25" i="4"/>
  <c r="BN25" i="4"/>
  <c r="BM25" i="4"/>
  <c r="BL25" i="4"/>
  <c r="BK25" i="4"/>
  <c r="BJ25" i="4"/>
  <c r="BI25" i="4"/>
  <c r="BH25" i="4"/>
  <c r="BG25" i="4"/>
  <c r="BF25" i="4"/>
  <c r="BE25" i="4"/>
  <c r="BD25" i="4"/>
  <c r="BC25" i="4"/>
  <c r="BB25" i="4"/>
  <c r="BA25" i="4"/>
  <c r="AZ25" i="4"/>
  <c r="AY25" i="4"/>
  <c r="AX25" i="4"/>
  <c r="AW25" i="4"/>
  <c r="AV25" i="4"/>
  <c r="AU25" i="4"/>
  <c r="AT25" i="4"/>
  <c r="AS25" i="4"/>
  <c r="AR25" i="4"/>
  <c r="AQ25" i="4"/>
  <c r="AP25" i="4"/>
  <c r="AO25" i="4"/>
  <c r="AN25" i="4"/>
  <c r="AM25" i="4"/>
  <c r="AL25" i="4"/>
  <c r="AK25" i="4"/>
  <c r="AJ25" i="4"/>
  <c r="AI25" i="4"/>
  <c r="AH25" i="4"/>
  <c r="AG25" i="4"/>
  <c r="AF25" i="4"/>
  <c r="AE25" i="4"/>
  <c r="AD25" i="4"/>
  <c r="AC25" i="4"/>
  <c r="AB25" i="4"/>
  <c r="AA25" i="4"/>
  <c r="Z25" i="4"/>
  <c r="Y25" i="4"/>
  <c r="X25" i="4"/>
  <c r="W25" i="4"/>
  <c r="V25" i="4"/>
  <c r="U25" i="4"/>
  <c r="T25" i="4"/>
  <c r="S25" i="4"/>
  <c r="R25" i="4"/>
  <c r="Q25" i="4"/>
  <c r="P25" i="4"/>
  <c r="O25" i="4"/>
  <c r="N25" i="4"/>
  <c r="M25" i="4"/>
  <c r="E25" i="4"/>
  <c r="L25" i="4"/>
  <c r="K25" i="4"/>
  <c r="J25" i="4"/>
  <c r="I25" i="4"/>
  <c r="H25" i="4"/>
  <c r="G25" i="4"/>
  <c r="F25" i="4"/>
  <c r="DD25" i="4"/>
  <c r="DC25" i="4"/>
  <c r="DB25" i="4"/>
  <c r="DA25" i="4"/>
  <c r="CZ25" i="4"/>
  <c r="CY25" i="4"/>
  <c r="CX25" i="4"/>
  <c r="CW25" i="4"/>
  <c r="CV25" i="4"/>
  <c r="CU25" i="4"/>
  <c r="CT25" i="4"/>
  <c r="CS25" i="4"/>
  <c r="CR25" i="4"/>
  <c r="CQ25" i="4"/>
  <c r="CP25" i="4"/>
  <c r="CO25" i="4"/>
  <c r="CN25" i="4"/>
  <c r="CM25" i="4"/>
  <c r="CL25" i="4"/>
  <c r="CK25" i="4"/>
  <c r="CJ25" i="4"/>
  <c r="CI25" i="4"/>
  <c r="CH25" i="4"/>
  <c r="CG25" i="4"/>
  <c r="CF25" i="4"/>
  <c r="CE25" i="4"/>
  <c r="N27" i="5" l="1"/>
  <c r="R26" i="5"/>
  <c r="Q26" i="5"/>
  <c r="D26" i="4" s="1"/>
  <c r="O27" i="5" l="1"/>
  <c r="P27" i="5"/>
  <c r="C27" i="4" s="1"/>
  <c r="CO26" i="4"/>
  <c r="CN26" i="4"/>
  <c r="CM26" i="4"/>
  <c r="CL26" i="4"/>
  <c r="CK26" i="4"/>
  <c r="CJ26" i="4"/>
  <c r="CI26" i="4"/>
  <c r="CH26" i="4"/>
  <c r="CG26" i="4"/>
  <c r="CF26" i="4"/>
  <c r="CE26" i="4"/>
  <c r="CD26" i="4"/>
  <c r="CC26" i="4"/>
  <c r="CB26" i="4"/>
  <c r="CA26" i="4"/>
  <c r="E26" i="4"/>
  <c r="BZ26" i="4"/>
  <c r="BY26" i="4"/>
  <c r="BX26" i="4"/>
  <c r="BW26" i="4"/>
  <c r="BV26" i="4"/>
  <c r="BU26" i="4"/>
  <c r="BT26" i="4"/>
  <c r="BS26" i="4"/>
  <c r="BR26" i="4"/>
  <c r="BQ26" i="4"/>
  <c r="BP26" i="4"/>
  <c r="BO26" i="4"/>
  <c r="BN26" i="4"/>
  <c r="BM26" i="4"/>
  <c r="BL26" i="4"/>
  <c r="BK26" i="4"/>
  <c r="BJ26" i="4"/>
  <c r="BI26" i="4"/>
  <c r="BH26" i="4"/>
  <c r="BG26" i="4"/>
  <c r="BF26" i="4"/>
  <c r="BE26" i="4"/>
  <c r="BD26" i="4"/>
  <c r="BC26" i="4"/>
  <c r="BB26" i="4"/>
  <c r="BA26" i="4"/>
  <c r="AZ26" i="4"/>
  <c r="AY26" i="4"/>
  <c r="AX26" i="4"/>
  <c r="AW26" i="4"/>
  <c r="AV26" i="4"/>
  <c r="AU26" i="4"/>
  <c r="AT26" i="4"/>
  <c r="AS26" i="4"/>
  <c r="AR26" i="4"/>
  <c r="AQ26" i="4"/>
  <c r="AP26" i="4"/>
  <c r="AO26" i="4"/>
  <c r="AN26" i="4"/>
  <c r="AM26" i="4"/>
  <c r="AL26" i="4"/>
  <c r="AK26" i="4"/>
  <c r="AJ26" i="4"/>
  <c r="AI26" i="4"/>
  <c r="AH26" i="4"/>
  <c r="AG26" i="4"/>
  <c r="AF26" i="4"/>
  <c r="J26" i="4"/>
  <c r="H26" i="4"/>
  <c r="G26" i="4"/>
  <c r="AE26" i="4"/>
  <c r="AD26" i="4"/>
  <c r="AC26" i="4"/>
  <c r="AB26" i="4"/>
  <c r="AA26" i="4"/>
  <c r="Z26" i="4"/>
  <c r="Y26" i="4"/>
  <c r="X26" i="4"/>
  <c r="W26" i="4"/>
  <c r="V26" i="4"/>
  <c r="U26" i="4"/>
  <c r="T26" i="4"/>
  <c r="S26" i="4"/>
  <c r="R26" i="4"/>
  <c r="Q26" i="4"/>
  <c r="P26" i="4"/>
  <c r="O26" i="4"/>
  <c r="N26" i="4"/>
  <c r="M26" i="4"/>
  <c r="L26" i="4"/>
  <c r="K26" i="4"/>
  <c r="I26" i="4"/>
  <c r="F26" i="4"/>
  <c r="DD26" i="4"/>
  <c r="DC26" i="4"/>
  <c r="DB26" i="4"/>
  <c r="DA26" i="4"/>
  <c r="CZ26" i="4"/>
  <c r="CY26" i="4"/>
  <c r="CX26" i="4"/>
  <c r="CW26" i="4"/>
  <c r="CV26" i="4"/>
  <c r="CU26" i="4"/>
  <c r="CT26" i="4"/>
  <c r="CS26" i="4"/>
  <c r="CR26" i="4"/>
  <c r="CQ26" i="4"/>
  <c r="CP26" i="4"/>
  <c r="N41" i="5" l="1"/>
  <c r="Q27" i="5"/>
  <c r="D27" i="4" s="1"/>
  <c r="R27" i="5"/>
  <c r="N44" i="5"/>
  <c r="O44" i="5" s="1"/>
  <c r="N45" i="5" s="1"/>
  <c r="O45" i="5" s="1"/>
  <c r="N46" i="5" s="1"/>
  <c r="O46" i="5" s="1"/>
  <c r="N47" i="5" s="1"/>
  <c r="O47" i="5" s="1"/>
  <c r="N48" i="5" s="1"/>
  <c r="O48" i="5" s="1"/>
  <c r="N49" i="5" s="1"/>
  <c r="O49" i="5" s="1"/>
  <c r="P41" i="5" l="1"/>
  <c r="C41" i="4" s="1"/>
  <c r="O41" i="5"/>
  <c r="DD27" i="4"/>
  <c r="DC27" i="4"/>
  <c r="DB27" i="4"/>
  <c r="DA27" i="4"/>
  <c r="CZ27" i="4"/>
  <c r="CY27" i="4"/>
  <c r="CX27" i="4"/>
  <c r="CW27" i="4"/>
  <c r="CV27" i="4"/>
  <c r="CU27" i="4"/>
  <c r="CT27" i="4"/>
  <c r="CS27" i="4"/>
  <c r="CR27" i="4"/>
  <c r="CQ27" i="4"/>
  <c r="CP27" i="4"/>
  <c r="CO27" i="4"/>
  <c r="CN27" i="4"/>
  <c r="CM27" i="4"/>
  <c r="CL27" i="4"/>
  <c r="CK27" i="4"/>
  <c r="CJ27" i="4"/>
  <c r="CI27" i="4"/>
  <c r="CH27" i="4"/>
  <c r="CG27" i="4"/>
  <c r="CF27" i="4"/>
  <c r="CE27" i="4"/>
  <c r="CD27" i="4"/>
  <c r="CC27" i="4"/>
  <c r="CB27" i="4"/>
  <c r="CA27" i="4"/>
  <c r="BZ27" i="4"/>
  <c r="BY27" i="4"/>
  <c r="BX27" i="4"/>
  <c r="BW27" i="4"/>
  <c r="BV27" i="4"/>
  <c r="BU27" i="4"/>
  <c r="BT27" i="4"/>
  <c r="BS27" i="4"/>
  <c r="BR27" i="4"/>
  <c r="BQ27" i="4"/>
  <c r="BP27" i="4"/>
  <c r="BO27" i="4"/>
  <c r="BN27" i="4"/>
  <c r="BM27" i="4"/>
  <c r="BL27" i="4"/>
  <c r="BK27" i="4"/>
  <c r="BJ27" i="4"/>
  <c r="BI27" i="4"/>
  <c r="BH27" i="4"/>
  <c r="BG27" i="4"/>
  <c r="BF27" i="4"/>
  <c r="BE27" i="4"/>
  <c r="BD27" i="4"/>
  <c r="BC27" i="4"/>
  <c r="BB27" i="4"/>
  <c r="BA27" i="4"/>
  <c r="AZ27" i="4"/>
  <c r="AY27" i="4"/>
  <c r="AX27" i="4"/>
  <c r="AW27" i="4"/>
  <c r="AV27" i="4"/>
  <c r="AU27" i="4"/>
  <c r="AT27" i="4"/>
  <c r="AS27" i="4"/>
  <c r="AR27" i="4"/>
  <c r="AQ27" i="4"/>
  <c r="AP27" i="4"/>
  <c r="AO27" i="4"/>
  <c r="AN27" i="4"/>
  <c r="AL27" i="4"/>
  <c r="AK27" i="4"/>
  <c r="AJ27" i="4"/>
  <c r="AI27" i="4"/>
  <c r="AH27" i="4"/>
  <c r="AF27" i="4"/>
  <c r="AD27" i="4"/>
  <c r="AB27" i="4"/>
  <c r="Z27" i="4"/>
  <c r="X27" i="4"/>
  <c r="U27" i="4"/>
  <c r="S27" i="4"/>
  <c r="P27" i="4"/>
  <c r="N27" i="4"/>
  <c r="M27" i="4"/>
  <c r="K27" i="4"/>
  <c r="I27" i="4"/>
  <c r="F27" i="4"/>
  <c r="AM27" i="4"/>
  <c r="AG27" i="4"/>
  <c r="AE27" i="4"/>
  <c r="AC27" i="4"/>
  <c r="AA27" i="4"/>
  <c r="Y27" i="4"/>
  <c r="W27" i="4"/>
  <c r="V27" i="4"/>
  <c r="T27" i="4"/>
  <c r="R27" i="4"/>
  <c r="Q27" i="4"/>
  <c r="O27" i="4"/>
  <c r="L27" i="4"/>
  <c r="J27" i="4"/>
  <c r="H27" i="4"/>
  <c r="G27" i="4"/>
  <c r="E27" i="4"/>
  <c r="N42" i="5" l="1"/>
  <c r="R41" i="5"/>
  <c r="Q41" i="5"/>
  <c r="D41" i="4" s="1"/>
  <c r="O42" i="5" l="1"/>
  <c r="P42" i="5"/>
  <c r="C42" i="4" s="1"/>
  <c r="CJ41" i="4"/>
  <c r="CP41" i="4"/>
  <c r="CS41" i="4"/>
  <c r="CW41" i="4"/>
  <c r="CZ41" i="4"/>
  <c r="G41" i="4"/>
  <c r="K41" i="4"/>
  <c r="N41" i="4"/>
  <c r="R41" i="4"/>
  <c r="T41" i="4"/>
  <c r="Y41" i="4"/>
  <c r="AG41" i="4"/>
  <c r="AK41" i="4"/>
  <c r="AO41" i="4"/>
  <c r="AS41" i="4"/>
  <c r="AX41" i="4"/>
  <c r="BB41" i="4"/>
  <c r="BF41" i="4"/>
  <c r="BI41" i="4"/>
  <c r="BL41" i="4"/>
  <c r="BR41" i="4"/>
  <c r="BU41" i="4"/>
  <c r="BX41" i="4"/>
  <c r="CB41" i="4"/>
  <c r="CE41" i="4"/>
  <c r="CI41" i="4"/>
  <c r="CK41" i="4"/>
  <c r="CO41" i="4"/>
  <c r="CV41" i="4"/>
  <c r="DB41" i="4"/>
  <c r="H41" i="4"/>
  <c r="J41" i="4"/>
  <c r="Q41" i="4"/>
  <c r="W41" i="4"/>
  <c r="Z41" i="4"/>
  <c r="AC41" i="4"/>
  <c r="AF41" i="4"/>
  <c r="AJ41" i="4"/>
  <c r="AN41" i="4"/>
  <c r="AQ41" i="4"/>
  <c r="AT41" i="4"/>
  <c r="AW41" i="4"/>
  <c r="BA41" i="4"/>
  <c r="BE41" i="4"/>
  <c r="BJ41" i="4"/>
  <c r="BM41" i="4"/>
  <c r="E41" i="4"/>
  <c r="I41" i="4"/>
  <c r="M41" i="4"/>
  <c r="P41" i="4"/>
  <c r="S41" i="4"/>
  <c r="U41" i="4"/>
  <c r="AB41" i="4"/>
  <c r="AE41" i="4"/>
  <c r="AI41" i="4"/>
  <c r="AM41" i="4"/>
  <c r="AR41" i="4"/>
  <c r="AV41" i="4"/>
  <c r="AY41" i="4"/>
  <c r="BC41" i="4"/>
  <c r="BG41" i="4"/>
  <c r="BK41" i="4"/>
  <c r="BO41" i="4"/>
  <c r="BT41" i="4"/>
  <c r="BW41" i="4"/>
  <c r="BZ41" i="4"/>
  <c r="CC41" i="4"/>
  <c r="CH41" i="4"/>
  <c r="CM41" i="4"/>
  <c r="CQ41" i="4"/>
  <c r="CT41" i="4"/>
  <c r="CY41" i="4"/>
  <c r="DC41" i="4"/>
  <c r="F41" i="4"/>
  <c r="L41" i="4"/>
  <c r="O41" i="4"/>
  <c r="V41" i="4"/>
  <c r="X41" i="4"/>
  <c r="AA41" i="4"/>
  <c r="AD41" i="4"/>
  <c r="AH41" i="4"/>
  <c r="AL41" i="4"/>
  <c r="AP41" i="4"/>
  <c r="AU41" i="4"/>
  <c r="AZ41" i="4"/>
  <c r="BD41" i="4"/>
  <c r="BH41" i="4"/>
  <c r="BN41" i="4"/>
  <c r="BQ41" i="4"/>
  <c r="BV41" i="4"/>
  <c r="BY41" i="4"/>
  <c r="CF41" i="4"/>
  <c r="BP41" i="4"/>
  <c r="BS41" i="4"/>
  <c r="CA41" i="4"/>
  <c r="CD41" i="4"/>
  <c r="CG41" i="4"/>
  <c r="CL41" i="4"/>
  <c r="CN41" i="4"/>
  <c r="CR41" i="4"/>
  <c r="CU41" i="4"/>
  <c r="CX41" i="4"/>
  <c r="DA41" i="4"/>
  <c r="DD41" i="4"/>
  <c r="N43" i="5" l="1"/>
  <c r="Q42" i="5"/>
  <c r="D42" i="4" s="1"/>
  <c r="R42" i="5"/>
  <c r="O43" i="5" l="1"/>
  <c r="P43" i="5"/>
  <c r="C43" i="4" s="1"/>
  <c r="BY42" i="4"/>
  <c r="CB42" i="4"/>
  <c r="CI42" i="4"/>
  <c r="CN42" i="4"/>
  <c r="CU42" i="4"/>
  <c r="CZ42" i="4"/>
  <c r="F42" i="4"/>
  <c r="J42" i="4"/>
  <c r="N42" i="4"/>
  <c r="R42" i="4"/>
  <c r="W42" i="4"/>
  <c r="AA42" i="4"/>
  <c r="AG42" i="4"/>
  <c r="AJ42" i="4"/>
  <c r="AN42" i="4"/>
  <c r="AR42" i="4"/>
  <c r="AW42" i="4"/>
  <c r="BB42" i="4"/>
  <c r="BD42" i="4"/>
  <c r="BG42" i="4"/>
  <c r="BJ42" i="4"/>
  <c r="BP42" i="4"/>
  <c r="BT42" i="4"/>
  <c r="BX42" i="4"/>
  <c r="CE42" i="4"/>
  <c r="CH42" i="4"/>
  <c r="CK42" i="4"/>
  <c r="CO42" i="4"/>
  <c r="CR42" i="4"/>
  <c r="CX42" i="4"/>
  <c r="DD42" i="4"/>
  <c r="E42" i="4"/>
  <c r="O42" i="4"/>
  <c r="U42" i="4"/>
  <c r="Z42" i="4"/>
  <c r="AD42" i="4"/>
  <c r="AH42" i="4"/>
  <c r="AT42" i="4"/>
  <c r="BA42" i="4"/>
  <c r="BK42" i="4"/>
  <c r="BV42" i="4"/>
  <c r="CA42" i="4"/>
  <c r="CF42" i="4"/>
  <c r="CJ42" i="4"/>
  <c r="CT42" i="4"/>
  <c r="CW42" i="4"/>
  <c r="DA42" i="4"/>
  <c r="H42" i="4"/>
  <c r="L42" i="4"/>
  <c r="P42" i="4"/>
  <c r="T42" i="4"/>
  <c r="X42" i="4"/>
  <c r="AC42" i="4"/>
  <c r="AI42" i="4"/>
  <c r="AK42" i="4"/>
  <c r="AP42" i="4"/>
  <c r="AS42" i="4"/>
  <c r="AY42" i="4"/>
  <c r="BC42" i="4"/>
  <c r="BF42" i="4"/>
  <c r="BH42" i="4"/>
  <c r="BM42" i="4"/>
  <c r="BR42" i="4"/>
  <c r="BU42" i="4"/>
  <c r="BZ42" i="4"/>
  <c r="CD42" i="4"/>
  <c r="CG42" i="4"/>
  <c r="CM42" i="4"/>
  <c r="CQ42" i="4"/>
  <c r="CS42" i="4"/>
  <c r="CV42" i="4"/>
  <c r="DB42" i="4"/>
  <c r="I42" i="4"/>
  <c r="M42" i="4"/>
  <c r="S42" i="4"/>
  <c r="Y42" i="4"/>
  <c r="AB42" i="4"/>
  <c r="AF42" i="4"/>
  <c r="AM42" i="4"/>
  <c r="AO42" i="4"/>
  <c r="AU42" i="4"/>
  <c r="AX42" i="4"/>
  <c r="BE42" i="4"/>
  <c r="BL42" i="4"/>
  <c r="BO42" i="4"/>
  <c r="BS42" i="4"/>
  <c r="BW42" i="4"/>
  <c r="CC42" i="4"/>
  <c r="CL42" i="4"/>
  <c r="CP42" i="4"/>
  <c r="CY42" i="4"/>
  <c r="DC42" i="4"/>
  <c r="G42" i="4"/>
  <c r="K42" i="4"/>
  <c r="Q42" i="4"/>
  <c r="V42" i="4"/>
  <c r="AE42" i="4"/>
  <c r="AL42" i="4"/>
  <c r="AQ42" i="4"/>
  <c r="AV42" i="4"/>
  <c r="AZ42" i="4"/>
  <c r="BI42" i="4"/>
  <c r="BN42" i="4"/>
  <c r="BQ42" i="4"/>
  <c r="B18" i="6" l="1"/>
  <c r="B20" i="6"/>
  <c r="B21" i="6"/>
  <c r="B19" i="6"/>
  <c r="B17" i="6"/>
  <c r="B7" i="6"/>
  <c r="B9" i="6" s="1"/>
  <c r="B13" i="6" s="1"/>
  <c r="Q43" i="5"/>
  <c r="R43" i="5"/>
  <c r="B6" i="6" l="1"/>
  <c r="B8" i="6" s="1"/>
  <c r="D43" i="4"/>
  <c r="BY43" i="4" l="1"/>
  <c r="BV43" i="4"/>
  <c r="BL43" i="4"/>
  <c r="BH43" i="4"/>
  <c r="AX43" i="4"/>
  <c r="AO43" i="4"/>
  <c r="AL43" i="4"/>
  <c r="AD43" i="4"/>
  <c r="W43" i="4"/>
  <c r="M43" i="4"/>
  <c r="BB43" i="4"/>
  <c r="AU43" i="4"/>
  <c r="AK43" i="4"/>
  <c r="S43" i="4"/>
  <c r="BD43" i="4"/>
  <c r="AR43" i="4"/>
  <c r="AE43" i="4"/>
  <c r="T43" i="4"/>
  <c r="G43" i="4"/>
  <c r="BJ43" i="4"/>
  <c r="AZ43" i="4"/>
  <c r="AI43" i="4"/>
  <c r="AB43" i="4"/>
  <c r="U43" i="4"/>
  <c r="R43" i="4"/>
  <c r="L43" i="4"/>
  <c r="DD43" i="4"/>
  <c r="DA43" i="4"/>
  <c r="CZ43" i="4"/>
  <c r="CW43" i="4"/>
  <c r="CU43" i="4"/>
  <c r="CT43" i="4"/>
  <c r="CR43" i="4"/>
  <c r="CP43" i="4"/>
  <c r="CN43" i="4"/>
  <c r="CJ43" i="4"/>
  <c r="BE43" i="4"/>
  <c r="AT43" i="4"/>
  <c r="AG43" i="4"/>
  <c r="AA43" i="4"/>
  <c r="Q43" i="4"/>
  <c r="I43" i="4"/>
  <c r="AY43" i="4"/>
  <c r="AP43" i="4"/>
  <c r="AF43" i="4"/>
  <c r="J43" i="4"/>
  <c r="E43" i="4"/>
  <c r="AV43" i="4"/>
  <c r="AH43" i="4"/>
  <c r="Y43" i="4"/>
  <c r="N43" i="4"/>
  <c r="BG43" i="4"/>
  <c r="BC43" i="4"/>
  <c r="AQ43" i="4"/>
  <c r="AN43" i="4"/>
  <c r="X43" i="4"/>
  <c r="O43" i="4"/>
  <c r="F43" i="4"/>
  <c r="DC43" i="4"/>
  <c r="DB43" i="4"/>
  <c r="CY43" i="4"/>
  <c r="CX43" i="4"/>
  <c r="CV43" i="4"/>
  <c r="CS43" i="4"/>
  <c r="CQ43" i="4"/>
  <c r="CO43" i="4"/>
  <c r="CM43" i="4"/>
  <c r="CL43" i="4"/>
  <c r="CK43" i="4"/>
  <c r="CI43" i="4"/>
  <c r="CH43" i="4"/>
  <c r="CG43" i="4"/>
  <c r="CF43" i="4"/>
  <c r="CE43" i="4"/>
  <c r="CD43" i="4"/>
  <c r="CC43" i="4"/>
  <c r="CB43" i="4"/>
  <c r="CA43" i="4"/>
  <c r="BZ43" i="4"/>
  <c r="BX43" i="4"/>
  <c r="BW43" i="4"/>
  <c r="BU43" i="4"/>
  <c r="BT43" i="4"/>
  <c r="BS43" i="4"/>
  <c r="BR43" i="4"/>
  <c r="BQ43" i="4"/>
  <c r="BP43" i="4"/>
  <c r="BO43" i="4"/>
  <c r="BN43" i="4"/>
  <c r="BM43" i="4"/>
  <c r="BK43" i="4"/>
  <c r="BI43" i="4"/>
  <c r="BF43" i="4"/>
  <c r="BA43" i="4"/>
  <c r="AW43" i="4"/>
  <c r="AS43" i="4"/>
  <c r="AM43" i="4"/>
  <c r="AJ43" i="4"/>
  <c r="AC43" i="4"/>
  <c r="Z43" i="4"/>
  <c r="V43" i="4"/>
  <c r="P43" i="4"/>
  <c r="K43" i="4"/>
  <c r="H43" i="4"/>
</calcChain>
</file>

<file path=xl/sharedStrings.xml><?xml version="1.0" encoding="utf-8"?>
<sst xmlns="http://schemas.openxmlformats.org/spreadsheetml/2006/main" count="915" uniqueCount="505">
  <si>
    <t>Setting</t>
  </si>
  <si>
    <t>Editable Value</t>
  </si>
  <si>
    <t>Meaning</t>
  </si>
  <si>
    <t>Start date</t>
  </si>
  <si>
    <t>Dates are forecasts for remaining work, not records of actual completion.</t>
  </si>
  <si>
    <t>Hours available per study day</t>
  </si>
  <si>
    <t>One total daily budget shared by all lanes; change this first.</t>
  </si>
  <si>
    <t>Weekend pattern Monday to Sunday</t>
  </si>
  <si>
    <t>Seven text digits: 0=study day, 1=rest day. 0000011 means Monday-Friday.</t>
  </si>
  <si>
    <t>0000001</t>
  </si>
  <si>
    <t>Effort contingency</t>
  </si>
  <si>
    <t>Extra effort applied once to each remaining task estimate.</t>
  </si>
  <si>
    <t>Usable time fraction</t>
  </si>
  <si>
    <t>Allows for interruptions; 85% of entered hours is scheduled.</t>
  </si>
  <si>
    <t>Core allocation</t>
  </si>
  <si>
    <t>Fraction of usable daily time reserved for core concepts and implementation.</t>
  </si>
  <si>
    <t>Practice allocation</t>
  </si>
  <si>
    <t>Fraction reserved for DSA, SQL, numerical ML, and revision.</t>
  </si>
  <si>
    <t>Delivery allocation</t>
  </si>
  <si>
    <t>Fraction reserved for discovery, capstone work, security, UAT, and handover.</t>
  </si>
  <si>
    <t>Core hours per study day</t>
  </si>
  <si>
    <t>Calculated; capacity is not duplicated between lanes.</t>
  </si>
  <si>
    <t>Practice hours per study day</t>
  </si>
  <si>
    <t>Calculated.</t>
  </si>
  <si>
    <t>Delivery hours per study day</t>
  </si>
  <si>
    <t>Study days per week</t>
  </si>
  <si>
    <t>Count of zeroes in the weekend pattern.</t>
  </si>
  <si>
    <t>Allocation total</t>
  </si>
  <si>
    <t>Must equal 100%.</t>
  </si>
  <si>
    <t>Input status</t>
  </si>
  <si>
    <t>Invalid inputs suppress schedule dates rather than invent a finish date.</t>
  </si>
  <si>
    <t>Holiday / excluded date</t>
  </si>
  <si>
    <t>Reason</t>
  </si>
  <si>
    <t>ID</t>
  </si>
  <si>
    <t>Learning module</t>
  </si>
  <si>
    <t>Lane</t>
  </si>
  <si>
    <t>Include 1/0</t>
  </si>
  <si>
    <t>Estimate hours</t>
  </si>
  <si>
    <t>Complete %</t>
  </si>
  <si>
    <t>Prerequisite 1</t>
  </si>
  <si>
    <t>Prerequisite 2</t>
  </si>
  <si>
    <t>Prerequisite 3</t>
  </si>
  <si>
    <t>Prerequisite 4</t>
  </si>
  <si>
    <t>Remaining buffered hours</t>
  </si>
  <si>
    <t>Lane hours/day</t>
  </si>
  <si>
    <t>Status</t>
  </si>
  <si>
    <t>Start study-day offset</t>
  </si>
  <si>
    <t>Finish study-day offset</t>
  </si>
  <si>
    <t>Planned start</t>
  </si>
  <si>
    <t>Planned finish</t>
  </si>
  <si>
    <t>Study-day duration</t>
  </si>
  <si>
    <t>Completion evidence</t>
  </si>
  <si>
    <t>Practice / reference URL</t>
  </si>
  <si>
    <t>F01</t>
  </si>
  <si>
    <t>FDE role and delivery orientation</t>
  </si>
  <si>
    <t>Core</t>
  </si>
  <si>
    <t>Explain customer ownership, role boundaries, and a reason to stop an engagement.</t>
  </si>
  <si>
    <t>https://roadmap.sh/forward-deployed-engineer</t>
  </si>
  <si>
    <t>F02</t>
  </si>
  <si>
    <t>Primary language: Python</t>
  </si>
  <si>
    <t>Run a tested ingestion command in a fresh environment.</t>
  </si>
  <si>
    <t>https://www.deep-ml.com/paths</t>
  </si>
  <si>
    <t>F03</t>
  </si>
  <si>
    <t>Git Linux and debugging foundations</t>
  </si>
  <si>
    <t>Diagnose a failed service and deliver a reviewable change.</t>
  </si>
  <si>
    <t>https://roadmap.sh/git-github</t>
  </si>
  <si>
    <t>F04</t>
  </si>
  <si>
    <t>Testing and reproducible project bridge</t>
  </si>
  <si>
    <t>Write unit, integration, and contract tests with fixtures and a CI check.</t>
  </si>
  <si>
    <t>https://abseil.io/resources/swe-book</t>
  </si>
  <si>
    <t>F05</t>
  </si>
  <si>
    <t>HTTP backend and API contracts</t>
  </si>
  <si>
    <t>Build a validated API and durable job workflow with explicit errors.</t>
  </si>
  <si>
    <t>https://roadmap.sh/backend</t>
  </si>
  <si>
    <t>F06</t>
  </si>
  <si>
    <t>SQL relational modeling and PostgreSQL</t>
  </si>
  <si>
    <t>Reconcile joins, constrain data, inspect a plan, and restore a test backup.</t>
  </si>
  <si>
    <t>https://datalemur.com/</t>
  </si>
  <si>
    <t>F07</t>
  </si>
  <si>
    <t>One usable frontend stack</t>
  </si>
  <si>
    <t>Complete an accessible review flow including failure and loading states.</t>
  </si>
  <si>
    <t>https://roadmap.sh/frontend</t>
  </si>
  <si>
    <t>F08</t>
  </si>
  <si>
    <t>Data lifecycle pipelines and quality</t>
  </si>
  <si>
    <t>Trace a serving record to source and replay data without duplication.</t>
  </si>
  <si>
    <t>https://roadmap.sh/data-engineer</t>
  </si>
  <si>
    <t>B01</t>
  </si>
  <si>
    <t>Linear algebra and numerical reasoning bridge</t>
  </si>
  <si>
    <t>Test matrix shapes, normalization, similarity, and zero-vector behavior.</t>
  </si>
  <si>
    <t>B02</t>
  </si>
  <si>
    <t>Probability statistics and uncertainty bridge</t>
  </si>
  <si>
    <t>Explain base rates, sampling uncertainty, and a confidence interval.</t>
  </si>
  <si>
    <t>B03</t>
  </si>
  <si>
    <t>NumPy pandas and data manipulation bridge</t>
  </si>
  <si>
    <t>Produce a reproducible audit with missing data and duplicate-key checks.</t>
  </si>
  <si>
    <t>B04</t>
  </si>
  <si>
    <t>Calculus gradients and optimization bridge</t>
  </si>
  <si>
    <t>Implement and check one gradient update and learning-rate failure.</t>
  </si>
  <si>
    <t>B05</t>
  </si>
  <si>
    <t>Classical ML baselines and leakage bridge</t>
  </si>
  <si>
    <t>Compare regression or classification against a baseline using leakage-safe splits.</t>
  </si>
  <si>
    <t>B06</t>
  </si>
  <si>
    <t>Metrics thresholds and experimental reasoning bridge</t>
  </si>
  <si>
    <t>Choose task metrics and distinguish a score difference from a causal claim.</t>
  </si>
  <si>
    <t>A01</t>
  </si>
  <si>
    <t>LLM behavior and model selection</t>
  </si>
  <si>
    <t>Compare candidate approaches with quality, policy, latency, and cost evidence.</t>
  </si>
  <si>
    <t>https://roadmap.sh/ai-engineer</t>
  </si>
  <si>
    <t>A02</t>
  </si>
  <si>
    <t>Prompt context and prompt lifecycle</t>
  </si>
  <si>
    <t>Version a schema-constrained prompt and a permission-filtered context packet.</t>
  </si>
  <si>
    <t>https://roadmap.sh/prompt-engineering</t>
  </si>
  <si>
    <t>A03</t>
  </si>
  <si>
    <t>Retrieval embeddings and vector stores</t>
  </si>
  <si>
    <t>Measure retrieval separately and verify citation support and tenant isolation.</t>
  </si>
  <si>
    <t>A04</t>
  </si>
  <si>
    <t>Evaluation pipelines and regression analysis</t>
  </si>
  <si>
    <t>Produce a versioned held-out report with errors separate from poor scores.</t>
  </si>
  <si>
    <t>https://eugeneyan.com/writing/</t>
  </si>
  <si>
    <t>S01</t>
  </si>
  <si>
    <t>Authentication API and system security</t>
  </si>
  <si>
    <t>Reject invalid credentials, cross-tenant access, and unsafe output use.</t>
  </si>
  <si>
    <t>https://genai.owasp.org/llm-top-10/</t>
  </si>
  <si>
    <t>A05</t>
  </si>
  <si>
    <t>Trusted tools state and integration</t>
  </si>
  <si>
    <t>Reject malformed or unauthorized tool calls and recover a partial integration failure.</t>
  </si>
  <si>
    <t>https://roadmap.sh/ai-agents</t>
  </si>
  <si>
    <t>A06</t>
  </si>
  <si>
    <t>Bounded agents and architecture tradeoffs</t>
  </si>
  <si>
    <t>Compare a fixed workflow and agent with budgets, stopping rules, and task evaluations.</t>
  </si>
  <si>
    <t>A07</t>
  </si>
  <si>
    <t>AI-assisted development discipline</t>
  </si>
  <si>
    <t>Explain generated code changes and independently validate acceptance behavior.</t>
  </si>
  <si>
    <t>https://roadmap.sh/vibe-coding</t>
  </si>
  <si>
    <t>C01</t>
  </si>
  <si>
    <t>One cloud and container deployment</t>
  </si>
  <si>
    <t>Deploy a sandbox service with scoped identity, private data, and a budget.</t>
  </si>
  <si>
    <t>https://roadmap.sh/aws</t>
  </si>
  <si>
    <t>C02</t>
  </si>
  <si>
    <t>Infrastructure as code and release workflow</t>
  </si>
  <si>
    <t>Review infrastructure changes and rehearse a controlled rollout and recovery.</t>
  </si>
  <si>
    <t>https://roadmap.sh/terraform</t>
  </si>
  <si>
    <t>C03</t>
  </si>
  <si>
    <t>Observability and inference measurement</t>
  </si>
  <si>
    <t>Find a failed stage in a redacted trace and measure quality-preserving optimization.</t>
  </si>
  <si>
    <t>https://opentelemetry.io/docs/</t>
  </si>
  <si>
    <t>C04</t>
  </si>
  <si>
    <t>Model and application release lifecycle</t>
  </si>
  <si>
    <t>Pin model, prompt, dataset, evaluator, index, and application artifacts.</t>
  </si>
  <si>
    <t>https://madewithml.com/</t>
  </si>
  <si>
    <t>P01</t>
  </si>
  <si>
    <t>DSA fundamentals and first pattern exercises</t>
  </si>
  <si>
    <t>Practice</t>
  </si>
  <si>
    <t>Implement basic structures and explain correctness and complexity.</t>
  </si>
  <si>
    <t>https://neetcode.io/roadmap</t>
  </si>
  <si>
    <t>P02</t>
  </si>
  <si>
    <t>SQL practice with duplicates NULL and windows</t>
  </si>
  <si>
    <t>Solve representative SQL cases and state output grain and edge behavior.</t>
  </si>
  <si>
    <t>https://datalemur.com/questions</t>
  </si>
  <si>
    <t>P03</t>
  </si>
  <si>
    <t>DSA pattern practice and spaced review</t>
  </si>
  <si>
    <t>Solve unseen variants across trees, heaps, graphs, and introductory dynamic programming.</t>
  </si>
  <si>
    <t>https://leetcode.com/problemset/</t>
  </si>
  <si>
    <t>P04</t>
  </si>
  <si>
    <t>ML and mathematical coding practice</t>
  </si>
  <si>
    <t>Implement selected Deep-ML problems and explain numerical and model behavior.</t>
  </si>
  <si>
    <t>P05</t>
  </si>
  <si>
    <t>Timed DSA and system-design explanation</t>
  </si>
  <si>
    <t>Complete a mock coding or design exercise with explicit tradeoffs and edge tests.</t>
  </si>
  <si>
    <t>https://neetcode.io/practice</t>
  </si>
  <si>
    <t>P06</t>
  </si>
  <si>
    <t>Mixed SQL ML DSA revision and interview evidence</t>
  </si>
  <si>
    <t>Revisit mistakes unaided and present a measured project case study.</t>
  </si>
  <si>
    <t>D01</t>
  </si>
  <si>
    <t>Discovery and business workflow framing</t>
  </si>
  <si>
    <t>Delivery</t>
  </si>
  <si>
    <t>Write a pilot brief with users, baseline, constraints, assumptions, and stop criteria.</t>
  </si>
  <si>
    <t>https://www.momtestbook.com/</t>
  </si>
  <si>
    <t>D02</t>
  </si>
  <si>
    <t>Requirements scoping and stakeholder alignment</t>
  </si>
  <si>
    <t>Agree acceptance evidence and decision ownership with representative stakeholders.</t>
  </si>
  <si>
    <t>D03</t>
  </si>
  <si>
    <t>Privacy governance and data permissions</t>
  </si>
  <si>
    <t>Document data flows, retention, permissions, vendor assumptions, and review owners.</t>
  </si>
  <si>
    <t>https://www.nist.gov/itl/ai-risk-management-framework</t>
  </si>
  <si>
    <t>D04</t>
  </si>
  <si>
    <t>Capstone data audit and non-AI baseline</t>
  </si>
  <si>
    <t>Build a synthetic multi-tenant dataset and reconcile baseline task measurements.</t>
  </si>
  <si>
    <t>D05</t>
  </si>
  <si>
    <t>Capstone full-stack vertical slice</t>
  </si>
  <si>
    <t>Deliver an authenticated operator flow with durable state and explicit errors.</t>
  </si>
  <si>
    <t>https://roadmap.sh/full-stack</t>
  </si>
  <si>
    <t>D06</t>
  </si>
  <si>
    <t>Capstone retrieval and evaluation pilot</t>
  </si>
  <si>
    <t>Demonstrate supported answers, abstention, and versioned case-level evaluations.</t>
  </si>
  <si>
    <t>D07</t>
  </si>
  <si>
    <t>Capstone bounded actions and failure rehearsal</t>
  </si>
  <si>
    <t>Demonstrate trusted approval, replay-safe actions, and recovery from a tool outage.</t>
  </si>
  <si>
    <t>D08</t>
  </si>
  <si>
    <t>Deployment user acceptance and recovery</t>
  </si>
  <si>
    <t>Run representative UAT and rehearse deployment, restore, and rollback or roll-forward.</t>
  </si>
  <si>
    <t>https://sre.google/books/</t>
  </si>
  <si>
    <t>D09</t>
  </si>
  <si>
    <t>Operational handover and technical writing</t>
  </si>
  <si>
    <t>Another engineer can operate, diagnose, and recover using the runbook.</t>
  </si>
  <si>
    <t>D10</t>
  </si>
  <si>
    <t>Value report feedback and portfolio</t>
  </si>
  <si>
    <t>Present measured value, uncertainty, adoption, cost, product feedback, and next decisions.</t>
  </si>
  <si>
    <t>O01</t>
  </si>
  <si>
    <t>Optional additional programming languages</t>
  </si>
  <si>
    <t>Choose only the language needed by the target role and demonstrate one integration.</t>
  </si>
  <si>
    <t>https://roadmap.sh/</t>
  </si>
  <si>
    <t>O02</t>
  </si>
  <si>
    <t>Optional alternative cloud depth</t>
  </si>
  <si>
    <t>Choose a justified additional cloud or replace AWS in the baseline plan.</t>
  </si>
  <si>
    <t>https://roadmap.sh/devops</t>
  </si>
  <si>
    <t>O03</t>
  </si>
  <si>
    <t>Optional distributed processing and orchestration</t>
  </si>
  <si>
    <t>Demonstrate an idempotent backfill or justified distributed job.</t>
  </si>
  <si>
    <t>O04</t>
  </si>
  <si>
    <t>Optional Kubernetes operations</t>
  </si>
  <si>
    <t>Diagnose a failed rollout with appropriate resource, network, and access controls.</t>
  </si>
  <si>
    <t>https://roadmap.sh/kubernetes</t>
  </si>
  <si>
    <t>O05</t>
  </si>
  <si>
    <t>Optional alternative stores APIs and runtimes</t>
  </si>
  <si>
    <t>Choose only a needed alternative and defend its access patterns and operational tradeoffs.</t>
  </si>
  <si>
    <t>O06</t>
  </si>
  <si>
    <t>Optional coding-agent product comparison</t>
  </si>
  <si>
    <t>Pilot one or two tools in a sandbox with explicit permission and privacy checks.</t>
  </si>
  <si>
    <t>Measure</t>
  </si>
  <si>
    <t>Calculated Result</t>
  </si>
  <si>
    <t>Interpretation</t>
  </si>
  <si>
    <t>Plan status</t>
  </si>
  <si>
    <t>Selected unbuffered hours</t>
  </si>
  <si>
    <t>Effort-weighted completion</t>
  </si>
  <si>
    <t>Forecast finish</t>
  </si>
  <si>
    <t>Remaining study-day span</t>
  </si>
  <si>
    <t>Calendar-day span</t>
  </si>
  <si>
    <t>Approximate study weeks</t>
  </si>
  <si>
    <t>Core daily usable hours</t>
  </si>
  <si>
    <t>Practice daily usable hours</t>
  </si>
  <si>
    <t>Delivery daily usable hours</t>
  </si>
  <si>
    <t>Timeline display window</t>
  </si>
  <si>
    <t>A blocked or invalid plan does not display a misleading finish date.</t>
  </si>
  <si>
    <t>Original illustrative estimates for included modules; edit estimates after an initial diagnostic.</t>
  </si>
  <si>
    <t>Remaining estimate multiplied by contingency. Idle time from dependencies or lane reservations is not counted as study effort.</t>
  </si>
  <si>
    <t>Estimate-weighted progress, not a guarantee of mastery.</t>
  </si>
  <si>
    <t>Forecast for the selected remaining plan. This is not a job-readiness promise.</t>
  </si>
  <si>
    <t>Includes waiting caused by prerequisites and fixed lane allocations.</t>
  </si>
  <si>
    <t>Study-day span divided by study days per week; holidays can increase calendar time.</t>
  </si>
  <si>
    <t>Hours/day scenario</t>
  </si>
  <si>
    <t>Estimated finish</t>
  </si>
  <si>
    <t>Same scope, progress, allocation, calendar, and contingency; change those inputs in Settings.</t>
  </si>
  <si>
    <t>Module</t>
  </si>
  <si>
    <t>Start</t>
  </si>
  <si>
    <t>Finish</t>
  </si>
  <si>
    <t>Original Topic</t>
  </si>
  <si>
    <t>Track</t>
  </si>
  <si>
    <t>Scheduled Module</t>
  </si>
  <si>
    <t>Module Name</t>
  </si>
  <si>
    <t>Concept-to-practice evidence</t>
  </si>
  <si>
    <t>Introduction</t>
  </si>
  <si>
    <t>01 Role and Glossary</t>
  </si>
  <si>
    <t>Explain the engagement from business pain to operating ownership, including a reason to stop the project.</t>
  </si>
  <si>
    <t>Roles &amp; Responsabilities</t>
  </si>
  <si>
    <t>Every delivery activity has an accountable owner and an explicit handoff condition.</t>
  </si>
  <si>
    <t>From X to FDE</t>
  </si>
  <si>
    <t>A portfolio includes a working system, decision log, measured result, and honest failure analysis.</t>
  </si>
  <si>
    <t>FDE Tiers</t>
  </si>
  <si>
    <t>Explain which roles fit your evidence today and the concrete gaps for the next scope of ownership.</t>
  </si>
  <si>
    <t>Delta</t>
  </si>
  <si>
    <t>Resolve the meaning from context and avoid treating one company's terminology as an industry standard.</t>
  </si>
  <si>
    <t>Last-Mile Integration</t>
  </si>
  <si>
    <t>A user completes the real task in the target workflow, including error and fallback paths.</t>
  </si>
  <si>
    <t>Day 2 Operations</t>
  </si>
  <si>
    <t>Another engineer can detect, diagnose, recover, and communicate an incident using the runbook.</t>
  </si>
  <si>
    <t>UAT</t>
  </si>
  <si>
    <t>Business owners sign off on documented workflows, limitations, unresolved defects, and release conditions.</t>
  </si>
  <si>
    <t>Productized Consulting</t>
  </si>
  <si>
    <t>An engagement can be repeated with consistent artifacts while exceptions remain explicit.</t>
  </si>
  <si>
    <t>Embedded Engineering</t>
  </si>
  <si>
    <t>The customer can operate the delivered workflow and the product team receives reusable requirements.</t>
  </si>
  <si>
    <t>Learn a Language</t>
  </si>
  <si>
    <t>02 Programming and Systems</t>
  </si>
  <si>
    <t>Implement and troubleshoot an end-to-end feature without relying on generated code you cannot explain.</t>
  </si>
  <si>
    <t>Python</t>
  </si>
  <si>
    <t>A fresh environment can run documented commands, tests, and a sample job with deterministic fixture inputs.</t>
  </si>
  <si>
    <t>JavaScript / TypeScript</t>
  </si>
  <si>
    <t>Malformed responses fail visibly and safely while valid responses retain useful inferred types.</t>
  </si>
  <si>
    <t>Java / Scala</t>
  </si>
  <si>
    <t>Explain the build, runtime configuration, failure handling, and integration contract of the changed component.</t>
  </si>
  <si>
    <t>Go</t>
  </si>
  <si>
    <t>The tool stays within its concurrency budget and terminates predictably under timeouts.</t>
  </si>
  <si>
    <t>Rust</t>
  </si>
  <si>
    <t>Justify the language choice and show correct error handling without unexplained unsafe operations.</t>
  </si>
  <si>
    <t>C++</t>
  </si>
  <si>
    <t>Explain the ownership model and validate the relevant boundary with a focused test or sanitizer run.</t>
  </si>
  <si>
    <t>DSA &amp; System Design</t>
  </si>
  <si>
    <t>Defend a simple design numerically and identify the first bottleneck and recovery path.</t>
  </si>
  <si>
    <t>Git &amp; GitHub</t>
  </si>
  <si>
    <t>Another engineer can review, reproduce, and safely revert the feature.</t>
  </si>
  <si>
    <t>Linux Skills</t>
  </si>
  <si>
    <t>Produce a minimal diagnosis with evidence and recover without weakening access controls.</t>
  </si>
  <si>
    <t>Frontend Skills</t>
  </si>
  <si>
    <t>03 Full Stack and Data</t>
  </si>
  <si>
    <t>Users can complete the task with keyboard navigation and clear feedback on network or permission failures.</t>
  </si>
  <si>
    <t>HTML</t>
  </si>
  <si>
    <t>The interface remains understandable without styling and usable with keyboard-only navigation.</t>
  </si>
  <si>
    <t>CSS</t>
  </si>
  <si>
    <t>No important content overlaps or becomes inaccessible at supported viewport sizes and zoom levels.</t>
  </si>
  <si>
    <t>JavaScript</t>
  </si>
  <si>
    <t>Out-of-order responses, retries, and user cancellation behave predictably in a small test.</t>
  </si>
  <si>
    <t>React</t>
  </si>
  <si>
    <t>Component behavior is explainable under rerenders, request failures, and navigation.</t>
  </si>
  <si>
    <t>Backend Skills</t>
  </si>
  <si>
    <t>A duplicate request or failed worker cannot silently corrupt state or cross tenant boundaries.</t>
  </si>
  <si>
    <t>Node.js</t>
  </si>
  <si>
    <t>Concurrent requests remain responsive while large or malformed uploads are rejected safely.</t>
  </si>
  <si>
    <t>SQL</t>
  </si>
  <si>
    <t>Reconcile query output with a hand-checked sample and explain the query plan for realistic data volume.</t>
  </si>
  <si>
    <t>PostgreSQL</t>
  </si>
  <si>
    <t>Demonstrate concurrency correctness, query performance, and a documented restore procedure.</t>
  </si>
  <si>
    <t>NoSQL DBs</t>
  </si>
  <si>
    <t>Explain exactly which queries and consistency guarantees justify the chosen store.</t>
  </si>
  <si>
    <t>APIs Design</t>
  </si>
  <si>
    <t>Clients can distinguish accepted work, completed work, retryable failure, and permanent rejection.</t>
  </si>
  <si>
    <t>GraphQL</t>
  </si>
  <si>
    <t>A nested query has bounded cost and the same authorization guarantees as direct API access.</t>
  </si>
  <si>
    <t>Data Engineering Skills</t>
  </si>
  <si>
    <t>A sampled output can be traced to its source and regenerated after a controlled backfill.</t>
  </si>
  <si>
    <t>Data Modeling</t>
  </si>
  <si>
    <t>Two engineers derive the same metric and authorization result from the documented model.</t>
  </si>
  <si>
    <t>Data Pipelines</t>
  </si>
  <si>
    <t>A restart or replay produces the documented result without unexplained loss or duplication.</t>
  </si>
  <si>
    <t>Data Warehouses</t>
  </si>
  <si>
    <t>A business metric reconciles with source samples and its refresh delay and caveats are visible.</t>
  </si>
  <si>
    <t>Spark</t>
  </si>
  <si>
    <t>Explain the execution plan, data movement, and cost of a representative job.</t>
  </si>
  <si>
    <t>Airflow</t>
  </si>
  <si>
    <t>A failed task can be retried and a past interval can be reproduced with documented inputs.</t>
  </si>
  <si>
    <t>AI Engineering Skills</t>
  </si>
  <si>
    <t>04 AI Engineering</t>
  </si>
  <si>
    <t>A repeatable evaluation shows improvement over a simple baseline within an agreed operational budget.</t>
  </si>
  <si>
    <t>LLM Fundamentals</t>
  </si>
  <si>
    <t>Explain why a response was accepted or rejected using evidence, validation, and the provider's actual data policy.</t>
  </si>
  <si>
    <t>Prompt Engineering</t>
  </si>
  <si>
    <t>A prompt revision improves measured outcomes without breaking existing cases or weakening boundaries.</t>
  </si>
  <si>
    <t>Context Engineering</t>
  </si>
  <si>
    <t>Explain why every included item is relevant, authorized, current enough, and worth its token cost.</t>
  </si>
  <si>
    <t>RAGs</t>
  </si>
  <si>
    <t>Answers cite passages that support their claims, and unauthorized documents never enter the model context.</t>
  </si>
  <si>
    <t>Vector DBs</t>
  </si>
  <si>
    <t>Measure recall, latency, freshness, deletion behavior, and tenant isolation under representative queries.</t>
  </si>
  <si>
    <t>Choosing Model Providers</t>
  </si>
  <si>
    <t>A decision record contains measured task results, policy checks, a cost model, and a tested fallback policy.</t>
  </si>
  <si>
    <t>Prompt Management</t>
  </si>
  <si>
    <t>Reproduce which prompt, model, retrieval configuration, and tool schema generated a given output.</t>
  </si>
  <si>
    <t>AI Agents</t>
  </si>
  <si>
    <t>05 Agents and Coding Tools</t>
  </si>
  <si>
    <t>The agent stops safely, reports uncertainty, and cannot perform an action outside server-enforced authority.</t>
  </si>
  <si>
    <t>Agent Architectures</t>
  </si>
  <si>
    <t>Choose the simplest architecture that meets the measured requirements and explain why alternatives lose.</t>
  </si>
  <si>
    <t>Tools &amp; Functions</t>
  </si>
  <si>
    <t>Malformed, unauthorized, repeated, and excessive calls are rejected before any side effect.</t>
  </si>
  <si>
    <t>Memory &amp; State</t>
  </si>
  <si>
    <t>A restart resumes predictably, sensitive memory can be deleted, and side effects are not duplicated.</t>
  </si>
  <si>
    <t>MCP</t>
  </si>
  <si>
    <t>A client discovers capabilities and uses only authorized operations with bounded, auditable behavior.</t>
  </si>
  <si>
    <t>Multi-Agents</t>
  </si>
  <si>
    <t>A measured improvement justifies coordination cost and responsibility for final decisions remains explicit.</t>
  </si>
  <si>
    <t>Vibe Coding</t>
  </si>
  <si>
    <t>The generated feature meets a written acceptance criterion and passes the same review gates as human-written code.</t>
  </si>
  <si>
    <t>Claude Code</t>
  </si>
  <si>
    <t>You can reconstruct the task, permissions, changes, validation, and remaining risk from the session evidence.</t>
  </si>
  <si>
    <t>Codex</t>
  </si>
  <si>
    <t>The chosen mode has documented permissions, reproducible output, and independently checked changes.</t>
  </si>
  <si>
    <t>Gemini</t>
  </si>
  <si>
    <t>Document the exact endpoint, model, account policy, limits, cost, and measured task results.</t>
  </si>
  <si>
    <t>Cursor</t>
  </si>
  <si>
    <t>The feature is verified and the organization's rules for indexed or transmitted code are respected.</t>
  </si>
  <si>
    <t>OpenClaw</t>
  </si>
  <si>
    <t>A documented threat model and bounded pilot justify every permission and provide a clear kill switch.</t>
  </si>
  <si>
    <t>OpenCode</t>
  </si>
  <si>
    <t>Document which code and prompts leave the machine and which commands the tool can execute.</t>
  </si>
  <si>
    <t>Integration Engineering</t>
  </si>
  <si>
    <t>06 Integration Cloud and DevOps</t>
  </si>
  <si>
    <t>After an induced failure, both systems reconcile to the documented business state.</t>
  </si>
  <si>
    <t>Working with Legacy Systems</t>
  </si>
  <si>
    <t>A parallel run demonstrates equivalence or documented improvements with a reversible rollout.</t>
  </si>
  <si>
    <t>Cloud Platforms</t>
  </si>
  <si>
    <t>Explain every trust boundary, recurring cost, and expected failure response in the deployment.</t>
  </si>
  <si>
    <t>AWS</t>
  </si>
  <si>
    <t>The workload can access only the required resources, and cost and recovery controls are demonstrated.</t>
  </si>
  <si>
    <t>GCP</t>
  </si>
  <si>
    <t>Permissions, regional assumptions, telemetry, and monthly cost estimates are explicit and testable.</t>
  </si>
  <si>
    <t>Azure</t>
  </si>
  <si>
    <t>A user and workload each receive only their required permissions and access revocation is tested.</t>
  </si>
  <si>
    <t>Terraform</t>
  </si>
  <si>
    <t>A second engineer can explain the plan, state storage, permissions, and destructive-change guardrails.</t>
  </si>
  <si>
    <t>Containers</t>
  </si>
  <si>
    <t>A fresh host runs the same image with explicit configuration, bounded resources, and no embedded secrets.</t>
  </si>
  <si>
    <t>Docker</t>
  </si>
  <si>
    <t>The published image is traceable to source and passes a documented runtime and dependency check.</t>
  </si>
  <si>
    <t>Kubernetes</t>
  </si>
  <si>
    <t>You can diagnose a failed rollout and demonstrate least-privilege access and predictable recovery.</t>
  </si>
  <si>
    <t>DevOps Skills</t>
  </si>
  <si>
    <t>A release is reproducible and an unsuccessful change has a rehearsed rollback or roll-forward procedure.</t>
  </si>
  <si>
    <t>Observability</t>
  </si>
  <si>
    <t>07 Production AI and Security</t>
  </si>
  <si>
    <t>Given a failed task, identify the relevant stage and version without exposing unnecessary sensitive data.</t>
  </si>
  <si>
    <t>Building Eval Pipelines</t>
  </si>
  <si>
    <t>A regression is detected reproducibly and the score can be traced to individual cases and explicit criteria.</t>
  </si>
  <si>
    <t>Debugging Agent Logic</t>
  </si>
  <si>
    <t>A minimal replay explains the failure and a focused test prevents its recurrence.</t>
  </si>
  <si>
    <t>Inference Optimization</t>
  </si>
  <si>
    <t>An improvement is quantified at realistic concurrency and stays within the agreed quality and memory budget.</t>
  </si>
  <si>
    <t>MLOps</t>
  </si>
  <si>
    <t>A production result can be reproduced or explained from its artifact manifest and trace.</t>
  </si>
  <si>
    <t>Security</t>
  </si>
  <si>
    <t>Sensitive access and side effects remain blocked even when the model follows an adversarial instruction.</t>
  </si>
  <si>
    <t>DevSecOps</t>
  </si>
  <si>
    <t>A release has traceable artifacts, explicit risk decisions, and tested credential boundaries.</t>
  </si>
  <si>
    <t>API Security</t>
  </si>
  <si>
    <t>Negative authorization tests cover every sensitive read and write boundary.</t>
  </si>
  <si>
    <t>Authentication</t>
  </si>
  <si>
    <t>Invalid credentials fail safely and valid identities still require explicit object-level permissions.</t>
  </si>
  <si>
    <t>AI Governance</t>
  </si>
  <si>
    <t>A reviewer can identify who approves changes, which evidence is required, and what triggers suspension.</t>
  </si>
  <si>
    <t>Data Privacy &amp; Compliance</t>
  </si>
  <si>
    <t>A data-flow record explains lawful handling decisions and demonstrates approved retention and deletion behavior.</t>
  </si>
  <si>
    <t>Discovery &amp; Scoping</t>
  </si>
  <si>
    <t>08 Customer Delivery</t>
  </si>
  <si>
    <t>Stakeholders agree on the problem, decision owner, pilot boundary, and evidence needed to continue.</t>
  </si>
  <si>
    <t>Requirements Gathering</t>
  </si>
  <si>
    <t>Each critical requirement maps to a demonstration, measurement, test, or documented review.</t>
  </si>
  <si>
    <t>Scoping &amp; Sequencing</t>
  </si>
  <si>
    <t>The first milestone tests a real project-killing assumption and later work depends on explicit evidence.</t>
  </si>
  <si>
    <t>Scope, Speed, Quality</t>
  </si>
  <si>
    <t>A written tradeoff names what is deferred, what remains mandatory, and who accepts the residual risk.</t>
  </si>
  <si>
    <t>Communication</t>
  </si>
  <si>
    <t>Each audience can state the current outcome, key risk, next action, and responsible owner.</t>
  </si>
  <si>
    <t>Technical Writing</t>
  </si>
  <si>
    <t>A new engineer can deploy, test, diagnose, and recover the supported workflow from the documentation.</t>
  </si>
  <si>
    <t>Executive Reporting</t>
  </si>
  <si>
    <t>A sponsor can decide whether to continue, change scope, or stop based on the report.</t>
  </si>
  <si>
    <t>Business Acumen</t>
  </si>
  <si>
    <t>09 Business and Product</t>
  </si>
  <si>
    <t>Explain who benefits, who pays, what changes operationally, and what evidence would invalidate the business case.</t>
  </si>
  <si>
    <t>Enterprise Workflow</t>
  </si>
  <si>
    <t>Every state transition, decision authority, and recovery path has a clear owner.</t>
  </si>
  <si>
    <t>ROI &amp; AI Impact</t>
  </si>
  <si>
    <t>The business case states assumptions, uncertainty, measured inputs, and the threshold for a worthwhile deployment.</t>
  </si>
  <si>
    <t>Stakeholder Management</t>
  </si>
  <si>
    <t>The right people approve the right decisions and unresolved disagreement is visible before release.</t>
  </si>
  <si>
    <t>Product Feedback Loop</t>
  </si>
  <si>
    <t>A product decision is linked to customer evidence and the shipped change is checked against the original problem.</t>
  </si>
  <si>
    <t>Time-to-Value</t>
  </si>
  <si>
    <t>The start, value event, cohort, exclusions, and sustained adoption check are explicit.</t>
  </si>
  <si>
    <t>Date</t>
  </si>
  <si>
    <t>Platform</t>
  </si>
  <si>
    <t>Topic / pattern</t>
  </si>
  <si>
    <t>Problem URL or ID</t>
  </si>
  <si>
    <t>Minutes</t>
  </si>
  <si>
    <t>Outcome</t>
  </si>
  <si>
    <t>Hint used?</t>
  </si>
  <si>
    <t>Next review</t>
  </si>
  <si>
    <t>Mistake / explanation / next action</t>
  </si>
  <si>
    <t>Step / rule</t>
  </si>
  <si>
    <t>Details</t>
  </si>
  <si>
    <t>1. Enter your availability</t>
  </si>
  <si>
    <t>Change the green inputs in Settings: start date, total hours per study day, study/rest pattern, contingency, usable fraction, and allocations.</t>
  </si>
  <si>
    <t>2. Choose scope</t>
  </si>
  <si>
    <t>Schedule contains 48 editable modules covering all 94 original FDE topics, explicit foundational bridges, practice, and capstone work. Optional alternatives start excluded. The 5,044 reference subtopics are not all mandatory.</t>
  </si>
  <si>
    <t>3. Calibrate estimates</t>
  </si>
  <si>
    <t>Hours are author-created planning assumptions, not measured course durations. Run a diagnostic, then edit estimates and progress. Keep essential prerequisites included; use 100% complete for demonstrated prior knowledge.</t>
  </si>
  <si>
    <t>4. Read the forecast</t>
  </si>
  <si>
    <t>Dashboard summarizes remaining effort, completion, and finish. Schedule has module dates. Weekly Timeline shows a fixed 104-week window; forecasts beyond it still have full dates.</t>
  </si>
  <si>
    <t>5. Parallel does not mean extra capacity</t>
  </si>
  <si>
    <t>Core, Practice, and Delivery share the same usable hours. Each lane is ordered sequentially; explicit prerequisites can delay another lane. Unused lane time is not automatically reallocated.</t>
  </si>
  <si>
    <t>6. Capacity model</t>
  </si>
  <si>
    <t>Remaining hours = estimate x (1-completion) x (1+contingency). Lane capacity = daily hours x usable fraction x lane share. Fractional study-day offsets preserve effort; calendar dates are rounded to study days.</t>
  </si>
  <si>
    <t>7. Dependencies and blocks</t>
  </si>
  <si>
    <t>Prerequisite IDs must exist earlier in Schedule and be included. Later references, missing IDs, disabled required tasks, invalid inputs, or zero capacity block the dependent work. Do not sort or reorder Schedule; use filters.</t>
  </si>
  <si>
    <t>8. Completed work</t>
  </si>
  <si>
    <t>Completion percentages describe demonstrated task evidence. Completed or skipped tasks have no remaining hours or forecast dates. Forecasts are for the remaining plan; they are not actual completion history.</t>
  </si>
  <si>
    <t>9. Practice log</t>
  </si>
  <si>
    <t>Record DSA, SQL, ML, or project practice and mistakes. Next review defaults to seven calendar days. Log entries do not automatically certify mastery or update Schedule percentages.</t>
  </si>
  <si>
    <t>10. Holidays</t>
  </si>
  <si>
    <t>Add up to 100 excluded dates in Holidays. Weekend pattern is seven text digits from Monday to Sunday; 0 means available and 1 means unavailable.</t>
  </si>
  <si>
    <t>11. Module granularity</t>
  </si>
  <si>
    <t>Topics are bundled into practical modules so related concepts and evidence can be learned together. Topic Map links each of the 94 topics to one module. Module estimates include its stated learning and exercise work; capstone modules are integrated implementation and review, not extra reading.</t>
  </si>
  <si>
    <t>12. No false guarantees</t>
  </si>
  <si>
    <t>Coverage and formula tests do not prove every concept is explained or every source correct. Domain knowledge, security/legal review, and real delivery experience remain role-dependent. This is a planning aid, not an employment guarantee.</t>
  </si>
  <si>
    <t>13. No macros or connections</t>
  </si>
  <si>
    <t>This XLSX uses formulas, validation, and formatting only. There are no macros, API calls, paid model calls, external data connections, or automatic account synchronization.</t>
  </si>
  <si>
    <t>14. Preserve your edits</t>
  </si>
  <si>
    <t>The build script overwrites this generated workbook only when explicitly requested. Rebuilding discards entered progress, estimates, holidays, and practice logs. Use the workbook itself for normal adjustments.</t>
  </si>
  <si>
    <t>LeetCode DSA practice</t>
  </si>
  <si>
    <t>NeetCode pattern roadmap</t>
  </si>
  <si>
    <t>Deep-ML math and ML paths</t>
  </si>
  <si>
    <t>DataLemur SQL and DS practice</t>
  </si>
  <si>
    <t>Coverage and practice guide</t>
  </si>
  <si>
    <t>08 Study Plan and Practice.md</t>
  </si>
  <si>
    <t>Main roadmap</t>
  </si>
  <si>
    <t>FDE Roadmap.md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</si>
</sst>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numFmt numFmtId="165" formatCode=";;;"/>
  </numFmts>
  <fonts count="3" x14ac:knownFonts="1">
    <font>
      <sz val="11"/>
      <color theme="1"/>
      <name val="Aptos Narrow"/>
      <family val="2"/>
      <scheme val="minor"/>
    </font>
    <font>
      <b/>
      <sz val="11"/>
      <color rgb="FFFFFFFF"/>
      <name val="Aptos"/>
      <family val="2"/>
    </font>
    <font>
      <sz val="11"/>
      <color theme="1"/>
      <name val="Aptos"/>
      <family val="2"/>
    </font>
  </fonts>
  <fills count="4">
    <fill>
      <patternFill patternType="none"/>
    </fill>
    <fill>
      <patternFill patternType="gray125"/>
    </fill>
    <fill>
      <patternFill patternType="solid">
        <fgColor rgb="FF464646"/>
        <bgColor indexed="64"/>
      </patternFill>
    </fill>
    <fill>
      <patternFill patternType="solid">
        <fgColor rgb="FFCCFFCC"/>
        <bgColor indexed="64"/>
      </patternFill>
    </fill>
  </fills>
  <borders count="1">
    <border>
      <left/>
      <right/>
      <top/>
      <bottom/>
      <diagonal/>
    </border>
  </borders>
  <cellStyleXfs count="1">
    <xf numFmtId="0" fontId="0" fillId="0" borderId="0"/>
  </cellStyleXfs>
  <cellXfs count="16">
    <xf numFmtId="0" fontId="0" fillId="0" borderId="0" xfId="0"/>
    <xf numFmtId="0" fontId="1" fillId="2" borderId="0" xfId="0" applyFont="1" applyFill="1" applyAlignment="1">
      <alignment wrapText="1"/>
    </xf>
    <xf numFmtId="164" fontId="2" fillId="3" borderId="0" xfId="0" applyNumberFormat="1" applyFont="1" applyFill="1"/>
    <xf numFmtId="0" fontId="2" fillId="3" borderId="0" xfId="0" applyFont="1" applyFill="1"/>
    <xf numFmtId="164" fontId="2" fillId="0" borderId="0" xfId="0" applyNumberFormat="1" applyFont="1"/>
    <xf numFmtId="16" fontId="2" fillId="0" borderId="0" xfId="0" applyNumberFormat="1" applyFont="1"/>
    <xf numFmtId="0" fontId="2" fillId="0" borderId="0" xfId="0" applyFont="1"/>
    <xf numFmtId="165" fontId="2" fillId="0" borderId="0" xfId="0" applyNumberFormat="1" applyFont="1"/>
    <xf numFmtId="0" fontId="2" fillId="0" borderId="0" xfId="0" applyFont="1" applyAlignment="1">
      <alignment wrapText="1"/>
    </xf>
    <xf numFmtId="0" fontId="2" fillId="3" borderId="0" xfId="0" applyFont="1" applyFill="1" applyAlignment="1">
      <alignment wrapText="1"/>
    </xf>
    <xf numFmtId="9" fontId="2" fillId="3" borderId="0" xfId="0" applyNumberFormat="1" applyFont="1" applyFill="1" applyAlignment="1">
      <alignment wrapText="1"/>
    </xf>
    <xf numFmtId="2" fontId="2" fillId="0" borderId="0" xfId="0" applyNumberFormat="1" applyFont="1" applyAlignment="1">
      <alignment wrapText="1"/>
    </xf>
    <xf numFmtId="164" fontId="2" fillId="0" borderId="0" xfId="0" applyNumberFormat="1" applyFont="1" applyAlignment="1">
      <alignment wrapText="1"/>
    </xf>
    <xf numFmtId="9" fontId="2" fillId="0" borderId="0" xfId="0" applyNumberFormat="1" applyFont="1" applyAlignment="1">
      <alignment wrapText="1"/>
    </xf>
    <xf numFmtId="164" fontId="2" fillId="3" borderId="0" xfId="0" applyNumberFormat="1" applyFont="1" applyFill="1" applyAlignment="1">
      <alignment wrapText="1"/>
    </xf>
    <xf numFmtId="49" fontId="2" fillId="3" borderId="0" xfId="0" applyNumberFormat="1" applyFont="1" applyFill="1" applyAlignment="1">
      <alignment wrapText="1"/>
    </xf>
  </cellXfs>
  <cellStyles count="1">
    <cellStyle name="Normal" xfId="0" builtinId="0"/>
  </cellStyles>
  <dxfs count="1">
    <dxf>
      <fill>
        <patternFill>
          <bgColor rgb="FF08A3C7"/>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0FD122-F3F3-4A56-80AE-4A134576B032}">
  <dimension ref="A1:B21"/>
  <sheetViews>
    <sheetView tabSelected="1" workbookViewId="0"/>
  </sheetViews>
  <sheetFormatPr defaultRowHeight="14.5" x14ac:dyDescent="0.35"/>
  <cols>
    <col min="1" max="1" width="35.6328125" customWidth="1"/>
    <col min="2" max="2" width="115.6328125" customWidth="1"/>
  </cols>
  <sheetData>
    <row r="1" spans="1:2" ht="30" customHeight="1" x14ac:dyDescent="0.35">
      <c r="A1" s="1" t="s">
        <v>467</v>
      </c>
      <c r="B1" s="1" t="s">
        <v>468</v>
      </c>
    </row>
    <row r="2" spans="1:2" ht="65" customHeight="1" x14ac:dyDescent="0.35">
      <c r="A2" s="8" t="s">
        <v>469</v>
      </c>
      <c r="B2" s="8" t="s">
        <v>470</v>
      </c>
    </row>
    <row r="3" spans="1:2" ht="65" customHeight="1" x14ac:dyDescent="0.35">
      <c r="A3" s="8" t="s">
        <v>471</v>
      </c>
      <c r="B3" s="8" t="s">
        <v>472</v>
      </c>
    </row>
    <row r="4" spans="1:2" ht="65" customHeight="1" x14ac:dyDescent="0.35">
      <c r="A4" s="8" t="s">
        <v>473</v>
      </c>
      <c r="B4" s="8" t="s">
        <v>474</v>
      </c>
    </row>
    <row r="5" spans="1:2" ht="65" customHeight="1" x14ac:dyDescent="0.35">
      <c r="A5" s="8" t="s">
        <v>475</v>
      </c>
      <c r="B5" s="8" t="s">
        <v>476</v>
      </c>
    </row>
    <row r="6" spans="1:2" ht="65" customHeight="1" x14ac:dyDescent="0.35">
      <c r="A6" s="8" t="s">
        <v>477</v>
      </c>
      <c r="B6" s="8" t="s">
        <v>478</v>
      </c>
    </row>
    <row r="7" spans="1:2" ht="65" customHeight="1" x14ac:dyDescent="0.35">
      <c r="A7" s="8" t="s">
        <v>479</v>
      </c>
      <c r="B7" s="8" t="s">
        <v>480</v>
      </c>
    </row>
    <row r="8" spans="1:2" ht="65" customHeight="1" x14ac:dyDescent="0.35">
      <c r="A8" s="8" t="s">
        <v>481</v>
      </c>
      <c r="B8" s="8" t="s">
        <v>482</v>
      </c>
    </row>
    <row r="9" spans="1:2" ht="65" customHeight="1" x14ac:dyDescent="0.35">
      <c r="A9" s="8" t="s">
        <v>483</v>
      </c>
      <c r="B9" s="8" t="s">
        <v>484</v>
      </c>
    </row>
    <row r="10" spans="1:2" ht="65" customHeight="1" x14ac:dyDescent="0.35">
      <c r="A10" s="8" t="s">
        <v>485</v>
      </c>
      <c r="B10" s="8" t="s">
        <v>486</v>
      </c>
    </row>
    <row r="11" spans="1:2" ht="65" customHeight="1" x14ac:dyDescent="0.35">
      <c r="A11" s="8" t="s">
        <v>487</v>
      </c>
      <c r="B11" s="8" t="s">
        <v>488</v>
      </c>
    </row>
    <row r="12" spans="1:2" ht="65" customHeight="1" x14ac:dyDescent="0.35">
      <c r="A12" s="8" t="s">
        <v>489</v>
      </c>
      <c r="B12" s="8" t="s">
        <v>490</v>
      </c>
    </row>
    <row r="13" spans="1:2" ht="65" customHeight="1" x14ac:dyDescent="0.35">
      <c r="A13" s="8" t="s">
        <v>491</v>
      </c>
      <c r="B13" s="8" t="s">
        <v>492</v>
      </c>
    </row>
    <row r="14" spans="1:2" ht="65" customHeight="1" x14ac:dyDescent="0.35">
      <c r="A14" s="8" t="s">
        <v>493</v>
      </c>
      <c r="B14" s="8" t="s">
        <v>494</v>
      </c>
    </row>
    <row r="15" spans="1:2" ht="65" customHeight="1" x14ac:dyDescent="0.35">
      <c r="A15" s="8" t="s">
        <v>495</v>
      </c>
      <c r="B15" s="8" t="s">
        <v>496</v>
      </c>
    </row>
    <row r="16" spans="1:2" ht="65" customHeight="1" x14ac:dyDescent="0.35">
      <c r="A16" s="8" t="s">
        <v>497</v>
      </c>
      <c r="B16" s="8" t="s">
        <v>162</v>
      </c>
    </row>
    <row r="17" spans="1:2" ht="65" customHeight="1" x14ac:dyDescent="0.35">
      <c r="A17" s="8" t="s">
        <v>498</v>
      </c>
      <c r="B17" s="8" t="s">
        <v>154</v>
      </c>
    </row>
    <row r="18" spans="1:2" ht="65" customHeight="1" x14ac:dyDescent="0.35">
      <c r="A18" s="8" t="s">
        <v>499</v>
      </c>
      <c r="B18" s="8" t="s">
        <v>61</v>
      </c>
    </row>
    <row r="19" spans="1:2" ht="65" customHeight="1" x14ac:dyDescent="0.35">
      <c r="A19" s="8" t="s">
        <v>500</v>
      </c>
      <c r="B19" s="8" t="s">
        <v>77</v>
      </c>
    </row>
    <row r="20" spans="1:2" ht="65" customHeight="1" x14ac:dyDescent="0.35">
      <c r="A20" s="8" t="s">
        <v>501</v>
      </c>
      <c r="B20" s="8" t="s">
        <v>502</v>
      </c>
    </row>
    <row r="21" spans="1:2" ht="65" customHeight="1" x14ac:dyDescent="0.35">
      <c r="A21" s="8" t="s">
        <v>503</v>
      </c>
      <c r="B21" s="8" t="s">
        <v>504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CF6063-F3F3-4933-9A2C-020D0A7082F4}">
  <dimension ref="A1:C15"/>
  <sheetViews>
    <sheetView workbookViewId="0"/>
  </sheetViews>
  <sheetFormatPr defaultRowHeight="14.5" x14ac:dyDescent="0.35"/>
  <cols>
    <col min="1" max="1" width="38.6328125" customWidth="1"/>
    <col min="2" max="2" width="23.6328125" customWidth="1"/>
    <col min="3" max="3" width="90.6328125" customWidth="1"/>
  </cols>
  <sheetData>
    <row r="1" spans="1:3" ht="30" customHeight="1" x14ac:dyDescent="0.35">
      <c r="A1" s="1" t="s">
        <v>0</v>
      </c>
      <c r="B1" s="1" t="s">
        <v>1</v>
      </c>
      <c r="C1" s="1" t="s">
        <v>2</v>
      </c>
    </row>
    <row r="2" spans="1:3" ht="40" customHeight="1" x14ac:dyDescent="0.35">
      <c r="A2" s="8" t="s">
        <v>3</v>
      </c>
      <c r="B2" s="14">
        <f>46318</f>
        <v>46318</v>
      </c>
      <c r="C2" s="8" t="s">
        <v>4</v>
      </c>
    </row>
    <row r="3" spans="1:3" ht="40" customHeight="1" x14ac:dyDescent="0.35">
      <c r="A3" s="8" t="s">
        <v>5</v>
      </c>
      <c r="B3" s="9">
        <f>3</f>
        <v>3</v>
      </c>
      <c r="C3" s="8" t="s">
        <v>6</v>
      </c>
    </row>
    <row r="4" spans="1:3" ht="40" customHeight="1" x14ac:dyDescent="0.35">
      <c r="A4" s="8" t="s">
        <v>7</v>
      </c>
      <c r="B4" s="15" t="s">
        <v>9</v>
      </c>
      <c r="C4" s="8" t="s">
        <v>8</v>
      </c>
    </row>
    <row r="5" spans="1:3" ht="40" customHeight="1" x14ac:dyDescent="0.35">
      <c r="A5" s="8" t="s">
        <v>10</v>
      </c>
      <c r="B5" s="10">
        <f>0.2</f>
        <v>0.2</v>
      </c>
      <c r="C5" s="8" t="s">
        <v>11</v>
      </c>
    </row>
    <row r="6" spans="1:3" ht="40" customHeight="1" x14ac:dyDescent="0.35">
      <c r="A6" s="8" t="s">
        <v>12</v>
      </c>
      <c r="B6" s="10">
        <f>0.85</f>
        <v>0.85</v>
      </c>
      <c r="C6" s="8" t="s">
        <v>13</v>
      </c>
    </row>
    <row r="7" spans="1:3" ht="40" customHeight="1" x14ac:dyDescent="0.35">
      <c r="A7" s="8" t="s">
        <v>14</v>
      </c>
      <c r="B7" s="10">
        <f>0.6</f>
        <v>0.6</v>
      </c>
      <c r="C7" s="8" t="s">
        <v>15</v>
      </c>
    </row>
    <row r="8" spans="1:3" ht="40" customHeight="1" x14ac:dyDescent="0.35">
      <c r="A8" s="8" t="s">
        <v>16</v>
      </c>
      <c r="B8" s="10">
        <f>0.2</f>
        <v>0.2</v>
      </c>
      <c r="C8" s="8" t="s">
        <v>17</v>
      </c>
    </row>
    <row r="9" spans="1:3" ht="40" customHeight="1" x14ac:dyDescent="0.35">
      <c r="A9" s="8" t="s">
        <v>18</v>
      </c>
      <c r="B9" s="10">
        <f>0.2</f>
        <v>0.2</v>
      </c>
      <c r="C9" s="8" t="s">
        <v>19</v>
      </c>
    </row>
    <row r="10" spans="1:3" ht="40" customHeight="1" x14ac:dyDescent="0.35">
      <c r="A10" s="8" t="s">
        <v>20</v>
      </c>
      <c r="B10" s="11">
        <f>IF(B15="Ready",B3*B6*B7,0)</f>
        <v>1.5299999999999998</v>
      </c>
      <c r="C10" s="8" t="s">
        <v>21</v>
      </c>
    </row>
    <row r="11" spans="1:3" ht="40" customHeight="1" x14ac:dyDescent="0.35">
      <c r="A11" s="8" t="s">
        <v>22</v>
      </c>
      <c r="B11" s="11">
        <f>IF(B15="Ready",B3*B6*B8,0)</f>
        <v>0.51</v>
      </c>
      <c r="C11" s="8" t="s">
        <v>23</v>
      </c>
    </row>
    <row r="12" spans="1:3" ht="40" customHeight="1" x14ac:dyDescent="0.35">
      <c r="A12" s="8" t="s">
        <v>24</v>
      </c>
      <c r="B12" s="11">
        <f>IF(B15="Ready",B3*B6*B9,0)</f>
        <v>0.51</v>
      </c>
      <c r="C12" s="8" t="s">
        <v>23</v>
      </c>
    </row>
    <row r="13" spans="1:3" ht="40" customHeight="1" x14ac:dyDescent="0.35">
      <c r="A13" s="8" t="s">
        <v>25</v>
      </c>
      <c r="B13" s="8">
        <f>LEN(B4)-LEN(SUBSTITUTE(B4,"0",""))</f>
        <v>6</v>
      </c>
      <c r="C13" s="8" t="s">
        <v>26</v>
      </c>
    </row>
    <row r="14" spans="1:3" ht="40" customHeight="1" x14ac:dyDescent="0.35">
      <c r="A14" s="8" t="s">
        <v>27</v>
      </c>
      <c r="B14" s="13">
        <f>SUM(B7:B9)</f>
        <v>1</v>
      </c>
      <c r="C14" s="8" t="s">
        <v>28</v>
      </c>
    </row>
    <row r="15" spans="1:3" ht="40" customHeight="1" x14ac:dyDescent="0.35">
      <c r="A15" s="8" t="s">
        <v>29</v>
      </c>
      <c r="B15" s="8" t="str">
        <f>IF(AND(ISNUMBER(B2),B2&gt;0,ISNUMBER(B3),B3&gt;0,B3&lt;=16,LEN(B4)=7,LEN(SUBSTITUTE(SUBSTITUTE(B4,"0",""),"1",""))=0,B13&gt;0,ISNUMBER(B5),B5&gt;=0,B5&lt;=1,ISNUMBER(B6),B6&gt;0,B6&lt;=1,COUNT(B7:B9)=3,MIN(B7:B9)&gt;=0,MAX(B7:B9)&lt;=1,ABS(B14-1)&lt;0.000001),"Ready","Invalid settings")</f>
        <v>Ready</v>
      </c>
      <c r="C15" s="8" t="s">
        <v>30</v>
      </c>
    </row>
  </sheetData>
  <dataValidations count="2">
    <dataValidation type="decimal" allowBlank="1" showInputMessage="1" showErrorMessage="1" sqref="B3" xr:uid="{02A0BACF-C69F-4FE1-B81A-E49F21BDF6E7}">
      <formula1>0.25</formula1>
      <formula2>16</formula2>
    </dataValidation>
    <dataValidation type="decimal" allowBlank="1" showInputMessage="1" showErrorMessage="1" sqref="B5:B9" xr:uid="{58BF72CE-257A-4179-AFC8-AE2D9C2B420D}">
      <formula1>0</formula1>
      <formula2>1</formula2>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60635-8E7D-4045-A4BF-E6B1D148C34E}">
  <dimension ref="A1:C21"/>
  <sheetViews>
    <sheetView workbookViewId="0"/>
  </sheetViews>
  <sheetFormatPr defaultRowHeight="14.5" x14ac:dyDescent="0.35"/>
  <cols>
    <col min="1" max="1" width="34.6328125" customWidth="1"/>
    <col min="2" max="2" width="48.6328125" customWidth="1"/>
    <col min="3" max="3" width="90.6328125" customWidth="1"/>
  </cols>
  <sheetData>
    <row r="1" spans="1:3" ht="30" customHeight="1" x14ac:dyDescent="0.35">
      <c r="A1" s="1" t="s">
        <v>229</v>
      </c>
      <c r="B1" s="1" t="s">
        <v>230</v>
      </c>
      <c r="C1" s="1" t="s">
        <v>231</v>
      </c>
    </row>
    <row r="2" spans="1:3" ht="40" customHeight="1" x14ac:dyDescent="0.35">
      <c r="A2" s="8" t="s">
        <v>232</v>
      </c>
      <c r="B2" s="8" t="str">
        <f>IF(Settings!$B$15&lt;&gt;"Ready","Invalid settings",IF(COUNTIF(Schedule!$M$2:$M$49,"Blocked*")+COUNTIF(Schedule!$M$2:$M$49,"Invalid*")&gt;0,"Blocked schedule",IF(SUM(Schedule!$K$2:$K$49)=0,"No remaining work","Ready")))</f>
        <v>Ready</v>
      </c>
      <c r="C2" s="8" t="s">
        <v>243</v>
      </c>
    </row>
    <row r="3" spans="1:3" ht="40" customHeight="1" x14ac:dyDescent="0.35">
      <c r="A3" s="8" t="s">
        <v>233</v>
      </c>
      <c r="B3" s="8">
        <f>SUMIF(Schedule!$D$2:$D$49,1,Schedule!$E$2:$E$49)</f>
        <v>900</v>
      </c>
      <c r="C3" s="8" t="s">
        <v>244</v>
      </c>
    </row>
    <row r="4" spans="1:3" ht="40" customHeight="1" x14ac:dyDescent="0.35">
      <c r="A4" s="8" t="s">
        <v>43</v>
      </c>
      <c r="B4" s="11">
        <f>SUM(Schedule!$K$2:$K$49)</f>
        <v>1079.9999999999998</v>
      </c>
      <c r="C4" s="8" t="s">
        <v>245</v>
      </c>
    </row>
    <row r="5" spans="1:3" ht="40" customHeight="1" x14ac:dyDescent="0.35">
      <c r="A5" s="8" t="s">
        <v>234</v>
      </c>
      <c r="B5" s="13">
        <f>IFERROR(SUMPRODUCT(Schedule!$D$2:$D$49,Schedule!$E$2:$E$49,Schedule!$F$2:$F$49)/SUMPRODUCT(Schedule!$D$2:$D$49,Schedule!$E$2:$E$49),0)</f>
        <v>0</v>
      </c>
      <c r="C5" s="8" t="s">
        <v>246</v>
      </c>
    </row>
    <row r="6" spans="1:3" ht="40" customHeight="1" x14ac:dyDescent="0.35">
      <c r="A6" s="8" t="s">
        <v>235</v>
      </c>
      <c r="B6" s="12">
        <f>IF(B2="Ready",MAX(Schedule!$Q$2:$Q$49),"")</f>
        <v>46973</v>
      </c>
      <c r="C6" s="8" t="s">
        <v>247</v>
      </c>
    </row>
    <row r="7" spans="1:3" ht="40" customHeight="1" x14ac:dyDescent="0.35">
      <c r="A7" s="8" t="s">
        <v>236</v>
      </c>
      <c r="B7" s="8">
        <f>IF(B2="Ready",ROUNDUP(MAX(Schedule!$O$2:$O$49),0),0)</f>
        <v>562</v>
      </c>
      <c r="C7" s="8" t="s">
        <v>248</v>
      </c>
    </row>
    <row r="8" spans="1:3" ht="40" customHeight="1" x14ac:dyDescent="0.35">
      <c r="A8" s="8" t="s">
        <v>237</v>
      </c>
      <c r="B8" s="8">
        <f>IF(B2="Ready",B6-Settings!$B$2+1,0)</f>
        <v>656</v>
      </c>
      <c r="C8" s="8"/>
    </row>
    <row r="9" spans="1:3" ht="40" customHeight="1" x14ac:dyDescent="0.35">
      <c r="A9" s="8" t="s">
        <v>238</v>
      </c>
      <c r="B9" s="11">
        <f>IF(B2="Ready",B7/Settings!$B$13,0)</f>
        <v>93.666666666666671</v>
      </c>
      <c r="C9" s="8" t="s">
        <v>249</v>
      </c>
    </row>
    <row r="10" spans="1:3" ht="40" customHeight="1" x14ac:dyDescent="0.35">
      <c r="A10" s="8" t="s">
        <v>239</v>
      </c>
      <c r="B10" s="11">
        <f>Settings!B10</f>
        <v>1.5299999999999998</v>
      </c>
      <c r="C10" s="8"/>
    </row>
    <row r="11" spans="1:3" ht="40" customHeight="1" x14ac:dyDescent="0.35">
      <c r="A11" s="8" t="s">
        <v>240</v>
      </c>
      <c r="B11" s="11">
        <f>Settings!B11</f>
        <v>0.51</v>
      </c>
      <c r="C11" s="8"/>
    </row>
    <row r="12" spans="1:3" ht="40" customHeight="1" x14ac:dyDescent="0.35">
      <c r="A12" s="8" t="s">
        <v>241</v>
      </c>
      <c r="B12" s="11">
        <f>Settings!B12</f>
        <v>0.51</v>
      </c>
      <c r="C12" s="8"/>
    </row>
    <row r="13" spans="1:3" ht="40" customHeight="1" x14ac:dyDescent="0.35">
      <c r="A13" s="8" t="s">
        <v>242</v>
      </c>
      <c r="B13" s="8" t="str">
        <f>IF(B9&gt;104,"Forecast exceeds 104-week chart; dates remain complete","Within 104-week chart")</f>
        <v>Within 104-week chart</v>
      </c>
      <c r="C13" s="8"/>
    </row>
    <row r="14" spans="1:3" ht="40" customHeight="1" x14ac:dyDescent="0.35">
      <c r="A14" s="8"/>
      <c r="B14" s="8"/>
      <c r="C14" s="8"/>
    </row>
    <row r="15" spans="1:3" ht="40" customHeight="1" x14ac:dyDescent="0.35">
      <c r="A15" s="8"/>
      <c r="B15" s="8"/>
      <c r="C15" s="8"/>
    </row>
    <row r="16" spans="1:3" ht="40" customHeight="1" x14ac:dyDescent="0.35">
      <c r="A16" s="8" t="s">
        <v>250</v>
      </c>
      <c r="B16" s="8" t="s">
        <v>251</v>
      </c>
      <c r="C16" s="8" t="s">
        <v>252</v>
      </c>
    </row>
    <row r="17" spans="1:3" ht="40" customHeight="1" x14ac:dyDescent="0.35">
      <c r="A17" s="8">
        <f>1</f>
        <v>1</v>
      </c>
      <c r="B17" s="12">
        <f>IF($B$2="Ready",WORKDAY.INTL(Settings!$B$2-1,MAX(1,ROUNDUP(MAX(Schedule!$O$2:$O$49)*Settings!$B$3/A17,0)),Settings!$B$4,Holidays!$A$2:$A$101),"")</f>
        <v>48283</v>
      </c>
      <c r="C17" s="8"/>
    </row>
    <row r="18" spans="1:3" ht="40" customHeight="1" x14ac:dyDescent="0.35">
      <c r="A18" s="8">
        <f>2</f>
        <v>2</v>
      </c>
      <c r="B18" s="12">
        <f>IF($B$2="Ready",WORKDAY.INTL(Settings!$B$2-1,MAX(1,ROUNDUP(MAX(Schedule!$O$2:$O$49)*Settings!$B$3/A18,0)),Settings!$B$4,Holidays!$A$2:$A$101),"")</f>
        <v>47301</v>
      </c>
      <c r="C18" s="8"/>
    </row>
    <row r="19" spans="1:3" ht="40" customHeight="1" x14ac:dyDescent="0.35">
      <c r="A19" s="8">
        <f>3</f>
        <v>3</v>
      </c>
      <c r="B19" s="12">
        <f>IF($B$2="Ready",WORKDAY.INTL(Settings!$B$2-1,MAX(1,ROUNDUP(MAX(Schedule!$O$2:$O$49)*Settings!$B$3/A19,0)),Settings!$B$4,Holidays!$A$2:$A$101),"")</f>
        <v>46973</v>
      </c>
      <c r="C19" s="8"/>
    </row>
    <row r="20" spans="1:3" ht="40" customHeight="1" x14ac:dyDescent="0.35">
      <c r="A20" s="8">
        <f>4</f>
        <v>4</v>
      </c>
      <c r="B20" s="12">
        <f>IF($B$2="Ready",WORKDAY.INTL(Settings!$B$2-1,MAX(1,ROUNDUP(MAX(Schedule!$O$2:$O$49)*Settings!$B$3/A20,0)),Settings!$B$4,Holidays!$A$2:$A$101),"")</f>
        <v>46809</v>
      </c>
      <c r="C20" s="8"/>
    </row>
    <row r="21" spans="1:3" ht="40" customHeight="1" x14ac:dyDescent="0.35">
      <c r="A21" s="8">
        <f>6</f>
        <v>6</v>
      </c>
      <c r="B21" s="12">
        <f>IF($B$2="Ready",WORKDAY.INTL(Settings!$B$2-1,MAX(1,ROUNDUP(MAX(Schedule!$O$2:$O$49)*Settings!$B$3/A21,0)),Settings!$B$4,Holidays!$A$2:$A$101),"")</f>
        <v>46645</v>
      </c>
      <c r="C21" s="8"/>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0E013C-E1D0-46FB-9436-8F747FD0B304}">
  <dimension ref="A1:T49"/>
  <sheetViews>
    <sheetView workbookViewId="0">
      <pane ySplit="1" topLeftCell="A2" activePane="bottomLeft" state="frozenSplit"/>
      <selection pane="bottomLeft"/>
    </sheetView>
  </sheetViews>
  <sheetFormatPr defaultRowHeight="14.5" x14ac:dyDescent="0.35"/>
  <cols>
    <col min="1" max="1" width="9.6328125" customWidth="1"/>
    <col min="2" max="2" width="43.6328125" customWidth="1"/>
    <col min="3" max="3" width="13.6328125" customWidth="1"/>
    <col min="4" max="10" width="15.6328125" customWidth="1"/>
    <col min="11" max="15" width="19.6328125" customWidth="1"/>
    <col min="16" max="17" width="15.6328125" customWidth="1"/>
    <col min="18" max="18" width="18.6328125" customWidth="1"/>
    <col min="19" max="19" width="65.6328125" customWidth="1"/>
    <col min="20" max="20" width="45.6328125" customWidth="1"/>
  </cols>
  <sheetData>
    <row r="1" spans="1:20" ht="30" customHeight="1" x14ac:dyDescent="0.35">
      <c r="A1" s="1" t="s">
        <v>33</v>
      </c>
      <c r="B1" s="1" t="s">
        <v>34</v>
      </c>
      <c r="C1" s="1" t="s">
        <v>35</v>
      </c>
      <c r="D1" s="1" t="s">
        <v>36</v>
      </c>
      <c r="E1" s="1" t="s">
        <v>37</v>
      </c>
      <c r="F1" s="1" t="s">
        <v>38</v>
      </c>
      <c r="G1" s="1" t="s">
        <v>39</v>
      </c>
      <c r="H1" s="1" t="s">
        <v>40</v>
      </c>
      <c r="I1" s="1" t="s">
        <v>41</v>
      </c>
      <c r="J1" s="1" t="s">
        <v>42</v>
      </c>
      <c r="K1" s="1" t="s">
        <v>43</v>
      </c>
      <c r="L1" s="1" t="s">
        <v>44</v>
      </c>
      <c r="M1" s="1" t="s">
        <v>45</v>
      </c>
      <c r="N1" s="1" t="s">
        <v>46</v>
      </c>
      <c r="O1" s="1" t="s">
        <v>47</v>
      </c>
      <c r="P1" s="1" t="s">
        <v>48</v>
      </c>
      <c r="Q1" s="1" t="s">
        <v>49</v>
      </c>
      <c r="R1" s="1" t="s">
        <v>50</v>
      </c>
      <c r="S1" s="1" t="s">
        <v>51</v>
      </c>
      <c r="T1" s="1" t="s">
        <v>52</v>
      </c>
    </row>
    <row r="2" spans="1:20" ht="47" customHeight="1" x14ac:dyDescent="0.35">
      <c r="A2" s="8" t="s">
        <v>53</v>
      </c>
      <c r="B2" s="8" t="s">
        <v>54</v>
      </c>
      <c r="C2" s="8" t="s">
        <v>55</v>
      </c>
      <c r="D2" s="9">
        <f>1</f>
        <v>1</v>
      </c>
      <c r="E2" s="9">
        <f>4</f>
        <v>4</v>
      </c>
      <c r="F2" s="10">
        <f>0</f>
        <v>0</v>
      </c>
      <c r="G2" s="9"/>
      <c r="H2" s="9"/>
      <c r="I2" s="9"/>
      <c r="J2" s="9"/>
      <c r="K2" s="11">
        <f>IF(D2=0,0,IF(AND(ISNUMBER(E2),E2&gt;=0,ISNUMBER(F2),F2&gt;=0,F2&lt;=1),E2*(1-F2)*(1+Settings!$B$5),0))</f>
        <v>4.8</v>
      </c>
      <c r="L2" s="11">
        <f>IFERROR(INDEX(Settings!$B$10:$B$12,MATCH(C2,{"Core","Practice","Delivery"},0)),0)</f>
        <v>1.5299999999999998</v>
      </c>
      <c r="M2" s="8" t="str">
        <f>IF(D2=0,"Skipped",IF(Settings!$B$15&lt;&gt;"Ready","Invalid settings",IF(OR(D2&lt;&gt;1,COUNTIF($A$2:$A$49,A2)&lt;&gt;1,NOT(ISNUMBER(E2)),E2&lt;0,NOT(ISNUMBER(F2)),F2&lt;0,F2&gt;1),"Invalid input",IF(F2=1,"Complete",IF(OR(L2&lt;=0,FALSE,G2&lt;&gt;"",H2&lt;&gt;"",I2&lt;&gt;"",J2&lt;&gt;""),"Blocked","Planned")))))</f>
        <v>Planned</v>
      </c>
      <c r="N2" s="11">
        <f>IF(M2="Skipped",0,IF(OR(M2="Planned",M2="Complete"),MAX(0,0,0,0,0),""))</f>
        <v>0</v>
      </c>
      <c r="O2" s="11">
        <f>IF(M2="Skipped",N2,IF(OR(M2="Planned",M2="Complete"),N2+IF(K2=0,0,K2/L2),""))</f>
        <v>3.1372549019607847</v>
      </c>
      <c r="P2" s="12">
        <f>IF(AND(M2="Planned",K2&gt;0),WORKDAY.INTL(Settings!$B$2-1,INT(N2+0.000000001)+1,Settings!$B$4,Holidays!$A$2:$A$101),"")</f>
        <v>46318</v>
      </c>
      <c r="Q2" s="12">
        <f>IF(AND(M2="Planned",K2&gt;0),WORKDAY.INTL(Settings!$B$2-1,MAX(1,ROUNDUP(O2-0.000000001,0)),Settings!$B$4,Holidays!$A$2:$A$101),"")</f>
        <v>46322</v>
      </c>
      <c r="R2" s="11">
        <f>IF(OR(M2="Planned",M2="Complete"),O2-N2,0)</f>
        <v>3.1372549019607847</v>
      </c>
      <c r="S2" s="8" t="s">
        <v>56</v>
      </c>
      <c r="T2" s="8" t="s">
        <v>57</v>
      </c>
    </row>
    <row r="3" spans="1:20" ht="47" customHeight="1" x14ac:dyDescent="0.35">
      <c r="A3" s="8" t="s">
        <v>58</v>
      </c>
      <c r="B3" s="8" t="s">
        <v>59</v>
      </c>
      <c r="C3" s="8" t="s">
        <v>55</v>
      </c>
      <c r="D3" s="9">
        <f>1</f>
        <v>1</v>
      </c>
      <c r="E3" s="9">
        <f>32</f>
        <v>32</v>
      </c>
      <c r="F3" s="10">
        <f>0</f>
        <v>0</v>
      </c>
      <c r="G3" s="9" t="s">
        <v>53</v>
      </c>
      <c r="H3" s="9"/>
      <c r="I3" s="9"/>
      <c r="J3" s="9"/>
      <c r="K3" s="11">
        <f>IF(D3=0,0,IF(AND(ISNUMBER(E3),E3&gt;=0,ISNUMBER(F3),F3&gt;=0,F3&lt;=1),E3*(1-F3)*(1+Settings!$B$5),0))</f>
        <v>38.4</v>
      </c>
      <c r="L3" s="11">
        <f>IFERROR(INDEX(Settings!$B$10:$B$12,MATCH(C3,{"Core","Practice","Delivery"},0)),0)</f>
        <v>1.5299999999999998</v>
      </c>
      <c r="M3" s="8" t="str">
        <f>IF(D3=0,"Skipped",IF(Settings!$B$15&lt;&gt;"Ready","Invalid settings",IF(OR(D3&lt;&gt;1,COUNTIF($A$2:$A$49,A3)&lt;&gt;1,NOT(ISNUMBER(E3)),E3&lt;0,NOT(ISNUMBER(F3)),F3&lt;0,F3&gt;1),"Invalid input",IF(F3=1,"Complete",IF(OR(L3&lt;=0,COUNTIFS($C$2:C2,C3,$M$2:M2,"Blocked*")+COUNTIFS($C$2:C2,C3,$M$2:M2,"Invalid*")&gt;0,AND(G3&lt;&gt;"",OR(IFERROR(INDEX($D$2:$D$2,MATCH(G3,$A$2:$A$2,0)),0)&lt;&gt;1,IFERROR(INDEX($M$2:$M$2,MATCH(G3,$A$2:$A$2,0)),"Blocked")="Blocked",LEFT(IFERROR(INDEX($M$2:$M$2,MATCH(G3,$A$2:$A$2,0)),"Invalid"),7)="Invalid")),AND(H3&lt;&gt;"",OR(IFERROR(INDEX($D$2:$D$2,MATCH(H3,$A$2:$A$2,0)),0)&lt;&gt;1,IFERROR(INDEX($M$2:$M$2,MATCH(H3,$A$2:$A$2,0)),"Blocked")="Blocked",LEFT(IFERROR(INDEX($M$2:$M$2,MATCH(H3,$A$2:$A$2,0)),"Invalid"),7)="Invalid")),AND(I3&lt;&gt;"",OR(IFERROR(INDEX($D$2:$D$2,MATCH(I3,$A$2:$A$2,0)),0)&lt;&gt;1,IFERROR(INDEX($M$2:$M$2,MATCH(I3,$A$2:$A$2,0)),"Blocked")="Blocked",LEFT(IFERROR(INDEX($M$2:$M$2,MATCH(I3,$A$2:$A$2,0)),"Invalid"),7)="Invalid")),AND(J3&lt;&gt;"",OR(IFERROR(INDEX($D$2:$D$2,MATCH(J3,$A$2:$A$2,0)),0)&lt;&gt;1,IFERROR(INDEX($M$2:$M$2,MATCH(J3,$A$2:$A$2,0)),"Blocked")="Blocked",LEFT(IFERROR(INDEX($M$2:$M$2,MATCH(J3,$A$2:$A$2,0)),"Invalid"),7)="Invalid"))),"Blocked","Planned")))))</f>
        <v>Planned</v>
      </c>
      <c r="N3" s="11">
        <f>IF(M3="Skipped",O2,IF(OR(M3="Planned",M3="Complete"),MAX(O2,IF(G3="",0,IFERROR(INDEX($O$2:$O$2,MATCH(G3,$A$2:$A$2,0)),0)),IF(H3="",0,IFERROR(INDEX($O$2:$O$2,MATCH(H3,$A$2:$A$2,0)),0)),IF(I3="",0,IFERROR(INDEX($O$2:$O$2,MATCH(I3,$A$2:$A$2,0)),0)),IF(J3="",0,IFERROR(INDEX($O$2:$O$2,MATCH(J3,$A$2:$A$2,0)),0))),""))</f>
        <v>3.1372549019607847</v>
      </c>
      <c r="O3" s="11">
        <f>IF(M3="Skipped",N3,IF(OR(M3="Planned",M3="Complete"),N3+IF(K3=0,0,K3/L3),""))</f>
        <v>28.235294117647062</v>
      </c>
      <c r="P3" s="12">
        <f>IF(AND(M3="Planned",K3&gt;0),WORKDAY.INTL(Settings!$B$2-1,INT(N3+0.000000001)+1,Settings!$B$4,Holidays!$A$2:$A$101),"")</f>
        <v>46322</v>
      </c>
      <c r="Q3" s="12">
        <f>IF(AND(M3="Planned",K3&gt;0),WORKDAY.INTL(Settings!$B$2-1,MAX(1,ROUNDUP(O3-0.000000001,0)),Settings!$B$4,Holidays!$A$2:$A$101),"")</f>
        <v>46351</v>
      </c>
      <c r="R3" s="11">
        <f>IF(OR(M3="Planned",M3="Complete"),O3-N3,0)</f>
        <v>25.098039215686278</v>
      </c>
      <c r="S3" s="8" t="s">
        <v>60</v>
      </c>
      <c r="T3" s="8" t="s">
        <v>61</v>
      </c>
    </row>
    <row r="4" spans="1:20" ht="47" customHeight="1" x14ac:dyDescent="0.35">
      <c r="A4" s="8" t="s">
        <v>62</v>
      </c>
      <c r="B4" s="8" t="s">
        <v>63</v>
      </c>
      <c r="C4" s="8" t="s">
        <v>55</v>
      </c>
      <c r="D4" s="9">
        <f>1</f>
        <v>1</v>
      </c>
      <c r="E4" s="9">
        <f>18</f>
        <v>18</v>
      </c>
      <c r="F4" s="10">
        <f>0</f>
        <v>0</v>
      </c>
      <c r="G4" s="9" t="s">
        <v>58</v>
      </c>
      <c r="H4" s="9"/>
      <c r="I4" s="9"/>
      <c r="J4" s="9"/>
      <c r="K4" s="11">
        <f>IF(D4=0,0,IF(AND(ISNUMBER(E4),E4&gt;=0,ISNUMBER(F4),F4&gt;=0,F4&lt;=1),E4*(1-F4)*(1+Settings!$B$5),0))</f>
        <v>21.599999999999998</v>
      </c>
      <c r="L4" s="11">
        <f>IFERROR(INDEX(Settings!$B$10:$B$12,MATCH(C4,{"Core","Practice","Delivery"},0)),0)</f>
        <v>1.5299999999999998</v>
      </c>
      <c r="M4" s="8" t="str">
        <f>IF(D4=0,"Skipped",IF(Settings!$B$15&lt;&gt;"Ready","Invalid settings",IF(OR(D4&lt;&gt;1,COUNTIF($A$2:$A$49,A4)&lt;&gt;1,NOT(ISNUMBER(E4)),E4&lt;0,NOT(ISNUMBER(F4)),F4&lt;0,F4&gt;1),"Invalid input",IF(F4=1,"Complete",IF(OR(L4&lt;=0,COUNTIFS($C$2:C3,C4,$M$2:M3,"Blocked*")+COUNTIFS($C$2:C3,C4,$M$2:M3,"Invalid*")&gt;0,AND(G4&lt;&gt;"",OR(IFERROR(INDEX($D$2:$D$3,MATCH(G4,$A$2:$A$3,0)),0)&lt;&gt;1,IFERROR(INDEX($M$2:$M$3,MATCH(G4,$A$2:$A$3,0)),"Blocked")="Blocked",LEFT(IFERROR(INDEX($M$2:$M$3,MATCH(G4,$A$2:$A$3,0)),"Invalid"),7)="Invalid")),AND(H4&lt;&gt;"",OR(IFERROR(INDEX($D$2:$D$3,MATCH(H4,$A$2:$A$3,0)),0)&lt;&gt;1,IFERROR(INDEX($M$2:$M$3,MATCH(H4,$A$2:$A$3,0)),"Blocked")="Blocked",LEFT(IFERROR(INDEX($M$2:$M$3,MATCH(H4,$A$2:$A$3,0)),"Invalid"),7)="Invalid")),AND(I4&lt;&gt;"",OR(IFERROR(INDEX($D$2:$D$3,MATCH(I4,$A$2:$A$3,0)),0)&lt;&gt;1,IFERROR(INDEX($M$2:$M$3,MATCH(I4,$A$2:$A$3,0)),"Blocked")="Blocked",LEFT(IFERROR(INDEX($M$2:$M$3,MATCH(I4,$A$2:$A$3,0)),"Invalid"),7)="Invalid")),AND(J4&lt;&gt;"",OR(IFERROR(INDEX($D$2:$D$3,MATCH(J4,$A$2:$A$3,0)),0)&lt;&gt;1,IFERROR(INDEX($M$2:$M$3,MATCH(J4,$A$2:$A$3,0)),"Blocked")="Blocked",LEFT(IFERROR(INDEX($M$2:$M$3,MATCH(J4,$A$2:$A$3,0)),"Invalid"),7)="Invalid"))),"Blocked","Planned")))))</f>
        <v>Planned</v>
      </c>
      <c r="N4" s="11">
        <f>IF(M4="Skipped",O3,IF(OR(M4="Planned",M4="Complete"),MAX(O3,IF(G4="",0,IFERROR(INDEX($O$2:$O$3,MATCH(G4,$A$2:$A$3,0)),0)),IF(H4="",0,IFERROR(INDEX($O$2:$O$3,MATCH(H4,$A$2:$A$3,0)),0)),IF(I4="",0,IFERROR(INDEX($O$2:$O$3,MATCH(I4,$A$2:$A$3,0)),0)),IF(J4="",0,IFERROR(INDEX($O$2:$O$3,MATCH(J4,$A$2:$A$3,0)),0))),""))</f>
        <v>28.235294117647062</v>
      </c>
      <c r="O4" s="11">
        <f>IF(M4="Skipped",N4,IF(OR(M4="Planned",M4="Complete"),N4+IF(K4=0,0,K4/L4),""))</f>
        <v>42.352941176470594</v>
      </c>
      <c r="P4" s="12">
        <f>IF(AND(M4="Planned",K4&gt;0),WORKDAY.INTL(Settings!$B$2-1,INT(N4+0.000000001)+1,Settings!$B$4,Holidays!$A$2:$A$101),"")</f>
        <v>46351</v>
      </c>
      <c r="Q4" s="12">
        <f>IF(AND(M4="Planned",K4&gt;0),WORKDAY.INTL(Settings!$B$2-1,MAX(1,ROUNDUP(O4-0.000000001,0)),Settings!$B$4,Holidays!$A$2:$A$101),"")</f>
        <v>46367</v>
      </c>
      <c r="R4" s="11">
        <f>IF(OR(M4="Planned",M4="Complete"),O4-N4,0)</f>
        <v>14.117647058823533</v>
      </c>
      <c r="S4" s="8" t="s">
        <v>64</v>
      </c>
      <c r="T4" s="8" t="s">
        <v>65</v>
      </c>
    </row>
    <row r="5" spans="1:20" ht="47" customHeight="1" x14ac:dyDescent="0.35">
      <c r="A5" s="8" t="s">
        <v>66</v>
      </c>
      <c r="B5" s="8" t="s">
        <v>67</v>
      </c>
      <c r="C5" s="8" t="s">
        <v>55</v>
      </c>
      <c r="D5" s="9">
        <f>1</f>
        <v>1</v>
      </c>
      <c r="E5" s="9">
        <f>20</f>
        <v>20</v>
      </c>
      <c r="F5" s="10">
        <f>0</f>
        <v>0</v>
      </c>
      <c r="G5" s="9" t="s">
        <v>62</v>
      </c>
      <c r="H5" s="9"/>
      <c r="I5" s="9"/>
      <c r="J5" s="9"/>
      <c r="K5" s="11">
        <f>IF(D5=0,0,IF(AND(ISNUMBER(E5),E5&gt;=0,ISNUMBER(F5),F5&gt;=0,F5&lt;=1),E5*(1-F5)*(1+Settings!$B$5),0))</f>
        <v>24</v>
      </c>
      <c r="L5" s="11">
        <f>IFERROR(INDEX(Settings!$B$10:$B$12,MATCH(C5,{"Core","Practice","Delivery"},0)),0)</f>
        <v>1.5299999999999998</v>
      </c>
      <c r="M5" s="8" t="str">
        <f>IF(D5=0,"Skipped",IF(Settings!$B$15&lt;&gt;"Ready","Invalid settings",IF(OR(D5&lt;&gt;1,COUNTIF($A$2:$A$49,A5)&lt;&gt;1,NOT(ISNUMBER(E5)),E5&lt;0,NOT(ISNUMBER(F5)),F5&lt;0,F5&gt;1),"Invalid input",IF(F5=1,"Complete",IF(OR(L5&lt;=0,COUNTIFS($C$2:C4,C5,$M$2:M4,"Blocked*")+COUNTIFS($C$2:C4,C5,$M$2:M4,"Invalid*")&gt;0,AND(G5&lt;&gt;"",OR(IFERROR(INDEX($D$2:$D$4,MATCH(G5,$A$2:$A$4,0)),0)&lt;&gt;1,IFERROR(INDEX($M$2:$M$4,MATCH(G5,$A$2:$A$4,0)),"Blocked")="Blocked",LEFT(IFERROR(INDEX($M$2:$M$4,MATCH(G5,$A$2:$A$4,0)),"Invalid"),7)="Invalid")),AND(H5&lt;&gt;"",OR(IFERROR(INDEX($D$2:$D$4,MATCH(H5,$A$2:$A$4,0)),0)&lt;&gt;1,IFERROR(INDEX($M$2:$M$4,MATCH(H5,$A$2:$A$4,0)),"Blocked")="Blocked",LEFT(IFERROR(INDEX($M$2:$M$4,MATCH(H5,$A$2:$A$4,0)),"Invalid"),7)="Invalid")),AND(I5&lt;&gt;"",OR(IFERROR(INDEX($D$2:$D$4,MATCH(I5,$A$2:$A$4,0)),0)&lt;&gt;1,IFERROR(INDEX($M$2:$M$4,MATCH(I5,$A$2:$A$4,0)),"Blocked")="Blocked",LEFT(IFERROR(INDEX($M$2:$M$4,MATCH(I5,$A$2:$A$4,0)),"Invalid"),7)="Invalid")),AND(J5&lt;&gt;"",OR(IFERROR(INDEX($D$2:$D$4,MATCH(J5,$A$2:$A$4,0)),0)&lt;&gt;1,IFERROR(INDEX($M$2:$M$4,MATCH(J5,$A$2:$A$4,0)),"Blocked")="Blocked",LEFT(IFERROR(INDEX($M$2:$M$4,MATCH(J5,$A$2:$A$4,0)),"Invalid"),7)="Invalid"))),"Blocked","Planned")))))</f>
        <v>Planned</v>
      </c>
      <c r="N5" s="11">
        <f>IF(M5="Skipped",O4,IF(OR(M5="Planned",M5="Complete"),MAX(O4,IF(G5="",0,IFERROR(INDEX($O$2:$O$4,MATCH(G5,$A$2:$A$4,0)),0)),IF(H5="",0,IFERROR(INDEX($O$2:$O$4,MATCH(H5,$A$2:$A$4,0)),0)),IF(I5="",0,IFERROR(INDEX($O$2:$O$4,MATCH(I5,$A$2:$A$4,0)),0)),IF(J5="",0,IFERROR(INDEX($O$2:$O$4,MATCH(J5,$A$2:$A$4,0)),0))),""))</f>
        <v>42.352941176470594</v>
      </c>
      <c r="O5" s="11">
        <f>IF(M5="Skipped",N5,IF(OR(M5="Planned",M5="Complete"),N5+IF(K5=0,0,K5/L5),""))</f>
        <v>58.039215686274517</v>
      </c>
      <c r="P5" s="12">
        <f>IF(AND(M5="Planned",K5&gt;0),WORKDAY.INTL(Settings!$B$2-1,INT(N5+0.000000001)+1,Settings!$B$4,Holidays!$A$2:$A$101),"")</f>
        <v>46367</v>
      </c>
      <c r="Q5" s="12">
        <f>IF(AND(M5="Planned",K5&gt;0),WORKDAY.INTL(Settings!$B$2-1,MAX(1,ROUNDUP(O5-0.000000001,0)),Settings!$B$4,Holidays!$A$2:$A$101),"")</f>
        <v>46386</v>
      </c>
      <c r="R5" s="11">
        <f>IF(OR(M5="Planned",M5="Complete"),O5-N5,0)</f>
        <v>15.686274509803923</v>
      </c>
      <c r="S5" s="8" t="s">
        <v>68</v>
      </c>
      <c r="T5" s="8" t="s">
        <v>69</v>
      </c>
    </row>
    <row r="6" spans="1:20" ht="47" customHeight="1" x14ac:dyDescent="0.35">
      <c r="A6" s="8" t="s">
        <v>70</v>
      </c>
      <c r="B6" s="8" t="s">
        <v>71</v>
      </c>
      <c r="C6" s="8" t="s">
        <v>55</v>
      </c>
      <c r="D6" s="9">
        <f>1</f>
        <v>1</v>
      </c>
      <c r="E6" s="9">
        <f>30</f>
        <v>30</v>
      </c>
      <c r="F6" s="10">
        <f>0</f>
        <v>0</v>
      </c>
      <c r="G6" s="9" t="s">
        <v>66</v>
      </c>
      <c r="H6" s="9"/>
      <c r="I6" s="9"/>
      <c r="J6" s="9"/>
      <c r="K6" s="11">
        <f>IF(D6=0,0,IF(AND(ISNUMBER(E6),E6&gt;=0,ISNUMBER(F6),F6&gt;=0,F6&lt;=1),E6*(1-F6)*(1+Settings!$B$5),0))</f>
        <v>36</v>
      </c>
      <c r="L6" s="11">
        <f>IFERROR(INDEX(Settings!$B$10:$B$12,MATCH(C6,{"Core","Practice","Delivery"},0)),0)</f>
        <v>1.5299999999999998</v>
      </c>
      <c r="M6" s="8" t="str">
        <f>IF(D6=0,"Skipped",IF(Settings!$B$15&lt;&gt;"Ready","Invalid settings",IF(OR(D6&lt;&gt;1,COUNTIF($A$2:$A$49,A6)&lt;&gt;1,NOT(ISNUMBER(E6)),E6&lt;0,NOT(ISNUMBER(F6)),F6&lt;0,F6&gt;1),"Invalid input",IF(F6=1,"Complete",IF(OR(L6&lt;=0,COUNTIFS($C$2:C5,C6,$M$2:M5,"Blocked*")+COUNTIFS($C$2:C5,C6,$M$2:M5,"Invalid*")&gt;0,AND(G6&lt;&gt;"",OR(IFERROR(INDEX($D$2:$D$5,MATCH(G6,$A$2:$A$5,0)),0)&lt;&gt;1,IFERROR(INDEX($M$2:$M$5,MATCH(G6,$A$2:$A$5,0)),"Blocked")="Blocked",LEFT(IFERROR(INDEX($M$2:$M$5,MATCH(G6,$A$2:$A$5,0)),"Invalid"),7)="Invalid")),AND(H6&lt;&gt;"",OR(IFERROR(INDEX($D$2:$D$5,MATCH(H6,$A$2:$A$5,0)),0)&lt;&gt;1,IFERROR(INDEX($M$2:$M$5,MATCH(H6,$A$2:$A$5,0)),"Blocked")="Blocked",LEFT(IFERROR(INDEX($M$2:$M$5,MATCH(H6,$A$2:$A$5,0)),"Invalid"),7)="Invalid")),AND(I6&lt;&gt;"",OR(IFERROR(INDEX($D$2:$D$5,MATCH(I6,$A$2:$A$5,0)),0)&lt;&gt;1,IFERROR(INDEX($M$2:$M$5,MATCH(I6,$A$2:$A$5,0)),"Blocked")="Blocked",LEFT(IFERROR(INDEX($M$2:$M$5,MATCH(I6,$A$2:$A$5,0)),"Invalid"),7)="Invalid")),AND(J6&lt;&gt;"",OR(IFERROR(INDEX($D$2:$D$5,MATCH(J6,$A$2:$A$5,0)),0)&lt;&gt;1,IFERROR(INDEX($M$2:$M$5,MATCH(J6,$A$2:$A$5,0)),"Blocked")="Blocked",LEFT(IFERROR(INDEX($M$2:$M$5,MATCH(J6,$A$2:$A$5,0)),"Invalid"),7)="Invalid"))),"Blocked","Planned")))))</f>
        <v>Planned</v>
      </c>
      <c r="N6" s="11">
        <f>IF(M6="Skipped",O5,IF(OR(M6="Planned",M6="Complete"),MAX(O5,IF(G6="",0,IFERROR(INDEX($O$2:$O$5,MATCH(G6,$A$2:$A$5,0)),0)),IF(H6="",0,IFERROR(INDEX($O$2:$O$5,MATCH(H6,$A$2:$A$5,0)),0)),IF(I6="",0,IFERROR(INDEX($O$2:$O$5,MATCH(I6,$A$2:$A$5,0)),0)),IF(J6="",0,IFERROR(INDEX($O$2:$O$5,MATCH(J6,$A$2:$A$5,0)),0))),""))</f>
        <v>58.039215686274517</v>
      </c>
      <c r="O6" s="11">
        <f>IF(M6="Skipped",N6,IF(OR(M6="Planned",M6="Complete"),N6+IF(K6=0,0,K6/L6),""))</f>
        <v>81.568627450980401</v>
      </c>
      <c r="P6" s="12">
        <f>IF(AND(M6="Planned",K6&gt;0),WORKDAY.INTL(Settings!$B$2-1,INT(N6+0.000000001)+1,Settings!$B$4,Holidays!$A$2:$A$101),"")</f>
        <v>46386</v>
      </c>
      <c r="Q6" s="12">
        <f>IF(AND(M6="Planned",K6&gt;0),WORKDAY.INTL(Settings!$B$2-1,MAX(1,ROUNDUP(O6-0.000000001,0)),Settings!$B$4,Holidays!$A$2:$A$101),"")</f>
        <v>46413</v>
      </c>
      <c r="R6" s="11">
        <f>IF(OR(M6="Planned",M6="Complete"),O6-N6,0)</f>
        <v>23.529411764705884</v>
      </c>
      <c r="S6" s="8" t="s">
        <v>72</v>
      </c>
      <c r="T6" s="8" t="s">
        <v>73</v>
      </c>
    </row>
    <row r="7" spans="1:20" ht="47" customHeight="1" x14ac:dyDescent="0.35">
      <c r="A7" s="8" t="s">
        <v>74</v>
      </c>
      <c r="B7" s="8" t="s">
        <v>75</v>
      </c>
      <c r="C7" s="8" t="s">
        <v>55</v>
      </c>
      <c r="D7" s="9">
        <f>1</f>
        <v>1</v>
      </c>
      <c r="E7" s="9">
        <f>32</f>
        <v>32</v>
      </c>
      <c r="F7" s="10">
        <f>0</f>
        <v>0</v>
      </c>
      <c r="G7" s="9" t="s">
        <v>62</v>
      </c>
      <c r="H7" s="9"/>
      <c r="I7" s="9"/>
      <c r="J7" s="9"/>
      <c r="K7" s="11">
        <f>IF(D7=0,0,IF(AND(ISNUMBER(E7),E7&gt;=0,ISNUMBER(F7),F7&gt;=0,F7&lt;=1),E7*(1-F7)*(1+Settings!$B$5),0))</f>
        <v>38.4</v>
      </c>
      <c r="L7" s="11">
        <f>IFERROR(INDEX(Settings!$B$10:$B$12,MATCH(C7,{"Core","Practice","Delivery"},0)),0)</f>
        <v>1.5299999999999998</v>
      </c>
      <c r="M7" s="8" t="str">
        <f>IF(D7=0,"Skipped",IF(Settings!$B$15&lt;&gt;"Ready","Invalid settings",IF(OR(D7&lt;&gt;1,COUNTIF($A$2:$A$49,A7)&lt;&gt;1,NOT(ISNUMBER(E7)),E7&lt;0,NOT(ISNUMBER(F7)),F7&lt;0,F7&gt;1),"Invalid input",IF(F7=1,"Complete",IF(OR(L7&lt;=0,COUNTIFS($C$2:C6,C7,$M$2:M6,"Blocked*")+COUNTIFS($C$2:C6,C7,$M$2:M6,"Invalid*")&gt;0,AND(G7&lt;&gt;"",OR(IFERROR(INDEX($D$2:$D$6,MATCH(G7,$A$2:$A$6,0)),0)&lt;&gt;1,IFERROR(INDEX($M$2:$M$6,MATCH(G7,$A$2:$A$6,0)),"Blocked")="Blocked",LEFT(IFERROR(INDEX($M$2:$M$6,MATCH(G7,$A$2:$A$6,0)),"Invalid"),7)="Invalid")),AND(H7&lt;&gt;"",OR(IFERROR(INDEX($D$2:$D$6,MATCH(H7,$A$2:$A$6,0)),0)&lt;&gt;1,IFERROR(INDEX($M$2:$M$6,MATCH(H7,$A$2:$A$6,0)),"Blocked")="Blocked",LEFT(IFERROR(INDEX($M$2:$M$6,MATCH(H7,$A$2:$A$6,0)),"Invalid"),7)="Invalid")),AND(I7&lt;&gt;"",OR(IFERROR(INDEX($D$2:$D$6,MATCH(I7,$A$2:$A$6,0)),0)&lt;&gt;1,IFERROR(INDEX($M$2:$M$6,MATCH(I7,$A$2:$A$6,0)),"Blocked")="Blocked",LEFT(IFERROR(INDEX($M$2:$M$6,MATCH(I7,$A$2:$A$6,0)),"Invalid"),7)="Invalid")),AND(J7&lt;&gt;"",OR(IFERROR(INDEX($D$2:$D$6,MATCH(J7,$A$2:$A$6,0)),0)&lt;&gt;1,IFERROR(INDEX($M$2:$M$6,MATCH(J7,$A$2:$A$6,0)),"Blocked")="Blocked",LEFT(IFERROR(INDEX($M$2:$M$6,MATCH(J7,$A$2:$A$6,0)),"Invalid"),7)="Invalid"))),"Blocked","Planned")))))</f>
        <v>Planned</v>
      </c>
      <c r="N7" s="11">
        <f>IF(M7="Skipped",O6,IF(OR(M7="Planned",M7="Complete"),MAX(O6,IF(G7="",0,IFERROR(INDEX($O$2:$O$6,MATCH(G7,$A$2:$A$6,0)),0)),IF(H7="",0,IFERROR(INDEX($O$2:$O$6,MATCH(H7,$A$2:$A$6,0)),0)),IF(I7="",0,IFERROR(INDEX($O$2:$O$6,MATCH(I7,$A$2:$A$6,0)),0)),IF(J7="",0,IFERROR(INDEX($O$2:$O$6,MATCH(J7,$A$2:$A$6,0)),0))),""))</f>
        <v>81.568627450980401</v>
      </c>
      <c r="O7" s="11">
        <f>IF(M7="Skipped",N7,IF(OR(M7="Planned",M7="Complete"),N7+IF(K7=0,0,K7/L7),""))</f>
        <v>106.66666666666669</v>
      </c>
      <c r="P7" s="12">
        <f>IF(AND(M7="Planned",K7&gt;0),WORKDAY.INTL(Settings!$B$2-1,INT(N7+0.000000001)+1,Settings!$B$4,Holidays!$A$2:$A$101),"")</f>
        <v>46413</v>
      </c>
      <c r="Q7" s="12">
        <f>IF(AND(M7="Planned",K7&gt;0),WORKDAY.INTL(Settings!$B$2-1,MAX(1,ROUNDUP(O7-0.000000001,0)),Settings!$B$4,Holidays!$A$2:$A$101),"")</f>
        <v>46442</v>
      </c>
      <c r="R7" s="11">
        <f>IF(OR(M7="Planned",M7="Complete"),O7-N7,0)</f>
        <v>25.098039215686285</v>
      </c>
      <c r="S7" s="8" t="s">
        <v>76</v>
      </c>
      <c r="T7" s="8" t="s">
        <v>77</v>
      </c>
    </row>
    <row r="8" spans="1:20" ht="47" customHeight="1" x14ac:dyDescent="0.35">
      <c r="A8" s="8" t="s">
        <v>78</v>
      </c>
      <c r="B8" s="8" t="s">
        <v>79</v>
      </c>
      <c r="C8" s="8" t="s">
        <v>55</v>
      </c>
      <c r="D8" s="9">
        <f>1</f>
        <v>1</v>
      </c>
      <c r="E8" s="9">
        <f>32</f>
        <v>32</v>
      </c>
      <c r="F8" s="10">
        <f>0</f>
        <v>0</v>
      </c>
      <c r="G8" s="9" t="s">
        <v>70</v>
      </c>
      <c r="H8" s="9"/>
      <c r="I8" s="9"/>
      <c r="J8" s="9"/>
      <c r="K8" s="11">
        <f>IF(D8=0,0,IF(AND(ISNUMBER(E8),E8&gt;=0,ISNUMBER(F8),F8&gt;=0,F8&lt;=1),E8*(1-F8)*(1+Settings!$B$5),0))</f>
        <v>38.4</v>
      </c>
      <c r="L8" s="11">
        <f>IFERROR(INDEX(Settings!$B$10:$B$12,MATCH(C8,{"Core","Practice","Delivery"},0)),0)</f>
        <v>1.5299999999999998</v>
      </c>
      <c r="M8" s="8" t="str">
        <f>IF(D8=0,"Skipped",IF(Settings!$B$15&lt;&gt;"Ready","Invalid settings",IF(OR(D8&lt;&gt;1,COUNTIF($A$2:$A$49,A8)&lt;&gt;1,NOT(ISNUMBER(E8)),E8&lt;0,NOT(ISNUMBER(F8)),F8&lt;0,F8&gt;1),"Invalid input",IF(F8=1,"Complete",IF(OR(L8&lt;=0,COUNTIFS($C$2:C7,C8,$M$2:M7,"Blocked*")+COUNTIFS($C$2:C7,C8,$M$2:M7,"Invalid*")&gt;0,AND(G8&lt;&gt;"",OR(IFERROR(INDEX($D$2:$D$7,MATCH(G8,$A$2:$A$7,0)),0)&lt;&gt;1,IFERROR(INDEX($M$2:$M$7,MATCH(G8,$A$2:$A$7,0)),"Blocked")="Blocked",LEFT(IFERROR(INDEX($M$2:$M$7,MATCH(G8,$A$2:$A$7,0)),"Invalid"),7)="Invalid")),AND(H8&lt;&gt;"",OR(IFERROR(INDEX($D$2:$D$7,MATCH(H8,$A$2:$A$7,0)),0)&lt;&gt;1,IFERROR(INDEX($M$2:$M$7,MATCH(H8,$A$2:$A$7,0)),"Blocked")="Blocked",LEFT(IFERROR(INDEX($M$2:$M$7,MATCH(H8,$A$2:$A$7,0)),"Invalid"),7)="Invalid")),AND(I8&lt;&gt;"",OR(IFERROR(INDEX($D$2:$D$7,MATCH(I8,$A$2:$A$7,0)),0)&lt;&gt;1,IFERROR(INDEX($M$2:$M$7,MATCH(I8,$A$2:$A$7,0)),"Blocked")="Blocked",LEFT(IFERROR(INDEX($M$2:$M$7,MATCH(I8,$A$2:$A$7,0)),"Invalid"),7)="Invalid")),AND(J8&lt;&gt;"",OR(IFERROR(INDEX($D$2:$D$7,MATCH(J8,$A$2:$A$7,0)),0)&lt;&gt;1,IFERROR(INDEX($M$2:$M$7,MATCH(J8,$A$2:$A$7,0)),"Blocked")="Blocked",LEFT(IFERROR(INDEX($M$2:$M$7,MATCH(J8,$A$2:$A$7,0)),"Invalid"),7)="Invalid"))),"Blocked","Planned")))))</f>
        <v>Planned</v>
      </c>
      <c r="N8" s="11">
        <f>IF(M8="Skipped",O7,IF(OR(M8="Planned",M8="Complete"),MAX(O7,IF(G8="",0,IFERROR(INDEX($O$2:$O$7,MATCH(G8,$A$2:$A$7,0)),0)),IF(H8="",0,IFERROR(INDEX($O$2:$O$7,MATCH(H8,$A$2:$A$7,0)),0)),IF(I8="",0,IFERROR(INDEX($O$2:$O$7,MATCH(I8,$A$2:$A$7,0)),0)),IF(J8="",0,IFERROR(INDEX($O$2:$O$7,MATCH(J8,$A$2:$A$7,0)),0))),""))</f>
        <v>106.66666666666669</v>
      </c>
      <c r="O8" s="11">
        <f>IF(M8="Skipped",N8,IF(OR(M8="Planned",M8="Complete"),N8+IF(K8=0,0,K8/L8),""))</f>
        <v>131.76470588235296</v>
      </c>
      <c r="P8" s="12">
        <f>IF(AND(M8="Planned",K8&gt;0),WORKDAY.INTL(Settings!$B$2-1,INT(N8+0.000000001)+1,Settings!$B$4,Holidays!$A$2:$A$101),"")</f>
        <v>46442</v>
      </c>
      <c r="Q8" s="12">
        <f>IF(AND(M8="Planned",K8&gt;0),WORKDAY.INTL(Settings!$B$2-1,MAX(1,ROUNDUP(O8-0.000000001,0)),Settings!$B$4,Holidays!$A$2:$A$101),"")</f>
        <v>46471</v>
      </c>
      <c r="R8" s="11">
        <f>IF(OR(M8="Planned",M8="Complete"),O8-N8,0)</f>
        <v>25.098039215686271</v>
      </c>
      <c r="S8" s="8" t="s">
        <v>80</v>
      </c>
      <c r="T8" s="8" t="s">
        <v>81</v>
      </c>
    </row>
    <row r="9" spans="1:20" ht="47" customHeight="1" x14ac:dyDescent="0.35">
      <c r="A9" s="8" t="s">
        <v>82</v>
      </c>
      <c r="B9" s="8" t="s">
        <v>83</v>
      </c>
      <c r="C9" s="8" t="s">
        <v>55</v>
      </c>
      <c r="D9" s="9">
        <f>1</f>
        <v>1</v>
      </c>
      <c r="E9" s="9">
        <f>28</f>
        <v>28</v>
      </c>
      <c r="F9" s="10">
        <f>0</f>
        <v>0</v>
      </c>
      <c r="G9" s="9" t="s">
        <v>74</v>
      </c>
      <c r="H9" s="9" t="s">
        <v>66</v>
      </c>
      <c r="I9" s="9"/>
      <c r="J9" s="9"/>
      <c r="K9" s="11">
        <f>IF(D9=0,0,IF(AND(ISNUMBER(E9),E9&gt;=0,ISNUMBER(F9),F9&gt;=0,F9&lt;=1),E9*(1-F9)*(1+Settings!$B$5),0))</f>
        <v>33.6</v>
      </c>
      <c r="L9" s="11">
        <f>IFERROR(INDEX(Settings!$B$10:$B$12,MATCH(C9,{"Core","Practice","Delivery"},0)),0)</f>
        <v>1.5299999999999998</v>
      </c>
      <c r="M9" s="8" t="str">
        <f>IF(D9=0,"Skipped",IF(Settings!$B$15&lt;&gt;"Ready","Invalid settings",IF(OR(D9&lt;&gt;1,COUNTIF($A$2:$A$49,A9)&lt;&gt;1,NOT(ISNUMBER(E9)),E9&lt;0,NOT(ISNUMBER(F9)),F9&lt;0,F9&gt;1),"Invalid input",IF(F9=1,"Complete",IF(OR(L9&lt;=0,COUNTIFS($C$2:C8,C9,$M$2:M8,"Blocked*")+COUNTIFS($C$2:C8,C9,$M$2:M8,"Invalid*")&gt;0,AND(G9&lt;&gt;"",OR(IFERROR(INDEX($D$2:$D$8,MATCH(G9,$A$2:$A$8,0)),0)&lt;&gt;1,IFERROR(INDEX($M$2:$M$8,MATCH(G9,$A$2:$A$8,0)),"Blocked")="Blocked",LEFT(IFERROR(INDEX($M$2:$M$8,MATCH(G9,$A$2:$A$8,0)),"Invalid"),7)="Invalid")),AND(H9&lt;&gt;"",OR(IFERROR(INDEX($D$2:$D$8,MATCH(H9,$A$2:$A$8,0)),0)&lt;&gt;1,IFERROR(INDEX($M$2:$M$8,MATCH(H9,$A$2:$A$8,0)),"Blocked")="Blocked",LEFT(IFERROR(INDEX($M$2:$M$8,MATCH(H9,$A$2:$A$8,0)),"Invalid"),7)="Invalid")),AND(I9&lt;&gt;"",OR(IFERROR(INDEX($D$2:$D$8,MATCH(I9,$A$2:$A$8,0)),0)&lt;&gt;1,IFERROR(INDEX($M$2:$M$8,MATCH(I9,$A$2:$A$8,0)),"Blocked")="Blocked",LEFT(IFERROR(INDEX($M$2:$M$8,MATCH(I9,$A$2:$A$8,0)),"Invalid"),7)="Invalid")),AND(J9&lt;&gt;"",OR(IFERROR(INDEX($D$2:$D$8,MATCH(J9,$A$2:$A$8,0)),0)&lt;&gt;1,IFERROR(INDEX($M$2:$M$8,MATCH(J9,$A$2:$A$8,0)),"Blocked")="Blocked",LEFT(IFERROR(INDEX($M$2:$M$8,MATCH(J9,$A$2:$A$8,0)),"Invalid"),7)="Invalid"))),"Blocked","Planned")))))</f>
        <v>Planned</v>
      </c>
      <c r="N9" s="11">
        <f>IF(M9="Skipped",O8,IF(OR(M9="Planned",M9="Complete"),MAX(O8,IF(G9="",0,IFERROR(INDEX($O$2:$O$8,MATCH(G9,$A$2:$A$8,0)),0)),IF(H9="",0,IFERROR(INDEX($O$2:$O$8,MATCH(H9,$A$2:$A$8,0)),0)),IF(I9="",0,IFERROR(INDEX($O$2:$O$8,MATCH(I9,$A$2:$A$8,0)),0)),IF(J9="",0,IFERROR(INDEX($O$2:$O$8,MATCH(J9,$A$2:$A$8,0)),0))),""))</f>
        <v>131.76470588235296</v>
      </c>
      <c r="O9" s="11">
        <f>IF(M9="Skipped",N9,IF(OR(M9="Planned",M9="Complete"),N9+IF(K9=0,0,K9/L9),""))</f>
        <v>153.72549019607845</v>
      </c>
      <c r="P9" s="12">
        <f>IF(AND(M9="Planned",K9&gt;0),WORKDAY.INTL(Settings!$B$2-1,INT(N9+0.000000001)+1,Settings!$B$4,Holidays!$A$2:$A$101),"")</f>
        <v>46471</v>
      </c>
      <c r="Q9" s="12">
        <f>IF(AND(M9="Planned",K9&gt;0),WORKDAY.INTL(Settings!$B$2-1,MAX(1,ROUNDUP(O9-0.000000001,0)),Settings!$B$4,Holidays!$A$2:$A$101),"")</f>
        <v>46497</v>
      </c>
      <c r="R9" s="11">
        <f>IF(OR(M9="Planned",M9="Complete"),O9-N9,0)</f>
        <v>21.960784313725497</v>
      </c>
      <c r="S9" s="8" t="s">
        <v>84</v>
      </c>
      <c r="T9" s="8" t="s">
        <v>85</v>
      </c>
    </row>
    <row r="10" spans="1:20" ht="47" customHeight="1" x14ac:dyDescent="0.35">
      <c r="A10" s="8" t="s">
        <v>86</v>
      </c>
      <c r="B10" s="8" t="s">
        <v>87</v>
      </c>
      <c r="C10" s="8" t="s">
        <v>55</v>
      </c>
      <c r="D10" s="9">
        <f>1</f>
        <v>1</v>
      </c>
      <c r="E10" s="9">
        <f>18</f>
        <v>18</v>
      </c>
      <c r="F10" s="10">
        <f>0</f>
        <v>0</v>
      </c>
      <c r="G10" s="9" t="s">
        <v>58</v>
      </c>
      <c r="H10" s="9"/>
      <c r="I10" s="9"/>
      <c r="J10" s="9"/>
      <c r="K10" s="11">
        <f>IF(D10=0,0,IF(AND(ISNUMBER(E10),E10&gt;=0,ISNUMBER(F10),F10&gt;=0,F10&lt;=1),E10*(1-F10)*(1+Settings!$B$5),0))</f>
        <v>21.599999999999998</v>
      </c>
      <c r="L10" s="11">
        <f>IFERROR(INDEX(Settings!$B$10:$B$12,MATCH(C10,{"Core","Practice","Delivery"},0)),0)</f>
        <v>1.5299999999999998</v>
      </c>
      <c r="M10" s="8" t="str">
        <f>IF(D10=0,"Skipped",IF(Settings!$B$15&lt;&gt;"Ready","Invalid settings",IF(OR(D10&lt;&gt;1,COUNTIF($A$2:$A$49,A10)&lt;&gt;1,NOT(ISNUMBER(E10)),E10&lt;0,NOT(ISNUMBER(F10)),F10&lt;0,F10&gt;1),"Invalid input",IF(F10=1,"Complete",IF(OR(L10&lt;=0,COUNTIFS($C$2:C9,C10,$M$2:M9,"Blocked*")+COUNTIFS($C$2:C9,C10,$M$2:M9,"Invalid*")&gt;0,AND(G10&lt;&gt;"",OR(IFERROR(INDEX($D$2:$D$9,MATCH(G10,$A$2:$A$9,0)),0)&lt;&gt;1,IFERROR(INDEX($M$2:$M$9,MATCH(G10,$A$2:$A$9,0)),"Blocked")="Blocked",LEFT(IFERROR(INDEX($M$2:$M$9,MATCH(G10,$A$2:$A$9,0)),"Invalid"),7)="Invalid")),AND(H10&lt;&gt;"",OR(IFERROR(INDEX($D$2:$D$9,MATCH(H10,$A$2:$A$9,0)),0)&lt;&gt;1,IFERROR(INDEX($M$2:$M$9,MATCH(H10,$A$2:$A$9,0)),"Blocked")="Blocked",LEFT(IFERROR(INDEX($M$2:$M$9,MATCH(H10,$A$2:$A$9,0)),"Invalid"),7)="Invalid")),AND(I10&lt;&gt;"",OR(IFERROR(INDEX($D$2:$D$9,MATCH(I10,$A$2:$A$9,0)),0)&lt;&gt;1,IFERROR(INDEX($M$2:$M$9,MATCH(I10,$A$2:$A$9,0)),"Blocked")="Blocked",LEFT(IFERROR(INDEX($M$2:$M$9,MATCH(I10,$A$2:$A$9,0)),"Invalid"),7)="Invalid")),AND(J10&lt;&gt;"",OR(IFERROR(INDEX($D$2:$D$9,MATCH(J10,$A$2:$A$9,0)),0)&lt;&gt;1,IFERROR(INDEX($M$2:$M$9,MATCH(J10,$A$2:$A$9,0)),"Blocked")="Blocked",LEFT(IFERROR(INDEX($M$2:$M$9,MATCH(J10,$A$2:$A$9,0)),"Invalid"),7)="Invalid"))),"Blocked","Planned")))))</f>
        <v>Planned</v>
      </c>
      <c r="N10" s="11">
        <f>IF(M10="Skipped",O9,IF(OR(M10="Planned",M10="Complete"),MAX(O9,IF(G10="",0,IFERROR(INDEX($O$2:$O$9,MATCH(G10,$A$2:$A$9,0)),0)),IF(H10="",0,IFERROR(INDEX($O$2:$O$9,MATCH(H10,$A$2:$A$9,0)),0)),IF(I10="",0,IFERROR(INDEX($O$2:$O$9,MATCH(I10,$A$2:$A$9,0)),0)),IF(J10="",0,IFERROR(INDEX($O$2:$O$9,MATCH(J10,$A$2:$A$9,0)),0))),""))</f>
        <v>153.72549019607845</v>
      </c>
      <c r="O10" s="11">
        <f>IF(M10="Skipped",N10,IF(OR(M10="Planned",M10="Complete"),N10+IF(K10=0,0,K10/L10),""))</f>
        <v>167.84313725490199</v>
      </c>
      <c r="P10" s="12">
        <f>IF(AND(M10="Planned",K10&gt;0),WORKDAY.INTL(Settings!$B$2-1,INT(N10+0.000000001)+1,Settings!$B$4,Holidays!$A$2:$A$101),"")</f>
        <v>46497</v>
      </c>
      <c r="Q10" s="12">
        <f>IF(AND(M10="Planned",K10&gt;0),WORKDAY.INTL(Settings!$B$2-1,MAX(1,ROUNDUP(O10-0.000000001,0)),Settings!$B$4,Holidays!$A$2:$A$101),"")</f>
        <v>46513</v>
      </c>
      <c r="R10" s="11">
        <f>IF(OR(M10="Planned",M10="Complete"),O10-N10,0)</f>
        <v>14.117647058823536</v>
      </c>
      <c r="S10" s="8" t="s">
        <v>88</v>
      </c>
      <c r="T10" s="8" t="s">
        <v>61</v>
      </c>
    </row>
    <row r="11" spans="1:20" ht="47" customHeight="1" x14ac:dyDescent="0.35">
      <c r="A11" s="8" t="s">
        <v>89</v>
      </c>
      <c r="B11" s="8" t="s">
        <v>90</v>
      </c>
      <c r="C11" s="8" t="s">
        <v>55</v>
      </c>
      <c r="D11" s="9">
        <f>1</f>
        <v>1</v>
      </c>
      <c r="E11" s="9">
        <f>20</f>
        <v>20</v>
      </c>
      <c r="F11" s="10">
        <f>0</f>
        <v>0</v>
      </c>
      <c r="G11" s="9" t="s">
        <v>86</v>
      </c>
      <c r="H11" s="9"/>
      <c r="I11" s="9"/>
      <c r="J11" s="9"/>
      <c r="K11" s="11">
        <f>IF(D11=0,0,IF(AND(ISNUMBER(E11),E11&gt;=0,ISNUMBER(F11),F11&gt;=0,F11&lt;=1),E11*(1-F11)*(1+Settings!$B$5),0))</f>
        <v>24</v>
      </c>
      <c r="L11" s="11">
        <f>IFERROR(INDEX(Settings!$B$10:$B$12,MATCH(C11,{"Core","Practice","Delivery"},0)),0)</f>
        <v>1.5299999999999998</v>
      </c>
      <c r="M11" s="8" t="str">
        <f>IF(D11=0,"Skipped",IF(Settings!$B$15&lt;&gt;"Ready","Invalid settings",IF(OR(D11&lt;&gt;1,COUNTIF($A$2:$A$49,A11)&lt;&gt;1,NOT(ISNUMBER(E11)),E11&lt;0,NOT(ISNUMBER(F11)),F11&lt;0,F11&gt;1),"Invalid input",IF(F11=1,"Complete",IF(OR(L11&lt;=0,COUNTIFS($C$2:C10,C11,$M$2:M10,"Blocked*")+COUNTIFS($C$2:C10,C11,$M$2:M10,"Invalid*")&gt;0,AND(G11&lt;&gt;"",OR(IFERROR(INDEX($D$2:$D$10,MATCH(G11,$A$2:$A$10,0)),0)&lt;&gt;1,IFERROR(INDEX($M$2:$M$10,MATCH(G11,$A$2:$A$10,0)),"Blocked")="Blocked",LEFT(IFERROR(INDEX($M$2:$M$10,MATCH(G11,$A$2:$A$10,0)),"Invalid"),7)="Invalid")),AND(H11&lt;&gt;"",OR(IFERROR(INDEX($D$2:$D$10,MATCH(H11,$A$2:$A$10,0)),0)&lt;&gt;1,IFERROR(INDEX($M$2:$M$10,MATCH(H11,$A$2:$A$10,0)),"Blocked")="Blocked",LEFT(IFERROR(INDEX($M$2:$M$10,MATCH(H11,$A$2:$A$10,0)),"Invalid"),7)="Invalid")),AND(I11&lt;&gt;"",OR(IFERROR(INDEX($D$2:$D$10,MATCH(I11,$A$2:$A$10,0)),0)&lt;&gt;1,IFERROR(INDEX($M$2:$M$10,MATCH(I11,$A$2:$A$10,0)),"Blocked")="Blocked",LEFT(IFERROR(INDEX($M$2:$M$10,MATCH(I11,$A$2:$A$10,0)),"Invalid"),7)="Invalid")),AND(J11&lt;&gt;"",OR(IFERROR(INDEX($D$2:$D$10,MATCH(J11,$A$2:$A$10,0)),0)&lt;&gt;1,IFERROR(INDEX($M$2:$M$10,MATCH(J11,$A$2:$A$10,0)),"Blocked")="Blocked",LEFT(IFERROR(INDEX($M$2:$M$10,MATCH(J11,$A$2:$A$10,0)),"Invalid"),7)="Invalid"))),"Blocked","Planned")))))</f>
        <v>Planned</v>
      </c>
      <c r="N11" s="11">
        <f>IF(M11="Skipped",O10,IF(OR(M11="Planned",M11="Complete"),MAX(O10,IF(G11="",0,IFERROR(INDEX($O$2:$O$10,MATCH(G11,$A$2:$A$10,0)),0)),IF(H11="",0,IFERROR(INDEX($O$2:$O$10,MATCH(H11,$A$2:$A$10,0)),0)),IF(I11="",0,IFERROR(INDEX($O$2:$O$10,MATCH(I11,$A$2:$A$10,0)),0)),IF(J11="",0,IFERROR(INDEX($O$2:$O$10,MATCH(J11,$A$2:$A$10,0)),0))),""))</f>
        <v>167.84313725490199</v>
      </c>
      <c r="O11" s="11">
        <f>IF(M11="Skipped",N11,IF(OR(M11="Planned",M11="Complete"),N11+IF(K11=0,0,K11/L11),""))</f>
        <v>183.52941176470591</v>
      </c>
      <c r="P11" s="12">
        <f>IF(AND(M11="Planned",K11&gt;0),WORKDAY.INTL(Settings!$B$2-1,INT(N11+0.000000001)+1,Settings!$B$4,Holidays!$A$2:$A$101),"")</f>
        <v>46513</v>
      </c>
      <c r="Q11" s="12">
        <f>IF(AND(M11="Planned",K11&gt;0),WORKDAY.INTL(Settings!$B$2-1,MAX(1,ROUNDUP(O11-0.000000001,0)),Settings!$B$4,Holidays!$A$2:$A$101),"")</f>
        <v>46532</v>
      </c>
      <c r="R11" s="11">
        <f>IF(OR(M11="Planned",M11="Complete"),O11-N11,0)</f>
        <v>15.686274509803923</v>
      </c>
      <c r="S11" s="8" t="s">
        <v>91</v>
      </c>
      <c r="T11" s="8" t="s">
        <v>61</v>
      </c>
    </row>
    <row r="12" spans="1:20" ht="47" customHeight="1" x14ac:dyDescent="0.35">
      <c r="A12" s="8" t="s">
        <v>92</v>
      </c>
      <c r="B12" s="8" t="s">
        <v>93</v>
      </c>
      <c r="C12" s="8" t="s">
        <v>55</v>
      </c>
      <c r="D12" s="9">
        <f>1</f>
        <v>1</v>
      </c>
      <c r="E12" s="9">
        <f>18</f>
        <v>18</v>
      </c>
      <c r="F12" s="10">
        <f>0</f>
        <v>0</v>
      </c>
      <c r="G12" s="9" t="s">
        <v>86</v>
      </c>
      <c r="H12" s="9" t="s">
        <v>74</v>
      </c>
      <c r="I12" s="9"/>
      <c r="J12" s="9"/>
      <c r="K12" s="11">
        <f>IF(D12=0,0,IF(AND(ISNUMBER(E12),E12&gt;=0,ISNUMBER(F12),F12&gt;=0,F12&lt;=1),E12*(1-F12)*(1+Settings!$B$5),0))</f>
        <v>21.599999999999998</v>
      </c>
      <c r="L12" s="11">
        <f>IFERROR(INDEX(Settings!$B$10:$B$12,MATCH(C12,{"Core","Practice","Delivery"},0)),0)</f>
        <v>1.5299999999999998</v>
      </c>
      <c r="M12" s="8" t="str">
        <f>IF(D12=0,"Skipped",IF(Settings!$B$15&lt;&gt;"Ready","Invalid settings",IF(OR(D12&lt;&gt;1,COUNTIF($A$2:$A$49,A12)&lt;&gt;1,NOT(ISNUMBER(E12)),E12&lt;0,NOT(ISNUMBER(F12)),F12&lt;0,F12&gt;1),"Invalid input",IF(F12=1,"Complete",IF(OR(L12&lt;=0,COUNTIFS($C$2:C11,C12,$M$2:M11,"Blocked*")+COUNTIFS($C$2:C11,C12,$M$2:M11,"Invalid*")&gt;0,AND(G12&lt;&gt;"",OR(IFERROR(INDEX($D$2:$D$11,MATCH(G12,$A$2:$A$11,0)),0)&lt;&gt;1,IFERROR(INDEX($M$2:$M$11,MATCH(G12,$A$2:$A$11,0)),"Blocked")="Blocked",LEFT(IFERROR(INDEX($M$2:$M$11,MATCH(G12,$A$2:$A$11,0)),"Invalid"),7)="Invalid")),AND(H12&lt;&gt;"",OR(IFERROR(INDEX($D$2:$D$11,MATCH(H12,$A$2:$A$11,0)),0)&lt;&gt;1,IFERROR(INDEX($M$2:$M$11,MATCH(H12,$A$2:$A$11,0)),"Blocked")="Blocked",LEFT(IFERROR(INDEX($M$2:$M$11,MATCH(H12,$A$2:$A$11,0)),"Invalid"),7)="Invalid")),AND(I12&lt;&gt;"",OR(IFERROR(INDEX($D$2:$D$11,MATCH(I12,$A$2:$A$11,0)),0)&lt;&gt;1,IFERROR(INDEX($M$2:$M$11,MATCH(I12,$A$2:$A$11,0)),"Blocked")="Blocked",LEFT(IFERROR(INDEX($M$2:$M$11,MATCH(I12,$A$2:$A$11,0)),"Invalid"),7)="Invalid")),AND(J12&lt;&gt;"",OR(IFERROR(INDEX($D$2:$D$11,MATCH(J12,$A$2:$A$11,0)),0)&lt;&gt;1,IFERROR(INDEX($M$2:$M$11,MATCH(J12,$A$2:$A$11,0)),"Blocked")="Blocked",LEFT(IFERROR(INDEX($M$2:$M$11,MATCH(J12,$A$2:$A$11,0)),"Invalid"),7)="Invalid"))),"Blocked","Planned")))))</f>
        <v>Planned</v>
      </c>
      <c r="N12" s="11">
        <f>IF(M12="Skipped",O11,IF(OR(M12="Planned",M12="Complete"),MAX(O11,IF(G12="",0,IFERROR(INDEX($O$2:$O$11,MATCH(G12,$A$2:$A$11,0)),0)),IF(H12="",0,IFERROR(INDEX($O$2:$O$11,MATCH(H12,$A$2:$A$11,0)),0)),IF(I12="",0,IFERROR(INDEX($O$2:$O$11,MATCH(I12,$A$2:$A$11,0)),0)),IF(J12="",0,IFERROR(INDEX($O$2:$O$11,MATCH(J12,$A$2:$A$11,0)),0))),""))</f>
        <v>183.52941176470591</v>
      </c>
      <c r="O12" s="11">
        <f>IF(M12="Skipped",N12,IF(OR(M12="Planned",M12="Complete"),N12+IF(K12=0,0,K12/L12),""))</f>
        <v>197.64705882352945</v>
      </c>
      <c r="P12" s="12">
        <f>IF(AND(M12="Planned",K12&gt;0),WORKDAY.INTL(Settings!$B$2-1,INT(N12+0.000000001)+1,Settings!$B$4,Holidays!$A$2:$A$101),"")</f>
        <v>46532</v>
      </c>
      <c r="Q12" s="12">
        <f>IF(AND(M12="Planned",K12&gt;0),WORKDAY.INTL(Settings!$B$2-1,MAX(1,ROUNDUP(O12-0.000000001,0)),Settings!$B$4,Holidays!$A$2:$A$101),"")</f>
        <v>46548</v>
      </c>
      <c r="R12" s="11">
        <f>IF(OR(M12="Planned",M12="Complete"),O12-N12,0)</f>
        <v>14.117647058823536</v>
      </c>
      <c r="S12" s="8" t="s">
        <v>94</v>
      </c>
      <c r="T12" s="8" t="s">
        <v>61</v>
      </c>
    </row>
    <row r="13" spans="1:20" ht="47" customHeight="1" x14ac:dyDescent="0.35">
      <c r="A13" s="8" t="s">
        <v>95</v>
      </c>
      <c r="B13" s="8" t="s">
        <v>96</v>
      </c>
      <c r="C13" s="8" t="s">
        <v>55</v>
      </c>
      <c r="D13" s="9">
        <f>1</f>
        <v>1</v>
      </c>
      <c r="E13" s="9">
        <f>12</f>
        <v>12</v>
      </c>
      <c r="F13" s="10">
        <f>0</f>
        <v>0</v>
      </c>
      <c r="G13" s="9" t="s">
        <v>86</v>
      </c>
      <c r="H13" s="9"/>
      <c r="I13" s="9"/>
      <c r="J13" s="9"/>
      <c r="K13" s="11">
        <f>IF(D13=0,0,IF(AND(ISNUMBER(E13),E13&gt;=0,ISNUMBER(F13),F13&gt;=0,F13&lt;=1),E13*(1-F13)*(1+Settings!$B$5),0))</f>
        <v>14.399999999999999</v>
      </c>
      <c r="L13" s="11">
        <f>IFERROR(INDEX(Settings!$B$10:$B$12,MATCH(C13,{"Core","Practice","Delivery"},0)),0)</f>
        <v>1.5299999999999998</v>
      </c>
      <c r="M13" s="8" t="str">
        <f>IF(D13=0,"Skipped",IF(Settings!$B$15&lt;&gt;"Ready","Invalid settings",IF(OR(D13&lt;&gt;1,COUNTIF($A$2:$A$49,A13)&lt;&gt;1,NOT(ISNUMBER(E13)),E13&lt;0,NOT(ISNUMBER(F13)),F13&lt;0,F13&gt;1),"Invalid input",IF(F13=1,"Complete",IF(OR(L13&lt;=0,COUNTIFS($C$2:C12,C13,$M$2:M12,"Blocked*")+COUNTIFS($C$2:C12,C13,$M$2:M12,"Invalid*")&gt;0,AND(G13&lt;&gt;"",OR(IFERROR(INDEX($D$2:$D$12,MATCH(G13,$A$2:$A$12,0)),0)&lt;&gt;1,IFERROR(INDEX($M$2:$M$12,MATCH(G13,$A$2:$A$12,0)),"Blocked")="Blocked",LEFT(IFERROR(INDEX($M$2:$M$12,MATCH(G13,$A$2:$A$12,0)),"Invalid"),7)="Invalid")),AND(H13&lt;&gt;"",OR(IFERROR(INDEX($D$2:$D$12,MATCH(H13,$A$2:$A$12,0)),0)&lt;&gt;1,IFERROR(INDEX($M$2:$M$12,MATCH(H13,$A$2:$A$12,0)),"Blocked")="Blocked",LEFT(IFERROR(INDEX($M$2:$M$12,MATCH(H13,$A$2:$A$12,0)),"Invalid"),7)="Invalid")),AND(I13&lt;&gt;"",OR(IFERROR(INDEX($D$2:$D$12,MATCH(I13,$A$2:$A$12,0)),0)&lt;&gt;1,IFERROR(INDEX($M$2:$M$12,MATCH(I13,$A$2:$A$12,0)),"Blocked")="Blocked",LEFT(IFERROR(INDEX($M$2:$M$12,MATCH(I13,$A$2:$A$12,0)),"Invalid"),7)="Invalid")),AND(J13&lt;&gt;"",OR(IFERROR(INDEX($D$2:$D$12,MATCH(J13,$A$2:$A$12,0)),0)&lt;&gt;1,IFERROR(INDEX($M$2:$M$12,MATCH(J13,$A$2:$A$12,0)),"Blocked")="Blocked",LEFT(IFERROR(INDEX($M$2:$M$12,MATCH(J13,$A$2:$A$12,0)),"Invalid"),7)="Invalid"))),"Blocked","Planned")))))</f>
        <v>Planned</v>
      </c>
      <c r="N13" s="11">
        <f>IF(M13="Skipped",O12,IF(OR(M13="Planned",M13="Complete"),MAX(O12,IF(G13="",0,IFERROR(INDEX($O$2:$O$12,MATCH(G13,$A$2:$A$12,0)),0)),IF(H13="",0,IFERROR(INDEX($O$2:$O$12,MATCH(H13,$A$2:$A$12,0)),0)),IF(I13="",0,IFERROR(INDEX($O$2:$O$12,MATCH(I13,$A$2:$A$12,0)),0)),IF(J13="",0,IFERROR(INDEX($O$2:$O$12,MATCH(J13,$A$2:$A$12,0)),0))),""))</f>
        <v>197.64705882352945</v>
      </c>
      <c r="O13" s="11">
        <f>IF(M13="Skipped",N13,IF(OR(M13="Planned",M13="Complete"),N13+IF(K13=0,0,K13/L13),""))</f>
        <v>207.0588235294118</v>
      </c>
      <c r="P13" s="12">
        <f>IF(AND(M13="Planned",K13&gt;0),WORKDAY.INTL(Settings!$B$2-1,INT(N13+0.000000001)+1,Settings!$B$4,Holidays!$A$2:$A$101),"")</f>
        <v>46548</v>
      </c>
      <c r="Q13" s="12">
        <f>IF(AND(M13="Planned",K13&gt;0),WORKDAY.INTL(Settings!$B$2-1,MAX(1,ROUNDUP(O13-0.000000001,0)),Settings!$B$4,Holidays!$A$2:$A$101),"")</f>
        <v>46560</v>
      </c>
      <c r="R13" s="11">
        <f>IF(OR(M13="Planned",M13="Complete"),O13-N13,0)</f>
        <v>9.4117647058823479</v>
      </c>
      <c r="S13" s="8" t="s">
        <v>97</v>
      </c>
      <c r="T13" s="8" t="s">
        <v>61</v>
      </c>
    </row>
    <row r="14" spans="1:20" ht="47" customHeight="1" x14ac:dyDescent="0.35">
      <c r="A14" s="8" t="s">
        <v>98</v>
      </c>
      <c r="B14" s="8" t="s">
        <v>99</v>
      </c>
      <c r="C14" s="8" t="s">
        <v>55</v>
      </c>
      <c r="D14" s="9">
        <f>1</f>
        <v>1</v>
      </c>
      <c r="E14" s="9">
        <f>26</f>
        <v>26</v>
      </c>
      <c r="F14" s="10">
        <f>0</f>
        <v>0</v>
      </c>
      <c r="G14" s="9" t="s">
        <v>89</v>
      </c>
      <c r="H14" s="9" t="s">
        <v>92</v>
      </c>
      <c r="I14" s="9" t="s">
        <v>95</v>
      </c>
      <c r="J14" s="9"/>
      <c r="K14" s="11">
        <f>IF(D14=0,0,IF(AND(ISNUMBER(E14),E14&gt;=0,ISNUMBER(F14),F14&gt;=0,F14&lt;=1),E14*(1-F14)*(1+Settings!$B$5),0))</f>
        <v>31.2</v>
      </c>
      <c r="L14" s="11">
        <f>IFERROR(INDEX(Settings!$B$10:$B$12,MATCH(C14,{"Core","Practice","Delivery"},0)),0)</f>
        <v>1.5299999999999998</v>
      </c>
      <c r="M14" s="8" t="str">
        <f>IF(D14=0,"Skipped",IF(Settings!$B$15&lt;&gt;"Ready","Invalid settings",IF(OR(D14&lt;&gt;1,COUNTIF($A$2:$A$49,A14)&lt;&gt;1,NOT(ISNUMBER(E14)),E14&lt;0,NOT(ISNUMBER(F14)),F14&lt;0,F14&gt;1),"Invalid input",IF(F14=1,"Complete",IF(OR(L14&lt;=0,COUNTIFS($C$2:C13,C14,$M$2:M13,"Blocked*")+COUNTIFS($C$2:C13,C14,$M$2:M13,"Invalid*")&gt;0,AND(G14&lt;&gt;"",OR(IFERROR(INDEX($D$2:$D$13,MATCH(G14,$A$2:$A$13,0)),0)&lt;&gt;1,IFERROR(INDEX($M$2:$M$13,MATCH(G14,$A$2:$A$13,0)),"Blocked")="Blocked",LEFT(IFERROR(INDEX($M$2:$M$13,MATCH(G14,$A$2:$A$13,0)),"Invalid"),7)="Invalid")),AND(H14&lt;&gt;"",OR(IFERROR(INDEX($D$2:$D$13,MATCH(H14,$A$2:$A$13,0)),0)&lt;&gt;1,IFERROR(INDEX($M$2:$M$13,MATCH(H14,$A$2:$A$13,0)),"Blocked")="Blocked",LEFT(IFERROR(INDEX($M$2:$M$13,MATCH(H14,$A$2:$A$13,0)),"Invalid"),7)="Invalid")),AND(I14&lt;&gt;"",OR(IFERROR(INDEX($D$2:$D$13,MATCH(I14,$A$2:$A$13,0)),0)&lt;&gt;1,IFERROR(INDEX($M$2:$M$13,MATCH(I14,$A$2:$A$13,0)),"Blocked")="Blocked",LEFT(IFERROR(INDEX($M$2:$M$13,MATCH(I14,$A$2:$A$13,0)),"Invalid"),7)="Invalid")),AND(J14&lt;&gt;"",OR(IFERROR(INDEX($D$2:$D$13,MATCH(J14,$A$2:$A$13,0)),0)&lt;&gt;1,IFERROR(INDEX($M$2:$M$13,MATCH(J14,$A$2:$A$13,0)),"Blocked")="Blocked",LEFT(IFERROR(INDEX($M$2:$M$13,MATCH(J14,$A$2:$A$13,0)),"Invalid"),7)="Invalid"))),"Blocked","Planned")))))</f>
        <v>Planned</v>
      </c>
      <c r="N14" s="11">
        <f>IF(M14="Skipped",O13,IF(OR(M14="Planned",M14="Complete"),MAX(O13,IF(G14="",0,IFERROR(INDEX($O$2:$O$13,MATCH(G14,$A$2:$A$13,0)),0)),IF(H14="",0,IFERROR(INDEX($O$2:$O$13,MATCH(H14,$A$2:$A$13,0)),0)),IF(I14="",0,IFERROR(INDEX($O$2:$O$13,MATCH(I14,$A$2:$A$13,0)),0)),IF(J14="",0,IFERROR(INDEX($O$2:$O$13,MATCH(J14,$A$2:$A$13,0)),0))),""))</f>
        <v>207.0588235294118</v>
      </c>
      <c r="O14" s="11">
        <f>IF(M14="Skipped",N14,IF(OR(M14="Planned",M14="Complete"),N14+IF(K14=0,0,K14/L14),""))</f>
        <v>227.45098039215691</v>
      </c>
      <c r="P14" s="12">
        <f>IF(AND(M14="Planned",K14&gt;0),WORKDAY.INTL(Settings!$B$2-1,INT(N14+0.000000001)+1,Settings!$B$4,Holidays!$A$2:$A$101),"")</f>
        <v>46560</v>
      </c>
      <c r="Q14" s="12">
        <f>IF(AND(M14="Planned",K14&gt;0),WORKDAY.INTL(Settings!$B$2-1,MAX(1,ROUNDUP(O14-0.000000001,0)),Settings!$B$4,Holidays!$A$2:$A$101),"")</f>
        <v>46583</v>
      </c>
      <c r="R14" s="11">
        <f>IF(OR(M14="Planned",M14="Complete"),O14-N14,0)</f>
        <v>20.392156862745111</v>
      </c>
      <c r="S14" s="8" t="s">
        <v>100</v>
      </c>
      <c r="T14" s="8" t="s">
        <v>61</v>
      </c>
    </row>
    <row r="15" spans="1:20" ht="47" customHeight="1" x14ac:dyDescent="0.35">
      <c r="A15" s="8" t="s">
        <v>101</v>
      </c>
      <c r="B15" s="8" t="s">
        <v>102</v>
      </c>
      <c r="C15" s="8" t="s">
        <v>55</v>
      </c>
      <c r="D15" s="9">
        <f>1</f>
        <v>1</v>
      </c>
      <c r="E15" s="9">
        <f>20</f>
        <v>20</v>
      </c>
      <c r="F15" s="10">
        <f>0</f>
        <v>0</v>
      </c>
      <c r="G15" s="9" t="s">
        <v>98</v>
      </c>
      <c r="H15" s="9"/>
      <c r="I15" s="9"/>
      <c r="J15" s="9"/>
      <c r="K15" s="11">
        <f>IF(D15=0,0,IF(AND(ISNUMBER(E15),E15&gt;=0,ISNUMBER(F15),F15&gt;=0,F15&lt;=1),E15*(1-F15)*(1+Settings!$B$5),0))</f>
        <v>24</v>
      </c>
      <c r="L15" s="11">
        <f>IFERROR(INDEX(Settings!$B$10:$B$12,MATCH(C15,{"Core","Practice","Delivery"},0)),0)</f>
        <v>1.5299999999999998</v>
      </c>
      <c r="M15" s="8" t="str">
        <f>IF(D15=0,"Skipped",IF(Settings!$B$15&lt;&gt;"Ready","Invalid settings",IF(OR(D15&lt;&gt;1,COUNTIF($A$2:$A$49,A15)&lt;&gt;1,NOT(ISNUMBER(E15)),E15&lt;0,NOT(ISNUMBER(F15)),F15&lt;0,F15&gt;1),"Invalid input",IF(F15=1,"Complete",IF(OR(L15&lt;=0,COUNTIFS($C$2:C14,C15,$M$2:M14,"Blocked*")+COUNTIFS($C$2:C14,C15,$M$2:M14,"Invalid*")&gt;0,AND(G15&lt;&gt;"",OR(IFERROR(INDEX($D$2:$D$14,MATCH(G15,$A$2:$A$14,0)),0)&lt;&gt;1,IFERROR(INDEX($M$2:$M$14,MATCH(G15,$A$2:$A$14,0)),"Blocked")="Blocked",LEFT(IFERROR(INDEX($M$2:$M$14,MATCH(G15,$A$2:$A$14,0)),"Invalid"),7)="Invalid")),AND(H15&lt;&gt;"",OR(IFERROR(INDEX($D$2:$D$14,MATCH(H15,$A$2:$A$14,0)),0)&lt;&gt;1,IFERROR(INDEX($M$2:$M$14,MATCH(H15,$A$2:$A$14,0)),"Blocked")="Blocked",LEFT(IFERROR(INDEX($M$2:$M$14,MATCH(H15,$A$2:$A$14,0)),"Invalid"),7)="Invalid")),AND(I15&lt;&gt;"",OR(IFERROR(INDEX($D$2:$D$14,MATCH(I15,$A$2:$A$14,0)),0)&lt;&gt;1,IFERROR(INDEX($M$2:$M$14,MATCH(I15,$A$2:$A$14,0)),"Blocked")="Blocked",LEFT(IFERROR(INDEX($M$2:$M$14,MATCH(I15,$A$2:$A$14,0)),"Invalid"),7)="Invalid")),AND(J15&lt;&gt;"",OR(IFERROR(INDEX($D$2:$D$14,MATCH(J15,$A$2:$A$14,0)),0)&lt;&gt;1,IFERROR(INDEX($M$2:$M$14,MATCH(J15,$A$2:$A$14,0)),"Blocked")="Blocked",LEFT(IFERROR(INDEX($M$2:$M$14,MATCH(J15,$A$2:$A$14,0)),"Invalid"),7)="Invalid"))),"Blocked","Planned")))))</f>
        <v>Planned</v>
      </c>
      <c r="N15" s="11">
        <f>IF(M15="Skipped",O14,IF(OR(M15="Planned",M15="Complete"),MAX(O14,IF(G15="",0,IFERROR(INDEX($O$2:$O$14,MATCH(G15,$A$2:$A$14,0)),0)),IF(H15="",0,IFERROR(INDEX($O$2:$O$14,MATCH(H15,$A$2:$A$14,0)),0)),IF(I15="",0,IFERROR(INDEX($O$2:$O$14,MATCH(I15,$A$2:$A$14,0)),0)),IF(J15="",0,IFERROR(INDEX($O$2:$O$14,MATCH(J15,$A$2:$A$14,0)),0))),""))</f>
        <v>227.45098039215691</v>
      </c>
      <c r="O15" s="11">
        <f>IF(M15="Skipped",N15,IF(OR(M15="Planned",M15="Complete"),N15+IF(K15=0,0,K15/L15),""))</f>
        <v>243.13725490196083</v>
      </c>
      <c r="P15" s="12">
        <f>IF(AND(M15="Planned",K15&gt;0),WORKDAY.INTL(Settings!$B$2-1,INT(N15+0.000000001)+1,Settings!$B$4,Holidays!$A$2:$A$101),"")</f>
        <v>46583</v>
      </c>
      <c r="Q15" s="12">
        <f>IF(AND(M15="Planned",K15&gt;0),WORKDAY.INTL(Settings!$B$2-1,MAX(1,ROUNDUP(O15-0.000000001,0)),Settings!$B$4,Holidays!$A$2:$A$101),"")</f>
        <v>46602</v>
      </c>
      <c r="R15" s="11">
        <f>IF(OR(M15="Planned",M15="Complete"),O15-N15,0)</f>
        <v>15.686274509803923</v>
      </c>
      <c r="S15" s="8" t="s">
        <v>103</v>
      </c>
      <c r="T15" s="8" t="s">
        <v>77</v>
      </c>
    </row>
    <row r="16" spans="1:20" ht="47" customHeight="1" x14ac:dyDescent="0.35">
      <c r="A16" s="8" t="s">
        <v>104</v>
      </c>
      <c r="B16" s="8" t="s">
        <v>105</v>
      </c>
      <c r="C16" s="8" t="s">
        <v>55</v>
      </c>
      <c r="D16" s="9">
        <f>1</f>
        <v>1</v>
      </c>
      <c r="E16" s="9">
        <f>20</f>
        <v>20</v>
      </c>
      <c r="F16" s="10">
        <f>0</f>
        <v>0</v>
      </c>
      <c r="G16" s="9" t="s">
        <v>98</v>
      </c>
      <c r="H16" s="9"/>
      <c r="I16" s="9"/>
      <c r="J16" s="9"/>
      <c r="K16" s="11">
        <f>IF(D16=0,0,IF(AND(ISNUMBER(E16),E16&gt;=0,ISNUMBER(F16),F16&gt;=0,F16&lt;=1),E16*(1-F16)*(1+Settings!$B$5),0))</f>
        <v>24</v>
      </c>
      <c r="L16" s="11">
        <f>IFERROR(INDEX(Settings!$B$10:$B$12,MATCH(C16,{"Core","Practice","Delivery"},0)),0)</f>
        <v>1.5299999999999998</v>
      </c>
      <c r="M16" s="8" t="str">
        <f>IF(D16=0,"Skipped",IF(Settings!$B$15&lt;&gt;"Ready","Invalid settings",IF(OR(D16&lt;&gt;1,COUNTIF($A$2:$A$49,A16)&lt;&gt;1,NOT(ISNUMBER(E16)),E16&lt;0,NOT(ISNUMBER(F16)),F16&lt;0,F16&gt;1),"Invalid input",IF(F16=1,"Complete",IF(OR(L16&lt;=0,COUNTIFS($C$2:C15,C16,$M$2:M15,"Blocked*")+COUNTIFS($C$2:C15,C16,$M$2:M15,"Invalid*")&gt;0,AND(G16&lt;&gt;"",OR(IFERROR(INDEX($D$2:$D$15,MATCH(G16,$A$2:$A$15,0)),0)&lt;&gt;1,IFERROR(INDEX($M$2:$M$15,MATCH(G16,$A$2:$A$15,0)),"Blocked")="Blocked",LEFT(IFERROR(INDEX($M$2:$M$15,MATCH(G16,$A$2:$A$15,0)),"Invalid"),7)="Invalid")),AND(H16&lt;&gt;"",OR(IFERROR(INDEX($D$2:$D$15,MATCH(H16,$A$2:$A$15,0)),0)&lt;&gt;1,IFERROR(INDEX($M$2:$M$15,MATCH(H16,$A$2:$A$15,0)),"Blocked")="Blocked",LEFT(IFERROR(INDEX($M$2:$M$15,MATCH(H16,$A$2:$A$15,0)),"Invalid"),7)="Invalid")),AND(I16&lt;&gt;"",OR(IFERROR(INDEX($D$2:$D$15,MATCH(I16,$A$2:$A$15,0)),0)&lt;&gt;1,IFERROR(INDEX($M$2:$M$15,MATCH(I16,$A$2:$A$15,0)),"Blocked")="Blocked",LEFT(IFERROR(INDEX($M$2:$M$15,MATCH(I16,$A$2:$A$15,0)),"Invalid"),7)="Invalid")),AND(J16&lt;&gt;"",OR(IFERROR(INDEX($D$2:$D$15,MATCH(J16,$A$2:$A$15,0)),0)&lt;&gt;1,IFERROR(INDEX($M$2:$M$15,MATCH(J16,$A$2:$A$15,0)),"Blocked")="Blocked",LEFT(IFERROR(INDEX($M$2:$M$15,MATCH(J16,$A$2:$A$15,0)),"Invalid"),7)="Invalid"))),"Blocked","Planned")))))</f>
        <v>Planned</v>
      </c>
      <c r="N16" s="11">
        <f>IF(M16="Skipped",O15,IF(OR(M16="Planned",M16="Complete"),MAX(O15,IF(G16="",0,IFERROR(INDEX($O$2:$O$15,MATCH(G16,$A$2:$A$15,0)),0)),IF(H16="",0,IFERROR(INDEX($O$2:$O$15,MATCH(H16,$A$2:$A$15,0)),0)),IF(I16="",0,IFERROR(INDEX($O$2:$O$15,MATCH(I16,$A$2:$A$15,0)),0)),IF(J16="",0,IFERROR(INDEX($O$2:$O$15,MATCH(J16,$A$2:$A$15,0)),0))),""))</f>
        <v>243.13725490196083</v>
      </c>
      <c r="O16" s="11">
        <f>IF(M16="Skipped",N16,IF(OR(M16="Planned",M16="Complete"),N16+IF(K16=0,0,K16/L16),""))</f>
        <v>258.82352941176475</v>
      </c>
      <c r="P16" s="12">
        <f>IF(AND(M16="Planned",K16&gt;0),WORKDAY.INTL(Settings!$B$2-1,INT(N16+0.000000001)+1,Settings!$B$4,Holidays!$A$2:$A$101),"")</f>
        <v>46602</v>
      </c>
      <c r="Q16" s="12">
        <f>IF(AND(M16="Planned",K16&gt;0),WORKDAY.INTL(Settings!$B$2-1,MAX(1,ROUNDUP(O16-0.000000001,0)),Settings!$B$4,Holidays!$A$2:$A$101),"")</f>
        <v>46619</v>
      </c>
      <c r="R16" s="11">
        <f>IF(OR(M16="Planned",M16="Complete"),O16-N16,0)</f>
        <v>15.686274509803923</v>
      </c>
      <c r="S16" s="8" t="s">
        <v>106</v>
      </c>
      <c r="T16" s="8" t="s">
        <v>107</v>
      </c>
    </row>
    <row r="17" spans="1:20" ht="47" customHeight="1" x14ac:dyDescent="0.35">
      <c r="A17" s="8" t="s">
        <v>108</v>
      </c>
      <c r="B17" s="8" t="s">
        <v>109</v>
      </c>
      <c r="C17" s="8" t="s">
        <v>55</v>
      </c>
      <c r="D17" s="9">
        <f>1</f>
        <v>1</v>
      </c>
      <c r="E17" s="9">
        <f>22</f>
        <v>22</v>
      </c>
      <c r="F17" s="10">
        <f>0</f>
        <v>0</v>
      </c>
      <c r="G17" s="9" t="s">
        <v>104</v>
      </c>
      <c r="H17" s="9"/>
      <c r="I17" s="9"/>
      <c r="J17" s="9"/>
      <c r="K17" s="11">
        <f>IF(D17=0,0,IF(AND(ISNUMBER(E17),E17&gt;=0,ISNUMBER(F17),F17&gt;=0,F17&lt;=1),E17*(1-F17)*(1+Settings!$B$5),0))</f>
        <v>26.4</v>
      </c>
      <c r="L17" s="11">
        <f>IFERROR(INDEX(Settings!$B$10:$B$12,MATCH(C17,{"Core","Practice","Delivery"},0)),0)</f>
        <v>1.5299999999999998</v>
      </c>
      <c r="M17" s="8" t="str">
        <f>IF(D17=0,"Skipped",IF(Settings!$B$15&lt;&gt;"Ready","Invalid settings",IF(OR(D17&lt;&gt;1,COUNTIF($A$2:$A$49,A17)&lt;&gt;1,NOT(ISNUMBER(E17)),E17&lt;0,NOT(ISNUMBER(F17)),F17&lt;0,F17&gt;1),"Invalid input",IF(F17=1,"Complete",IF(OR(L17&lt;=0,COUNTIFS($C$2:C16,C17,$M$2:M16,"Blocked*")+COUNTIFS($C$2:C16,C17,$M$2:M16,"Invalid*")&gt;0,AND(G17&lt;&gt;"",OR(IFERROR(INDEX($D$2:$D$16,MATCH(G17,$A$2:$A$16,0)),0)&lt;&gt;1,IFERROR(INDEX($M$2:$M$16,MATCH(G17,$A$2:$A$16,0)),"Blocked")="Blocked",LEFT(IFERROR(INDEX($M$2:$M$16,MATCH(G17,$A$2:$A$16,0)),"Invalid"),7)="Invalid")),AND(H17&lt;&gt;"",OR(IFERROR(INDEX($D$2:$D$16,MATCH(H17,$A$2:$A$16,0)),0)&lt;&gt;1,IFERROR(INDEX($M$2:$M$16,MATCH(H17,$A$2:$A$16,0)),"Blocked")="Blocked",LEFT(IFERROR(INDEX($M$2:$M$16,MATCH(H17,$A$2:$A$16,0)),"Invalid"),7)="Invalid")),AND(I17&lt;&gt;"",OR(IFERROR(INDEX($D$2:$D$16,MATCH(I17,$A$2:$A$16,0)),0)&lt;&gt;1,IFERROR(INDEX($M$2:$M$16,MATCH(I17,$A$2:$A$16,0)),"Blocked")="Blocked",LEFT(IFERROR(INDEX($M$2:$M$16,MATCH(I17,$A$2:$A$16,0)),"Invalid"),7)="Invalid")),AND(J17&lt;&gt;"",OR(IFERROR(INDEX($D$2:$D$16,MATCH(J17,$A$2:$A$16,0)),0)&lt;&gt;1,IFERROR(INDEX($M$2:$M$16,MATCH(J17,$A$2:$A$16,0)),"Blocked")="Blocked",LEFT(IFERROR(INDEX($M$2:$M$16,MATCH(J17,$A$2:$A$16,0)),"Invalid"),7)="Invalid"))),"Blocked","Planned")))))</f>
        <v>Planned</v>
      </c>
      <c r="N17" s="11">
        <f>IF(M17="Skipped",O16,IF(OR(M17="Planned",M17="Complete"),MAX(O16,IF(G17="",0,IFERROR(INDEX($O$2:$O$16,MATCH(G17,$A$2:$A$16,0)),0)),IF(H17="",0,IFERROR(INDEX($O$2:$O$16,MATCH(H17,$A$2:$A$16,0)),0)),IF(I17="",0,IFERROR(INDEX($O$2:$O$16,MATCH(I17,$A$2:$A$16,0)),0)),IF(J17="",0,IFERROR(INDEX($O$2:$O$16,MATCH(J17,$A$2:$A$16,0)),0))),""))</f>
        <v>258.82352941176475</v>
      </c>
      <c r="O17" s="11">
        <f>IF(M17="Skipped",N17,IF(OR(M17="Planned",M17="Complete"),N17+IF(K17=0,0,K17/L17),""))</f>
        <v>276.07843137254906</v>
      </c>
      <c r="P17" s="12">
        <f>IF(AND(M17="Planned",K17&gt;0),WORKDAY.INTL(Settings!$B$2-1,INT(N17+0.000000001)+1,Settings!$B$4,Holidays!$A$2:$A$101),"")</f>
        <v>46619</v>
      </c>
      <c r="Q17" s="12">
        <f>IF(AND(M17="Planned",K17&gt;0),WORKDAY.INTL(Settings!$B$2-1,MAX(1,ROUNDUP(O17-0.000000001,0)),Settings!$B$4,Holidays!$A$2:$A$101),"")</f>
        <v>46640</v>
      </c>
      <c r="R17" s="11">
        <f>IF(OR(M17="Planned",M17="Complete"),O17-N17,0)</f>
        <v>17.254901960784309</v>
      </c>
      <c r="S17" s="8" t="s">
        <v>110</v>
      </c>
      <c r="T17" s="8" t="s">
        <v>111</v>
      </c>
    </row>
    <row r="18" spans="1:20" ht="47" customHeight="1" x14ac:dyDescent="0.35">
      <c r="A18" s="8" t="s">
        <v>112</v>
      </c>
      <c r="B18" s="8" t="s">
        <v>113</v>
      </c>
      <c r="C18" s="8" t="s">
        <v>55</v>
      </c>
      <c r="D18" s="9">
        <f>1</f>
        <v>1</v>
      </c>
      <c r="E18" s="9">
        <f>30</f>
        <v>30</v>
      </c>
      <c r="F18" s="10">
        <f>0</f>
        <v>0</v>
      </c>
      <c r="G18" s="9" t="s">
        <v>108</v>
      </c>
      <c r="H18" s="9" t="s">
        <v>82</v>
      </c>
      <c r="I18" s="9"/>
      <c r="J18" s="9"/>
      <c r="K18" s="11">
        <f>IF(D18=0,0,IF(AND(ISNUMBER(E18),E18&gt;=0,ISNUMBER(F18),F18&gt;=0,F18&lt;=1),E18*(1-F18)*(1+Settings!$B$5),0))</f>
        <v>36</v>
      </c>
      <c r="L18" s="11">
        <f>IFERROR(INDEX(Settings!$B$10:$B$12,MATCH(C18,{"Core","Practice","Delivery"},0)),0)</f>
        <v>1.5299999999999998</v>
      </c>
      <c r="M18" s="8" t="str">
        <f>IF(D18=0,"Skipped",IF(Settings!$B$15&lt;&gt;"Ready","Invalid settings",IF(OR(D18&lt;&gt;1,COUNTIF($A$2:$A$49,A18)&lt;&gt;1,NOT(ISNUMBER(E18)),E18&lt;0,NOT(ISNUMBER(F18)),F18&lt;0,F18&gt;1),"Invalid input",IF(F18=1,"Complete",IF(OR(L18&lt;=0,COUNTIFS($C$2:C17,C18,$M$2:M17,"Blocked*")+COUNTIFS($C$2:C17,C18,$M$2:M17,"Invalid*")&gt;0,AND(G18&lt;&gt;"",OR(IFERROR(INDEX($D$2:$D$17,MATCH(G18,$A$2:$A$17,0)),0)&lt;&gt;1,IFERROR(INDEX($M$2:$M$17,MATCH(G18,$A$2:$A$17,0)),"Blocked")="Blocked",LEFT(IFERROR(INDEX($M$2:$M$17,MATCH(G18,$A$2:$A$17,0)),"Invalid"),7)="Invalid")),AND(H18&lt;&gt;"",OR(IFERROR(INDEX($D$2:$D$17,MATCH(H18,$A$2:$A$17,0)),0)&lt;&gt;1,IFERROR(INDEX($M$2:$M$17,MATCH(H18,$A$2:$A$17,0)),"Blocked")="Blocked",LEFT(IFERROR(INDEX($M$2:$M$17,MATCH(H18,$A$2:$A$17,0)),"Invalid"),7)="Invalid")),AND(I18&lt;&gt;"",OR(IFERROR(INDEX($D$2:$D$17,MATCH(I18,$A$2:$A$17,0)),0)&lt;&gt;1,IFERROR(INDEX($M$2:$M$17,MATCH(I18,$A$2:$A$17,0)),"Blocked")="Blocked",LEFT(IFERROR(INDEX($M$2:$M$17,MATCH(I18,$A$2:$A$17,0)),"Invalid"),7)="Invalid")),AND(J18&lt;&gt;"",OR(IFERROR(INDEX($D$2:$D$17,MATCH(J18,$A$2:$A$17,0)),0)&lt;&gt;1,IFERROR(INDEX($M$2:$M$17,MATCH(J18,$A$2:$A$17,0)),"Blocked")="Blocked",LEFT(IFERROR(INDEX($M$2:$M$17,MATCH(J18,$A$2:$A$17,0)),"Invalid"),7)="Invalid"))),"Blocked","Planned")))))</f>
        <v>Planned</v>
      </c>
      <c r="N18" s="11">
        <f>IF(M18="Skipped",O17,IF(OR(M18="Planned",M18="Complete"),MAX(O17,IF(G18="",0,IFERROR(INDEX($O$2:$O$17,MATCH(G18,$A$2:$A$17,0)),0)),IF(H18="",0,IFERROR(INDEX($O$2:$O$17,MATCH(H18,$A$2:$A$17,0)),0)),IF(I18="",0,IFERROR(INDEX($O$2:$O$17,MATCH(I18,$A$2:$A$17,0)),0)),IF(J18="",0,IFERROR(INDEX($O$2:$O$17,MATCH(J18,$A$2:$A$17,0)),0))),""))</f>
        <v>276.07843137254906</v>
      </c>
      <c r="O18" s="11">
        <f>IF(M18="Skipped",N18,IF(OR(M18="Planned",M18="Complete"),N18+IF(K18=0,0,K18/L18),""))</f>
        <v>299.60784313725492</v>
      </c>
      <c r="P18" s="12">
        <f>IF(AND(M18="Planned",K18&gt;0),WORKDAY.INTL(Settings!$B$2-1,INT(N18+0.000000001)+1,Settings!$B$4,Holidays!$A$2:$A$101),"")</f>
        <v>46640</v>
      </c>
      <c r="Q18" s="12">
        <f>IF(AND(M18="Planned",K18&gt;0),WORKDAY.INTL(Settings!$B$2-1,MAX(1,ROUNDUP(O18-0.000000001,0)),Settings!$B$4,Holidays!$A$2:$A$101),"")</f>
        <v>46667</v>
      </c>
      <c r="R18" s="11">
        <f>IF(OR(M18="Planned",M18="Complete"),O18-N18,0)</f>
        <v>23.529411764705856</v>
      </c>
      <c r="S18" s="8" t="s">
        <v>114</v>
      </c>
      <c r="T18" s="8" t="s">
        <v>107</v>
      </c>
    </row>
    <row r="19" spans="1:20" ht="47" customHeight="1" x14ac:dyDescent="0.35">
      <c r="A19" s="8" t="s">
        <v>115</v>
      </c>
      <c r="B19" s="8" t="s">
        <v>116</v>
      </c>
      <c r="C19" s="8" t="s">
        <v>55</v>
      </c>
      <c r="D19" s="9">
        <f>1</f>
        <v>1</v>
      </c>
      <c r="E19" s="9">
        <f>26</f>
        <v>26</v>
      </c>
      <c r="F19" s="10">
        <f>0</f>
        <v>0</v>
      </c>
      <c r="G19" s="9" t="s">
        <v>112</v>
      </c>
      <c r="H19" s="9" t="s">
        <v>101</v>
      </c>
      <c r="I19" s="9"/>
      <c r="J19" s="9"/>
      <c r="K19" s="11">
        <f>IF(D19=0,0,IF(AND(ISNUMBER(E19),E19&gt;=0,ISNUMBER(F19),F19&gt;=0,F19&lt;=1),E19*(1-F19)*(1+Settings!$B$5),0))</f>
        <v>31.2</v>
      </c>
      <c r="L19" s="11">
        <f>IFERROR(INDEX(Settings!$B$10:$B$12,MATCH(C19,{"Core","Practice","Delivery"},0)),0)</f>
        <v>1.5299999999999998</v>
      </c>
      <c r="M19" s="8" t="str">
        <f>IF(D19=0,"Skipped",IF(Settings!$B$15&lt;&gt;"Ready","Invalid settings",IF(OR(D19&lt;&gt;1,COUNTIF($A$2:$A$49,A19)&lt;&gt;1,NOT(ISNUMBER(E19)),E19&lt;0,NOT(ISNUMBER(F19)),F19&lt;0,F19&gt;1),"Invalid input",IF(F19=1,"Complete",IF(OR(L19&lt;=0,COUNTIFS($C$2:C18,C19,$M$2:M18,"Blocked*")+COUNTIFS($C$2:C18,C19,$M$2:M18,"Invalid*")&gt;0,AND(G19&lt;&gt;"",OR(IFERROR(INDEX($D$2:$D$18,MATCH(G19,$A$2:$A$18,0)),0)&lt;&gt;1,IFERROR(INDEX($M$2:$M$18,MATCH(G19,$A$2:$A$18,0)),"Blocked")="Blocked",LEFT(IFERROR(INDEX($M$2:$M$18,MATCH(G19,$A$2:$A$18,0)),"Invalid"),7)="Invalid")),AND(H19&lt;&gt;"",OR(IFERROR(INDEX($D$2:$D$18,MATCH(H19,$A$2:$A$18,0)),0)&lt;&gt;1,IFERROR(INDEX($M$2:$M$18,MATCH(H19,$A$2:$A$18,0)),"Blocked")="Blocked",LEFT(IFERROR(INDEX($M$2:$M$18,MATCH(H19,$A$2:$A$18,0)),"Invalid"),7)="Invalid")),AND(I19&lt;&gt;"",OR(IFERROR(INDEX($D$2:$D$18,MATCH(I19,$A$2:$A$18,0)),0)&lt;&gt;1,IFERROR(INDEX($M$2:$M$18,MATCH(I19,$A$2:$A$18,0)),"Blocked")="Blocked",LEFT(IFERROR(INDEX($M$2:$M$18,MATCH(I19,$A$2:$A$18,0)),"Invalid"),7)="Invalid")),AND(J19&lt;&gt;"",OR(IFERROR(INDEX($D$2:$D$18,MATCH(J19,$A$2:$A$18,0)),0)&lt;&gt;1,IFERROR(INDEX($M$2:$M$18,MATCH(J19,$A$2:$A$18,0)),"Blocked")="Blocked",LEFT(IFERROR(INDEX($M$2:$M$18,MATCH(J19,$A$2:$A$18,0)),"Invalid"),7)="Invalid"))),"Blocked","Planned")))))</f>
        <v>Planned</v>
      </c>
      <c r="N19" s="11">
        <f>IF(M19="Skipped",O18,IF(OR(M19="Planned",M19="Complete"),MAX(O18,IF(G19="",0,IFERROR(INDEX($O$2:$O$18,MATCH(G19,$A$2:$A$18,0)),0)),IF(H19="",0,IFERROR(INDEX($O$2:$O$18,MATCH(H19,$A$2:$A$18,0)),0)),IF(I19="",0,IFERROR(INDEX($O$2:$O$18,MATCH(I19,$A$2:$A$18,0)),0)),IF(J19="",0,IFERROR(INDEX($O$2:$O$18,MATCH(J19,$A$2:$A$18,0)),0))),""))</f>
        <v>299.60784313725492</v>
      </c>
      <c r="O19" s="11">
        <f>IF(M19="Skipped",N19,IF(OR(M19="Planned",M19="Complete"),N19+IF(K19=0,0,K19/L19),""))</f>
        <v>320</v>
      </c>
      <c r="P19" s="12">
        <f>IF(AND(M19="Planned",K19&gt;0),WORKDAY.INTL(Settings!$B$2-1,INT(N19+0.000000001)+1,Settings!$B$4,Holidays!$A$2:$A$101),"")</f>
        <v>46667</v>
      </c>
      <c r="Q19" s="12">
        <f>IF(AND(M19="Planned",K19&gt;0),WORKDAY.INTL(Settings!$B$2-1,MAX(1,ROUNDUP(O19-0.000000001,0)),Settings!$B$4,Holidays!$A$2:$A$101),"")</f>
        <v>46690</v>
      </c>
      <c r="R19" s="11">
        <f>IF(OR(M19="Planned",M19="Complete"),O19-N19,0)</f>
        <v>20.392156862745082</v>
      </c>
      <c r="S19" s="8" t="s">
        <v>117</v>
      </c>
      <c r="T19" s="8" t="s">
        <v>118</v>
      </c>
    </row>
    <row r="20" spans="1:20" ht="47" customHeight="1" x14ac:dyDescent="0.35">
      <c r="A20" s="8" t="s">
        <v>119</v>
      </c>
      <c r="B20" s="8" t="s">
        <v>120</v>
      </c>
      <c r="C20" s="8" t="s">
        <v>55</v>
      </c>
      <c r="D20" s="9">
        <f>1</f>
        <v>1</v>
      </c>
      <c r="E20" s="9">
        <f>24</f>
        <v>24</v>
      </c>
      <c r="F20" s="10">
        <f>0</f>
        <v>0</v>
      </c>
      <c r="G20" s="9" t="s">
        <v>70</v>
      </c>
      <c r="H20" s="9"/>
      <c r="I20" s="9"/>
      <c r="J20" s="9"/>
      <c r="K20" s="11">
        <f>IF(D20=0,0,IF(AND(ISNUMBER(E20),E20&gt;=0,ISNUMBER(F20),F20&gt;=0,F20&lt;=1),E20*(1-F20)*(1+Settings!$B$5),0))</f>
        <v>28.799999999999997</v>
      </c>
      <c r="L20" s="11">
        <f>IFERROR(INDEX(Settings!$B$10:$B$12,MATCH(C20,{"Core","Practice","Delivery"},0)),0)</f>
        <v>1.5299999999999998</v>
      </c>
      <c r="M20" s="8" t="str">
        <f>IF(D20=0,"Skipped",IF(Settings!$B$15&lt;&gt;"Ready","Invalid settings",IF(OR(D20&lt;&gt;1,COUNTIF($A$2:$A$49,A20)&lt;&gt;1,NOT(ISNUMBER(E20)),E20&lt;0,NOT(ISNUMBER(F20)),F20&lt;0,F20&gt;1),"Invalid input",IF(F20=1,"Complete",IF(OR(L20&lt;=0,COUNTIFS($C$2:C19,C20,$M$2:M19,"Blocked*")+COUNTIFS($C$2:C19,C20,$M$2:M19,"Invalid*")&gt;0,AND(G20&lt;&gt;"",OR(IFERROR(INDEX($D$2:$D$19,MATCH(G20,$A$2:$A$19,0)),0)&lt;&gt;1,IFERROR(INDEX($M$2:$M$19,MATCH(G20,$A$2:$A$19,0)),"Blocked")="Blocked",LEFT(IFERROR(INDEX($M$2:$M$19,MATCH(G20,$A$2:$A$19,0)),"Invalid"),7)="Invalid")),AND(H20&lt;&gt;"",OR(IFERROR(INDEX($D$2:$D$19,MATCH(H20,$A$2:$A$19,0)),0)&lt;&gt;1,IFERROR(INDEX($M$2:$M$19,MATCH(H20,$A$2:$A$19,0)),"Blocked")="Blocked",LEFT(IFERROR(INDEX($M$2:$M$19,MATCH(H20,$A$2:$A$19,0)),"Invalid"),7)="Invalid")),AND(I20&lt;&gt;"",OR(IFERROR(INDEX($D$2:$D$19,MATCH(I20,$A$2:$A$19,0)),0)&lt;&gt;1,IFERROR(INDEX($M$2:$M$19,MATCH(I20,$A$2:$A$19,0)),"Blocked")="Blocked",LEFT(IFERROR(INDEX($M$2:$M$19,MATCH(I20,$A$2:$A$19,0)),"Invalid"),7)="Invalid")),AND(J20&lt;&gt;"",OR(IFERROR(INDEX($D$2:$D$19,MATCH(J20,$A$2:$A$19,0)),0)&lt;&gt;1,IFERROR(INDEX($M$2:$M$19,MATCH(J20,$A$2:$A$19,0)),"Blocked")="Blocked",LEFT(IFERROR(INDEX($M$2:$M$19,MATCH(J20,$A$2:$A$19,0)),"Invalid"),7)="Invalid"))),"Blocked","Planned")))))</f>
        <v>Planned</v>
      </c>
      <c r="N20" s="11">
        <f>IF(M20="Skipped",O19,IF(OR(M20="Planned",M20="Complete"),MAX(O19,IF(G20="",0,IFERROR(INDEX($O$2:$O$19,MATCH(G20,$A$2:$A$19,0)),0)),IF(H20="",0,IFERROR(INDEX($O$2:$O$19,MATCH(H20,$A$2:$A$19,0)),0)),IF(I20="",0,IFERROR(INDEX($O$2:$O$19,MATCH(I20,$A$2:$A$19,0)),0)),IF(J20="",0,IFERROR(INDEX($O$2:$O$19,MATCH(J20,$A$2:$A$19,0)),0))),""))</f>
        <v>320</v>
      </c>
      <c r="O20" s="11">
        <f>IF(M20="Skipped",N20,IF(OR(M20="Planned",M20="Complete"),N20+IF(K20=0,0,K20/L20),""))</f>
        <v>338.8235294117647</v>
      </c>
      <c r="P20" s="12">
        <f>IF(AND(M20="Planned",K20&gt;0),WORKDAY.INTL(Settings!$B$2-1,INT(N20+0.000000001)+1,Settings!$B$4,Holidays!$A$2:$A$101),"")</f>
        <v>46692</v>
      </c>
      <c r="Q20" s="12">
        <f>IF(AND(M20="Planned",K20&gt;0),WORKDAY.INTL(Settings!$B$2-1,MAX(1,ROUNDUP(O20-0.000000001,0)),Settings!$B$4,Holidays!$A$2:$A$101),"")</f>
        <v>46713</v>
      </c>
      <c r="R20" s="11">
        <f>IF(OR(M20="Planned",M20="Complete"),O20-N20,0)</f>
        <v>18.823529411764696</v>
      </c>
      <c r="S20" s="8" t="s">
        <v>121</v>
      </c>
      <c r="T20" s="8" t="s">
        <v>122</v>
      </c>
    </row>
    <row r="21" spans="1:20" ht="47" customHeight="1" x14ac:dyDescent="0.35">
      <c r="A21" s="8" t="s">
        <v>123</v>
      </c>
      <c r="B21" s="8" t="s">
        <v>124</v>
      </c>
      <c r="C21" s="8" t="s">
        <v>55</v>
      </c>
      <c r="D21" s="9">
        <f>1</f>
        <v>1</v>
      </c>
      <c r="E21" s="9">
        <f>26</f>
        <v>26</v>
      </c>
      <c r="F21" s="10">
        <f>0</f>
        <v>0</v>
      </c>
      <c r="G21" s="9" t="s">
        <v>115</v>
      </c>
      <c r="H21" s="9" t="s">
        <v>119</v>
      </c>
      <c r="I21" s="9"/>
      <c r="J21" s="9"/>
      <c r="K21" s="11">
        <f>IF(D21=0,0,IF(AND(ISNUMBER(E21),E21&gt;=0,ISNUMBER(F21),F21&gt;=0,F21&lt;=1),E21*(1-F21)*(1+Settings!$B$5),0))</f>
        <v>31.2</v>
      </c>
      <c r="L21" s="11">
        <f>IFERROR(INDEX(Settings!$B$10:$B$12,MATCH(C21,{"Core","Practice","Delivery"},0)),0)</f>
        <v>1.5299999999999998</v>
      </c>
      <c r="M21" s="8" t="str">
        <f>IF(D21=0,"Skipped",IF(Settings!$B$15&lt;&gt;"Ready","Invalid settings",IF(OR(D21&lt;&gt;1,COUNTIF($A$2:$A$49,A21)&lt;&gt;1,NOT(ISNUMBER(E21)),E21&lt;0,NOT(ISNUMBER(F21)),F21&lt;0,F21&gt;1),"Invalid input",IF(F21=1,"Complete",IF(OR(L21&lt;=0,COUNTIFS($C$2:C20,C21,$M$2:M20,"Blocked*")+COUNTIFS($C$2:C20,C21,$M$2:M20,"Invalid*")&gt;0,AND(G21&lt;&gt;"",OR(IFERROR(INDEX($D$2:$D$20,MATCH(G21,$A$2:$A$20,0)),0)&lt;&gt;1,IFERROR(INDEX($M$2:$M$20,MATCH(G21,$A$2:$A$20,0)),"Blocked")="Blocked",LEFT(IFERROR(INDEX($M$2:$M$20,MATCH(G21,$A$2:$A$20,0)),"Invalid"),7)="Invalid")),AND(H21&lt;&gt;"",OR(IFERROR(INDEX($D$2:$D$20,MATCH(H21,$A$2:$A$20,0)),0)&lt;&gt;1,IFERROR(INDEX($M$2:$M$20,MATCH(H21,$A$2:$A$20,0)),"Blocked")="Blocked",LEFT(IFERROR(INDEX($M$2:$M$20,MATCH(H21,$A$2:$A$20,0)),"Invalid"),7)="Invalid")),AND(I21&lt;&gt;"",OR(IFERROR(INDEX($D$2:$D$20,MATCH(I21,$A$2:$A$20,0)),0)&lt;&gt;1,IFERROR(INDEX($M$2:$M$20,MATCH(I21,$A$2:$A$20,0)),"Blocked")="Blocked",LEFT(IFERROR(INDEX($M$2:$M$20,MATCH(I21,$A$2:$A$20,0)),"Invalid"),7)="Invalid")),AND(J21&lt;&gt;"",OR(IFERROR(INDEX($D$2:$D$20,MATCH(J21,$A$2:$A$20,0)),0)&lt;&gt;1,IFERROR(INDEX($M$2:$M$20,MATCH(J21,$A$2:$A$20,0)),"Blocked")="Blocked",LEFT(IFERROR(INDEX($M$2:$M$20,MATCH(J21,$A$2:$A$20,0)),"Invalid"),7)="Invalid"))),"Blocked","Planned")))))</f>
        <v>Planned</v>
      </c>
      <c r="N21" s="11">
        <f>IF(M21="Skipped",O20,IF(OR(M21="Planned",M21="Complete"),MAX(O20,IF(G21="",0,IFERROR(INDEX($O$2:$O$20,MATCH(G21,$A$2:$A$20,0)),0)),IF(H21="",0,IFERROR(INDEX($O$2:$O$20,MATCH(H21,$A$2:$A$20,0)),0)),IF(I21="",0,IFERROR(INDEX($O$2:$O$20,MATCH(I21,$A$2:$A$20,0)),0)),IF(J21="",0,IFERROR(INDEX($O$2:$O$20,MATCH(J21,$A$2:$A$20,0)),0))),""))</f>
        <v>338.8235294117647</v>
      </c>
      <c r="O21" s="11">
        <f>IF(M21="Skipped",N21,IF(OR(M21="Planned",M21="Complete"),N21+IF(K21=0,0,K21/L21),""))</f>
        <v>359.21568627450978</v>
      </c>
      <c r="P21" s="12">
        <f>IF(AND(M21="Planned",K21&gt;0),WORKDAY.INTL(Settings!$B$2-1,INT(N21+0.000000001)+1,Settings!$B$4,Holidays!$A$2:$A$101),"")</f>
        <v>46713</v>
      </c>
      <c r="Q21" s="12">
        <f>IF(AND(M21="Planned",K21&gt;0),WORKDAY.INTL(Settings!$B$2-1,MAX(1,ROUNDUP(O21-0.000000001,0)),Settings!$B$4,Holidays!$A$2:$A$101),"")</f>
        <v>46737</v>
      </c>
      <c r="R21" s="11">
        <f>IF(OR(M21="Planned",M21="Complete"),O21-N21,0)</f>
        <v>20.392156862745082</v>
      </c>
      <c r="S21" s="8" t="s">
        <v>125</v>
      </c>
      <c r="T21" s="8" t="s">
        <v>126</v>
      </c>
    </row>
    <row r="22" spans="1:20" ht="47" customHeight="1" x14ac:dyDescent="0.35">
      <c r="A22" s="8" t="s">
        <v>127</v>
      </c>
      <c r="B22" s="8" t="s">
        <v>128</v>
      </c>
      <c r="C22" s="8" t="s">
        <v>55</v>
      </c>
      <c r="D22" s="9">
        <f>1</f>
        <v>1</v>
      </c>
      <c r="E22" s="9">
        <f>24</f>
        <v>24</v>
      </c>
      <c r="F22" s="10">
        <f>0</f>
        <v>0</v>
      </c>
      <c r="G22" s="9" t="s">
        <v>123</v>
      </c>
      <c r="H22" s="9"/>
      <c r="I22" s="9"/>
      <c r="J22" s="9"/>
      <c r="K22" s="11">
        <f>IF(D22=0,0,IF(AND(ISNUMBER(E22),E22&gt;=0,ISNUMBER(F22),F22&gt;=0,F22&lt;=1),E22*(1-F22)*(1+Settings!$B$5),0))</f>
        <v>28.799999999999997</v>
      </c>
      <c r="L22" s="11">
        <f>IFERROR(INDEX(Settings!$B$10:$B$12,MATCH(C22,{"Core","Practice","Delivery"},0)),0)</f>
        <v>1.5299999999999998</v>
      </c>
      <c r="M22" s="8" t="str">
        <f>IF(D22=0,"Skipped",IF(Settings!$B$15&lt;&gt;"Ready","Invalid settings",IF(OR(D22&lt;&gt;1,COUNTIF($A$2:$A$49,A22)&lt;&gt;1,NOT(ISNUMBER(E22)),E22&lt;0,NOT(ISNUMBER(F22)),F22&lt;0,F22&gt;1),"Invalid input",IF(F22=1,"Complete",IF(OR(L22&lt;=0,COUNTIFS($C$2:C21,C22,$M$2:M21,"Blocked*")+COUNTIFS($C$2:C21,C22,$M$2:M21,"Invalid*")&gt;0,AND(G22&lt;&gt;"",OR(IFERROR(INDEX($D$2:$D$21,MATCH(G22,$A$2:$A$21,0)),0)&lt;&gt;1,IFERROR(INDEX($M$2:$M$21,MATCH(G22,$A$2:$A$21,0)),"Blocked")="Blocked",LEFT(IFERROR(INDEX($M$2:$M$21,MATCH(G22,$A$2:$A$21,0)),"Invalid"),7)="Invalid")),AND(H22&lt;&gt;"",OR(IFERROR(INDEX($D$2:$D$21,MATCH(H22,$A$2:$A$21,0)),0)&lt;&gt;1,IFERROR(INDEX($M$2:$M$21,MATCH(H22,$A$2:$A$21,0)),"Blocked")="Blocked",LEFT(IFERROR(INDEX($M$2:$M$21,MATCH(H22,$A$2:$A$21,0)),"Invalid"),7)="Invalid")),AND(I22&lt;&gt;"",OR(IFERROR(INDEX($D$2:$D$21,MATCH(I22,$A$2:$A$21,0)),0)&lt;&gt;1,IFERROR(INDEX($M$2:$M$21,MATCH(I22,$A$2:$A$21,0)),"Blocked")="Blocked",LEFT(IFERROR(INDEX($M$2:$M$21,MATCH(I22,$A$2:$A$21,0)),"Invalid"),7)="Invalid")),AND(J22&lt;&gt;"",OR(IFERROR(INDEX($D$2:$D$21,MATCH(J22,$A$2:$A$21,0)),0)&lt;&gt;1,IFERROR(INDEX($M$2:$M$21,MATCH(J22,$A$2:$A$21,0)),"Blocked")="Blocked",LEFT(IFERROR(INDEX($M$2:$M$21,MATCH(J22,$A$2:$A$21,0)),"Invalid"),7)="Invalid"))),"Blocked","Planned")))))</f>
        <v>Planned</v>
      </c>
      <c r="N22" s="11">
        <f>IF(M22="Skipped",O21,IF(OR(M22="Planned",M22="Complete"),MAX(O21,IF(G22="",0,IFERROR(INDEX($O$2:$O$21,MATCH(G22,$A$2:$A$21,0)),0)),IF(H22="",0,IFERROR(INDEX($O$2:$O$21,MATCH(H22,$A$2:$A$21,0)),0)),IF(I22="",0,IFERROR(INDEX($O$2:$O$21,MATCH(I22,$A$2:$A$21,0)),0)),IF(J22="",0,IFERROR(INDEX($O$2:$O$21,MATCH(J22,$A$2:$A$21,0)),0))),""))</f>
        <v>359.21568627450978</v>
      </c>
      <c r="O22" s="11">
        <f>IF(M22="Skipped",N22,IF(OR(M22="Planned",M22="Complete"),N22+IF(K22=0,0,K22/L22),""))</f>
        <v>378.03921568627447</v>
      </c>
      <c r="P22" s="12">
        <f>IF(AND(M22="Planned",K22&gt;0),WORKDAY.INTL(Settings!$B$2-1,INT(N22+0.000000001)+1,Settings!$B$4,Holidays!$A$2:$A$101),"")</f>
        <v>46737</v>
      </c>
      <c r="Q22" s="12">
        <f>IF(AND(M22="Planned",K22&gt;0),WORKDAY.INTL(Settings!$B$2-1,MAX(1,ROUNDUP(O22-0.000000001,0)),Settings!$B$4,Holidays!$A$2:$A$101),"")</f>
        <v>46759</v>
      </c>
      <c r="R22" s="11">
        <f>IF(OR(M22="Planned",M22="Complete"),O22-N22,0)</f>
        <v>18.823529411764696</v>
      </c>
      <c r="S22" s="8" t="s">
        <v>129</v>
      </c>
      <c r="T22" s="8" t="s">
        <v>126</v>
      </c>
    </row>
    <row r="23" spans="1:20" ht="47" customHeight="1" x14ac:dyDescent="0.35">
      <c r="A23" s="8" t="s">
        <v>130</v>
      </c>
      <c r="B23" s="8" t="s">
        <v>131</v>
      </c>
      <c r="C23" s="8" t="s">
        <v>55</v>
      </c>
      <c r="D23" s="9">
        <f>1</f>
        <v>1</v>
      </c>
      <c r="E23" s="9">
        <f>8</f>
        <v>8</v>
      </c>
      <c r="F23" s="10">
        <f>0</f>
        <v>0</v>
      </c>
      <c r="G23" s="9" t="s">
        <v>66</v>
      </c>
      <c r="H23" s="9"/>
      <c r="I23" s="9"/>
      <c r="J23" s="9"/>
      <c r="K23" s="11">
        <f>IF(D23=0,0,IF(AND(ISNUMBER(E23),E23&gt;=0,ISNUMBER(F23),F23&gt;=0,F23&lt;=1),E23*(1-F23)*(1+Settings!$B$5),0))</f>
        <v>9.6</v>
      </c>
      <c r="L23" s="11">
        <f>IFERROR(INDEX(Settings!$B$10:$B$12,MATCH(C23,{"Core","Practice","Delivery"},0)),0)</f>
        <v>1.5299999999999998</v>
      </c>
      <c r="M23" s="8" t="str">
        <f>IF(D23=0,"Skipped",IF(Settings!$B$15&lt;&gt;"Ready","Invalid settings",IF(OR(D23&lt;&gt;1,COUNTIF($A$2:$A$49,A23)&lt;&gt;1,NOT(ISNUMBER(E23)),E23&lt;0,NOT(ISNUMBER(F23)),F23&lt;0,F23&gt;1),"Invalid input",IF(F23=1,"Complete",IF(OR(L23&lt;=0,COUNTIFS($C$2:C22,C23,$M$2:M22,"Blocked*")+COUNTIFS($C$2:C22,C23,$M$2:M22,"Invalid*")&gt;0,AND(G23&lt;&gt;"",OR(IFERROR(INDEX($D$2:$D$22,MATCH(G23,$A$2:$A$22,0)),0)&lt;&gt;1,IFERROR(INDEX($M$2:$M$22,MATCH(G23,$A$2:$A$22,0)),"Blocked")="Blocked",LEFT(IFERROR(INDEX($M$2:$M$22,MATCH(G23,$A$2:$A$22,0)),"Invalid"),7)="Invalid")),AND(H23&lt;&gt;"",OR(IFERROR(INDEX($D$2:$D$22,MATCH(H23,$A$2:$A$22,0)),0)&lt;&gt;1,IFERROR(INDEX($M$2:$M$22,MATCH(H23,$A$2:$A$22,0)),"Blocked")="Blocked",LEFT(IFERROR(INDEX($M$2:$M$22,MATCH(H23,$A$2:$A$22,0)),"Invalid"),7)="Invalid")),AND(I23&lt;&gt;"",OR(IFERROR(INDEX($D$2:$D$22,MATCH(I23,$A$2:$A$22,0)),0)&lt;&gt;1,IFERROR(INDEX($M$2:$M$22,MATCH(I23,$A$2:$A$22,0)),"Blocked")="Blocked",LEFT(IFERROR(INDEX($M$2:$M$22,MATCH(I23,$A$2:$A$22,0)),"Invalid"),7)="Invalid")),AND(J23&lt;&gt;"",OR(IFERROR(INDEX($D$2:$D$22,MATCH(J23,$A$2:$A$22,0)),0)&lt;&gt;1,IFERROR(INDEX($M$2:$M$22,MATCH(J23,$A$2:$A$22,0)),"Blocked")="Blocked",LEFT(IFERROR(INDEX($M$2:$M$22,MATCH(J23,$A$2:$A$22,0)),"Invalid"),7)="Invalid"))),"Blocked","Planned")))))</f>
        <v>Planned</v>
      </c>
      <c r="N23" s="11">
        <f>IF(M23="Skipped",O22,IF(OR(M23="Planned",M23="Complete"),MAX(O22,IF(G23="",0,IFERROR(INDEX($O$2:$O$22,MATCH(G23,$A$2:$A$22,0)),0)),IF(H23="",0,IFERROR(INDEX($O$2:$O$22,MATCH(H23,$A$2:$A$22,0)),0)),IF(I23="",0,IFERROR(INDEX($O$2:$O$22,MATCH(I23,$A$2:$A$22,0)),0)),IF(J23="",0,IFERROR(INDEX($O$2:$O$22,MATCH(J23,$A$2:$A$22,0)),0))),""))</f>
        <v>378.03921568627447</v>
      </c>
      <c r="O23" s="11">
        <f>IF(M23="Skipped",N23,IF(OR(M23="Planned",M23="Complete"),N23+IF(K23=0,0,K23/L23),""))</f>
        <v>384.31372549019602</v>
      </c>
      <c r="P23" s="12">
        <f>IF(AND(M23="Planned",K23&gt;0),WORKDAY.INTL(Settings!$B$2-1,INT(N23+0.000000001)+1,Settings!$B$4,Holidays!$A$2:$A$101),"")</f>
        <v>46759</v>
      </c>
      <c r="Q23" s="12">
        <f>IF(AND(M23="Planned",K23&gt;0),WORKDAY.INTL(Settings!$B$2-1,MAX(1,ROUNDUP(O23-0.000000001,0)),Settings!$B$4,Holidays!$A$2:$A$101),"")</f>
        <v>46766</v>
      </c>
      <c r="R23" s="11">
        <f>IF(OR(M23="Planned",M23="Complete"),O23-N23,0)</f>
        <v>6.2745098039215463</v>
      </c>
      <c r="S23" s="8" t="s">
        <v>132</v>
      </c>
      <c r="T23" s="8" t="s">
        <v>133</v>
      </c>
    </row>
    <row r="24" spans="1:20" ht="47" customHeight="1" x14ac:dyDescent="0.35">
      <c r="A24" s="8" t="s">
        <v>134</v>
      </c>
      <c r="B24" s="8" t="s">
        <v>135</v>
      </c>
      <c r="C24" s="8" t="s">
        <v>55</v>
      </c>
      <c r="D24" s="9">
        <f>1</f>
        <v>1</v>
      </c>
      <c r="E24" s="9">
        <f>26</f>
        <v>26</v>
      </c>
      <c r="F24" s="10">
        <f>0</f>
        <v>0</v>
      </c>
      <c r="G24" s="9" t="s">
        <v>119</v>
      </c>
      <c r="H24" s="9"/>
      <c r="I24" s="9"/>
      <c r="J24" s="9"/>
      <c r="K24" s="11">
        <f>IF(D24=0,0,IF(AND(ISNUMBER(E24),E24&gt;=0,ISNUMBER(F24),F24&gt;=0,F24&lt;=1),E24*(1-F24)*(1+Settings!$B$5),0))</f>
        <v>31.2</v>
      </c>
      <c r="L24" s="11">
        <f>IFERROR(INDEX(Settings!$B$10:$B$12,MATCH(C24,{"Core","Practice","Delivery"},0)),0)</f>
        <v>1.5299999999999998</v>
      </c>
      <c r="M24" s="8" t="str">
        <f>IF(D24=0,"Skipped",IF(Settings!$B$15&lt;&gt;"Ready","Invalid settings",IF(OR(D24&lt;&gt;1,COUNTIF($A$2:$A$49,A24)&lt;&gt;1,NOT(ISNUMBER(E24)),E24&lt;0,NOT(ISNUMBER(F24)),F24&lt;0,F24&gt;1),"Invalid input",IF(F24=1,"Complete",IF(OR(L24&lt;=0,COUNTIFS($C$2:C23,C24,$M$2:M23,"Blocked*")+COUNTIFS($C$2:C23,C24,$M$2:M23,"Invalid*")&gt;0,AND(G24&lt;&gt;"",OR(IFERROR(INDEX($D$2:$D$23,MATCH(G24,$A$2:$A$23,0)),0)&lt;&gt;1,IFERROR(INDEX($M$2:$M$23,MATCH(G24,$A$2:$A$23,0)),"Blocked")="Blocked",LEFT(IFERROR(INDEX($M$2:$M$23,MATCH(G24,$A$2:$A$23,0)),"Invalid"),7)="Invalid")),AND(H24&lt;&gt;"",OR(IFERROR(INDEX($D$2:$D$23,MATCH(H24,$A$2:$A$23,0)),0)&lt;&gt;1,IFERROR(INDEX($M$2:$M$23,MATCH(H24,$A$2:$A$23,0)),"Blocked")="Blocked",LEFT(IFERROR(INDEX($M$2:$M$23,MATCH(H24,$A$2:$A$23,0)),"Invalid"),7)="Invalid")),AND(I24&lt;&gt;"",OR(IFERROR(INDEX($D$2:$D$23,MATCH(I24,$A$2:$A$23,0)),0)&lt;&gt;1,IFERROR(INDEX($M$2:$M$23,MATCH(I24,$A$2:$A$23,0)),"Blocked")="Blocked",LEFT(IFERROR(INDEX($M$2:$M$23,MATCH(I24,$A$2:$A$23,0)),"Invalid"),7)="Invalid")),AND(J24&lt;&gt;"",OR(IFERROR(INDEX($D$2:$D$23,MATCH(J24,$A$2:$A$23,0)),0)&lt;&gt;1,IFERROR(INDEX($M$2:$M$23,MATCH(J24,$A$2:$A$23,0)),"Blocked")="Blocked",LEFT(IFERROR(INDEX($M$2:$M$23,MATCH(J24,$A$2:$A$23,0)),"Invalid"),7)="Invalid"))),"Blocked","Planned")))))</f>
        <v>Planned</v>
      </c>
      <c r="N24" s="11">
        <f>IF(M24="Skipped",O23,IF(OR(M24="Planned",M24="Complete"),MAX(O23,IF(G24="",0,IFERROR(INDEX($O$2:$O$23,MATCH(G24,$A$2:$A$23,0)),0)),IF(H24="",0,IFERROR(INDEX($O$2:$O$23,MATCH(H24,$A$2:$A$23,0)),0)),IF(I24="",0,IFERROR(INDEX($O$2:$O$23,MATCH(I24,$A$2:$A$23,0)),0)),IF(J24="",0,IFERROR(INDEX($O$2:$O$23,MATCH(J24,$A$2:$A$23,0)),0))),""))</f>
        <v>384.31372549019602</v>
      </c>
      <c r="O24" s="11">
        <f>IF(M24="Skipped",N24,IF(OR(M24="Planned",M24="Complete"),N24+IF(K24=0,0,K24/L24),""))</f>
        <v>404.7058823529411</v>
      </c>
      <c r="P24" s="12">
        <f>IF(AND(M24="Planned",K24&gt;0),WORKDAY.INTL(Settings!$B$2-1,INT(N24+0.000000001)+1,Settings!$B$4,Holidays!$A$2:$A$101),"")</f>
        <v>46766</v>
      </c>
      <c r="Q24" s="12">
        <f>IF(AND(M24="Planned",K24&gt;0),WORKDAY.INTL(Settings!$B$2-1,MAX(1,ROUNDUP(O24-0.000000001,0)),Settings!$B$4,Holidays!$A$2:$A$101),"")</f>
        <v>46790</v>
      </c>
      <c r="R24" s="11">
        <f>IF(OR(M24="Planned",M24="Complete"),O24-N24,0)</f>
        <v>20.392156862745082</v>
      </c>
      <c r="S24" s="8" t="s">
        <v>136</v>
      </c>
      <c r="T24" s="8" t="s">
        <v>137</v>
      </c>
    </row>
    <row r="25" spans="1:20" ht="47" customHeight="1" x14ac:dyDescent="0.35">
      <c r="A25" s="8" t="s">
        <v>138</v>
      </c>
      <c r="B25" s="8" t="s">
        <v>139</v>
      </c>
      <c r="C25" s="8" t="s">
        <v>55</v>
      </c>
      <c r="D25" s="9">
        <f>1</f>
        <v>1</v>
      </c>
      <c r="E25" s="9">
        <f>24</f>
        <v>24</v>
      </c>
      <c r="F25" s="10">
        <f>0</f>
        <v>0</v>
      </c>
      <c r="G25" s="9" t="s">
        <v>134</v>
      </c>
      <c r="H25" s="9"/>
      <c r="I25" s="9"/>
      <c r="J25" s="9"/>
      <c r="K25" s="11">
        <f>IF(D25=0,0,IF(AND(ISNUMBER(E25),E25&gt;=0,ISNUMBER(F25),F25&gt;=0,F25&lt;=1),E25*(1-F25)*(1+Settings!$B$5),0))</f>
        <v>28.799999999999997</v>
      </c>
      <c r="L25" s="11">
        <f>IFERROR(INDEX(Settings!$B$10:$B$12,MATCH(C25,{"Core","Practice","Delivery"},0)),0)</f>
        <v>1.5299999999999998</v>
      </c>
      <c r="M25" s="8" t="str">
        <f>IF(D25=0,"Skipped",IF(Settings!$B$15&lt;&gt;"Ready","Invalid settings",IF(OR(D25&lt;&gt;1,COUNTIF($A$2:$A$49,A25)&lt;&gt;1,NOT(ISNUMBER(E25)),E25&lt;0,NOT(ISNUMBER(F25)),F25&lt;0,F25&gt;1),"Invalid input",IF(F25=1,"Complete",IF(OR(L25&lt;=0,COUNTIFS($C$2:C24,C25,$M$2:M24,"Blocked*")+COUNTIFS($C$2:C24,C25,$M$2:M24,"Invalid*")&gt;0,AND(G25&lt;&gt;"",OR(IFERROR(INDEX($D$2:$D$24,MATCH(G25,$A$2:$A$24,0)),0)&lt;&gt;1,IFERROR(INDEX($M$2:$M$24,MATCH(G25,$A$2:$A$24,0)),"Blocked")="Blocked",LEFT(IFERROR(INDEX($M$2:$M$24,MATCH(G25,$A$2:$A$24,0)),"Invalid"),7)="Invalid")),AND(H25&lt;&gt;"",OR(IFERROR(INDEX($D$2:$D$24,MATCH(H25,$A$2:$A$24,0)),0)&lt;&gt;1,IFERROR(INDEX($M$2:$M$24,MATCH(H25,$A$2:$A$24,0)),"Blocked")="Blocked",LEFT(IFERROR(INDEX($M$2:$M$24,MATCH(H25,$A$2:$A$24,0)),"Invalid"),7)="Invalid")),AND(I25&lt;&gt;"",OR(IFERROR(INDEX($D$2:$D$24,MATCH(I25,$A$2:$A$24,0)),0)&lt;&gt;1,IFERROR(INDEX($M$2:$M$24,MATCH(I25,$A$2:$A$24,0)),"Blocked")="Blocked",LEFT(IFERROR(INDEX($M$2:$M$24,MATCH(I25,$A$2:$A$24,0)),"Invalid"),7)="Invalid")),AND(J25&lt;&gt;"",OR(IFERROR(INDEX($D$2:$D$24,MATCH(J25,$A$2:$A$24,0)),0)&lt;&gt;1,IFERROR(INDEX($M$2:$M$24,MATCH(J25,$A$2:$A$24,0)),"Blocked")="Blocked",LEFT(IFERROR(INDEX($M$2:$M$24,MATCH(J25,$A$2:$A$24,0)),"Invalid"),7)="Invalid"))),"Blocked","Planned")))))</f>
        <v>Planned</v>
      </c>
      <c r="N25" s="11">
        <f>IF(M25="Skipped",O24,IF(OR(M25="Planned",M25="Complete"),MAX(O24,IF(G25="",0,IFERROR(INDEX($O$2:$O$24,MATCH(G25,$A$2:$A$24,0)),0)),IF(H25="",0,IFERROR(INDEX($O$2:$O$24,MATCH(H25,$A$2:$A$24,0)),0)),IF(I25="",0,IFERROR(INDEX($O$2:$O$24,MATCH(I25,$A$2:$A$24,0)),0)),IF(J25="",0,IFERROR(INDEX($O$2:$O$24,MATCH(J25,$A$2:$A$24,0)),0))),""))</f>
        <v>404.7058823529411</v>
      </c>
      <c r="O25" s="11">
        <f>IF(M25="Skipped",N25,IF(OR(M25="Planned",M25="Complete"),N25+IF(K25=0,0,K25/L25),""))</f>
        <v>423.5294117647058</v>
      </c>
      <c r="P25" s="12">
        <f>IF(AND(M25="Planned",K25&gt;0),WORKDAY.INTL(Settings!$B$2-1,INT(N25+0.000000001)+1,Settings!$B$4,Holidays!$A$2:$A$101),"")</f>
        <v>46790</v>
      </c>
      <c r="Q25" s="12">
        <f>IF(AND(M25="Planned",K25&gt;0),WORKDAY.INTL(Settings!$B$2-1,MAX(1,ROUNDUP(O25-0.000000001,0)),Settings!$B$4,Holidays!$A$2:$A$101),"")</f>
        <v>46812</v>
      </c>
      <c r="R25" s="11">
        <f>IF(OR(M25="Planned",M25="Complete"),O25-N25,0)</f>
        <v>18.823529411764696</v>
      </c>
      <c r="S25" s="8" t="s">
        <v>140</v>
      </c>
      <c r="T25" s="8" t="s">
        <v>141</v>
      </c>
    </row>
    <row r="26" spans="1:20" ht="47" customHeight="1" x14ac:dyDescent="0.35">
      <c r="A26" s="8" t="s">
        <v>142</v>
      </c>
      <c r="B26" s="8" t="s">
        <v>143</v>
      </c>
      <c r="C26" s="8" t="s">
        <v>55</v>
      </c>
      <c r="D26" s="9">
        <f>1</f>
        <v>1</v>
      </c>
      <c r="E26" s="9">
        <f>24</f>
        <v>24</v>
      </c>
      <c r="F26" s="10">
        <f>0</f>
        <v>0</v>
      </c>
      <c r="G26" s="9" t="s">
        <v>115</v>
      </c>
      <c r="H26" s="9" t="s">
        <v>138</v>
      </c>
      <c r="I26" s="9"/>
      <c r="J26" s="9"/>
      <c r="K26" s="11">
        <f>IF(D26=0,0,IF(AND(ISNUMBER(E26),E26&gt;=0,ISNUMBER(F26),F26&gt;=0,F26&lt;=1),E26*(1-F26)*(1+Settings!$B$5),0))</f>
        <v>28.799999999999997</v>
      </c>
      <c r="L26" s="11">
        <f>IFERROR(INDEX(Settings!$B$10:$B$12,MATCH(C26,{"Core","Practice","Delivery"},0)),0)</f>
        <v>1.5299999999999998</v>
      </c>
      <c r="M26" s="8" t="str">
        <f>IF(D26=0,"Skipped",IF(Settings!$B$15&lt;&gt;"Ready","Invalid settings",IF(OR(D26&lt;&gt;1,COUNTIF($A$2:$A$49,A26)&lt;&gt;1,NOT(ISNUMBER(E26)),E26&lt;0,NOT(ISNUMBER(F26)),F26&lt;0,F26&gt;1),"Invalid input",IF(F26=1,"Complete",IF(OR(L26&lt;=0,COUNTIFS($C$2:C25,C26,$M$2:M25,"Blocked*")+COUNTIFS($C$2:C25,C26,$M$2:M25,"Invalid*")&gt;0,AND(G26&lt;&gt;"",OR(IFERROR(INDEX($D$2:$D$25,MATCH(G26,$A$2:$A$25,0)),0)&lt;&gt;1,IFERROR(INDEX($M$2:$M$25,MATCH(G26,$A$2:$A$25,0)),"Blocked")="Blocked",LEFT(IFERROR(INDEX($M$2:$M$25,MATCH(G26,$A$2:$A$25,0)),"Invalid"),7)="Invalid")),AND(H26&lt;&gt;"",OR(IFERROR(INDEX($D$2:$D$25,MATCH(H26,$A$2:$A$25,0)),0)&lt;&gt;1,IFERROR(INDEX($M$2:$M$25,MATCH(H26,$A$2:$A$25,0)),"Blocked")="Blocked",LEFT(IFERROR(INDEX($M$2:$M$25,MATCH(H26,$A$2:$A$25,0)),"Invalid"),7)="Invalid")),AND(I26&lt;&gt;"",OR(IFERROR(INDEX($D$2:$D$25,MATCH(I26,$A$2:$A$25,0)),0)&lt;&gt;1,IFERROR(INDEX($M$2:$M$25,MATCH(I26,$A$2:$A$25,0)),"Blocked")="Blocked",LEFT(IFERROR(INDEX($M$2:$M$25,MATCH(I26,$A$2:$A$25,0)),"Invalid"),7)="Invalid")),AND(J26&lt;&gt;"",OR(IFERROR(INDEX($D$2:$D$25,MATCH(J26,$A$2:$A$25,0)),0)&lt;&gt;1,IFERROR(INDEX($M$2:$M$25,MATCH(J26,$A$2:$A$25,0)),"Blocked")="Blocked",LEFT(IFERROR(INDEX($M$2:$M$25,MATCH(J26,$A$2:$A$25,0)),"Invalid"),7)="Invalid"))),"Blocked","Planned")))))</f>
        <v>Planned</v>
      </c>
      <c r="N26" s="11">
        <f>IF(M26="Skipped",O25,IF(OR(M26="Planned",M26="Complete"),MAX(O25,IF(G26="",0,IFERROR(INDEX($O$2:$O$25,MATCH(G26,$A$2:$A$25,0)),0)),IF(H26="",0,IFERROR(INDEX($O$2:$O$25,MATCH(H26,$A$2:$A$25,0)),0)),IF(I26="",0,IFERROR(INDEX($O$2:$O$25,MATCH(I26,$A$2:$A$25,0)),0)),IF(J26="",0,IFERROR(INDEX($O$2:$O$25,MATCH(J26,$A$2:$A$25,0)),0))),""))</f>
        <v>423.5294117647058</v>
      </c>
      <c r="O26" s="11">
        <f>IF(M26="Skipped",N26,IF(OR(M26="Planned",M26="Complete"),N26+IF(K26=0,0,K26/L26),""))</f>
        <v>442.35294117647049</v>
      </c>
      <c r="P26" s="12">
        <f>IF(AND(M26="Planned",K26&gt;0),WORKDAY.INTL(Settings!$B$2-1,INT(N26+0.000000001)+1,Settings!$B$4,Holidays!$A$2:$A$101),"")</f>
        <v>46812</v>
      </c>
      <c r="Q26" s="12">
        <f>IF(AND(M26="Planned",K26&gt;0),WORKDAY.INTL(Settings!$B$2-1,MAX(1,ROUNDUP(O26-0.000000001,0)),Settings!$B$4,Holidays!$A$2:$A$101),"")</f>
        <v>46834</v>
      </c>
      <c r="R26" s="11">
        <f>IF(OR(M26="Planned",M26="Complete"),O26-N26,0)</f>
        <v>18.823529411764696</v>
      </c>
      <c r="S26" s="8" t="s">
        <v>144</v>
      </c>
      <c r="T26" s="8" t="s">
        <v>145</v>
      </c>
    </row>
    <row r="27" spans="1:20" ht="47" customHeight="1" x14ac:dyDescent="0.35">
      <c r="A27" s="8" t="s">
        <v>146</v>
      </c>
      <c r="B27" s="8" t="s">
        <v>147</v>
      </c>
      <c r="C27" s="8" t="s">
        <v>55</v>
      </c>
      <c r="D27" s="9">
        <f>1</f>
        <v>1</v>
      </c>
      <c r="E27" s="9">
        <f>14</f>
        <v>14</v>
      </c>
      <c r="F27" s="10">
        <f>0</f>
        <v>0</v>
      </c>
      <c r="G27" s="9" t="s">
        <v>142</v>
      </c>
      <c r="H27" s="9"/>
      <c r="I27" s="9"/>
      <c r="J27" s="9"/>
      <c r="K27" s="11">
        <f>IF(D27=0,0,IF(AND(ISNUMBER(E27),E27&gt;=0,ISNUMBER(F27),F27&gt;=0,F27&lt;=1),E27*(1-F27)*(1+Settings!$B$5),0))</f>
        <v>16.8</v>
      </c>
      <c r="L27" s="11">
        <f>IFERROR(INDEX(Settings!$B$10:$B$12,MATCH(C27,{"Core","Practice","Delivery"},0)),0)</f>
        <v>1.5299999999999998</v>
      </c>
      <c r="M27" s="8" t="str">
        <f>IF(D27=0,"Skipped",IF(Settings!$B$15&lt;&gt;"Ready","Invalid settings",IF(OR(D27&lt;&gt;1,COUNTIF($A$2:$A$49,A27)&lt;&gt;1,NOT(ISNUMBER(E27)),E27&lt;0,NOT(ISNUMBER(F27)),F27&lt;0,F27&gt;1),"Invalid input",IF(F27=1,"Complete",IF(OR(L27&lt;=0,COUNTIFS($C$2:C26,C27,$M$2:M26,"Blocked*")+COUNTIFS($C$2:C26,C27,$M$2:M26,"Invalid*")&gt;0,AND(G27&lt;&gt;"",OR(IFERROR(INDEX($D$2:$D$26,MATCH(G27,$A$2:$A$26,0)),0)&lt;&gt;1,IFERROR(INDEX($M$2:$M$26,MATCH(G27,$A$2:$A$26,0)),"Blocked")="Blocked",LEFT(IFERROR(INDEX($M$2:$M$26,MATCH(G27,$A$2:$A$26,0)),"Invalid"),7)="Invalid")),AND(H27&lt;&gt;"",OR(IFERROR(INDEX($D$2:$D$26,MATCH(H27,$A$2:$A$26,0)),0)&lt;&gt;1,IFERROR(INDEX($M$2:$M$26,MATCH(H27,$A$2:$A$26,0)),"Blocked")="Blocked",LEFT(IFERROR(INDEX($M$2:$M$26,MATCH(H27,$A$2:$A$26,0)),"Invalid"),7)="Invalid")),AND(I27&lt;&gt;"",OR(IFERROR(INDEX($D$2:$D$26,MATCH(I27,$A$2:$A$26,0)),0)&lt;&gt;1,IFERROR(INDEX($M$2:$M$26,MATCH(I27,$A$2:$A$26,0)),"Blocked")="Blocked",LEFT(IFERROR(INDEX($M$2:$M$26,MATCH(I27,$A$2:$A$26,0)),"Invalid"),7)="Invalid")),AND(J27&lt;&gt;"",OR(IFERROR(INDEX($D$2:$D$26,MATCH(J27,$A$2:$A$26,0)),0)&lt;&gt;1,IFERROR(INDEX($M$2:$M$26,MATCH(J27,$A$2:$A$26,0)),"Blocked")="Blocked",LEFT(IFERROR(INDEX($M$2:$M$26,MATCH(J27,$A$2:$A$26,0)),"Invalid"),7)="Invalid"))),"Blocked","Planned")))))</f>
        <v>Planned</v>
      </c>
      <c r="N27" s="11">
        <f>IF(M27="Skipped",O26,IF(OR(M27="Planned",M27="Complete"),MAX(O26,IF(G27="",0,IFERROR(INDEX($O$2:$O$26,MATCH(G27,$A$2:$A$26,0)),0)),IF(H27="",0,IFERROR(INDEX($O$2:$O$26,MATCH(H27,$A$2:$A$26,0)),0)),IF(I27="",0,IFERROR(INDEX($O$2:$O$26,MATCH(I27,$A$2:$A$26,0)),0)),IF(J27="",0,IFERROR(INDEX($O$2:$O$26,MATCH(J27,$A$2:$A$26,0)),0))),""))</f>
        <v>442.35294117647049</v>
      </c>
      <c r="O27" s="11">
        <f>IF(M27="Skipped",N27,IF(OR(M27="Planned",M27="Complete"),N27+IF(K27=0,0,K27/L27),""))</f>
        <v>453.33333333333326</v>
      </c>
      <c r="P27" s="12">
        <f>IF(AND(M27="Planned",K27&gt;0),WORKDAY.INTL(Settings!$B$2-1,INT(N27+0.000000001)+1,Settings!$B$4,Holidays!$A$2:$A$101),"")</f>
        <v>46834</v>
      </c>
      <c r="Q27" s="12">
        <f>IF(AND(M27="Planned",K27&gt;0),WORKDAY.INTL(Settings!$B$2-1,MAX(1,ROUNDUP(O27-0.000000001,0)),Settings!$B$4,Holidays!$A$2:$A$101),"")</f>
        <v>46847</v>
      </c>
      <c r="R27" s="11">
        <f>IF(OR(M27="Planned",M27="Complete"),O27-N27,0)</f>
        <v>10.980392156862763</v>
      </c>
      <c r="S27" s="8" t="s">
        <v>148</v>
      </c>
      <c r="T27" s="8" t="s">
        <v>149</v>
      </c>
    </row>
    <row r="28" spans="1:20" ht="47" customHeight="1" x14ac:dyDescent="0.35">
      <c r="A28" s="8" t="s">
        <v>150</v>
      </c>
      <c r="B28" s="8" t="s">
        <v>151</v>
      </c>
      <c r="C28" s="8" t="s">
        <v>152</v>
      </c>
      <c r="D28" s="9">
        <f>1</f>
        <v>1</v>
      </c>
      <c r="E28" s="9">
        <f>22</f>
        <v>22</v>
      </c>
      <c r="F28" s="10">
        <f>0</f>
        <v>0</v>
      </c>
      <c r="G28" s="9" t="s">
        <v>58</v>
      </c>
      <c r="H28" s="9"/>
      <c r="I28" s="9"/>
      <c r="J28" s="9"/>
      <c r="K28" s="11">
        <f>IF(D28=0,0,IF(AND(ISNUMBER(E28),E28&gt;=0,ISNUMBER(F28),F28&gt;=0,F28&lt;=1),E28*(1-F28)*(1+Settings!$B$5),0))</f>
        <v>26.4</v>
      </c>
      <c r="L28" s="11">
        <f>IFERROR(INDEX(Settings!$B$10:$B$12,MATCH(C28,{"Core","Practice","Delivery"},0)),0)</f>
        <v>0.51</v>
      </c>
      <c r="M28" s="8" t="str">
        <f>IF(D28=0,"Skipped",IF(Settings!$B$15&lt;&gt;"Ready","Invalid settings",IF(OR(D28&lt;&gt;1,COUNTIF($A$2:$A$49,A28)&lt;&gt;1,NOT(ISNUMBER(E28)),E28&lt;0,NOT(ISNUMBER(F28)),F28&lt;0,F28&gt;1),"Invalid input",IF(F28=1,"Complete",IF(OR(L28&lt;=0,COUNTIFS($C$2:C27,C28,$M$2:M27,"Blocked*")+COUNTIFS($C$2:C27,C28,$M$2:M27,"Invalid*")&gt;0,AND(G28&lt;&gt;"",OR(IFERROR(INDEX($D$2:$D$27,MATCH(G28,$A$2:$A$27,0)),0)&lt;&gt;1,IFERROR(INDEX($M$2:$M$27,MATCH(G28,$A$2:$A$27,0)),"Blocked")="Blocked",LEFT(IFERROR(INDEX($M$2:$M$27,MATCH(G28,$A$2:$A$27,0)),"Invalid"),7)="Invalid")),AND(H28&lt;&gt;"",OR(IFERROR(INDEX($D$2:$D$27,MATCH(H28,$A$2:$A$27,0)),0)&lt;&gt;1,IFERROR(INDEX($M$2:$M$27,MATCH(H28,$A$2:$A$27,0)),"Blocked")="Blocked",LEFT(IFERROR(INDEX($M$2:$M$27,MATCH(H28,$A$2:$A$27,0)),"Invalid"),7)="Invalid")),AND(I28&lt;&gt;"",OR(IFERROR(INDEX($D$2:$D$27,MATCH(I28,$A$2:$A$27,0)),0)&lt;&gt;1,IFERROR(INDEX($M$2:$M$27,MATCH(I28,$A$2:$A$27,0)),"Blocked")="Blocked",LEFT(IFERROR(INDEX($M$2:$M$27,MATCH(I28,$A$2:$A$27,0)),"Invalid"),7)="Invalid")),AND(J28&lt;&gt;"",OR(IFERROR(INDEX($D$2:$D$27,MATCH(J28,$A$2:$A$27,0)),0)&lt;&gt;1,IFERROR(INDEX($M$2:$M$27,MATCH(J28,$A$2:$A$27,0)),"Blocked")="Blocked",LEFT(IFERROR(INDEX($M$2:$M$27,MATCH(J28,$A$2:$A$27,0)),"Invalid"),7)="Invalid"))),"Blocked","Planned")))))</f>
        <v>Planned</v>
      </c>
      <c r="N28" s="11">
        <f>IF(M28="Skipped",0,IF(OR(M28="Planned",M28="Complete"),MAX(0,IF(G28="",0,IFERROR(INDEX($O$2:$O$27,MATCH(G28,$A$2:$A$27,0)),0)),IF(H28="",0,IFERROR(INDEX($O$2:$O$27,MATCH(H28,$A$2:$A$27,0)),0)),IF(I28="",0,IFERROR(INDEX($O$2:$O$27,MATCH(I28,$A$2:$A$27,0)),0)),IF(J28="",0,IFERROR(INDEX($O$2:$O$27,MATCH(J28,$A$2:$A$27,0)),0))),""))</f>
        <v>28.235294117647062</v>
      </c>
      <c r="O28" s="11">
        <f>IF(M28="Skipped",N28,IF(OR(M28="Planned",M28="Complete"),N28+IF(K28=0,0,K28/L28),""))</f>
        <v>80</v>
      </c>
      <c r="P28" s="12">
        <f>IF(AND(M28="Planned",K28&gt;0),WORKDAY.INTL(Settings!$B$2-1,INT(N28+0.000000001)+1,Settings!$B$4,Holidays!$A$2:$A$101),"")</f>
        <v>46351</v>
      </c>
      <c r="Q28" s="12">
        <f>IF(AND(M28="Planned",K28&gt;0),WORKDAY.INTL(Settings!$B$2-1,MAX(1,ROUNDUP(O28-0.000000001,0)),Settings!$B$4,Holidays!$A$2:$A$101),"")</f>
        <v>46410</v>
      </c>
      <c r="R28" s="11">
        <f>IF(OR(M28="Planned",M28="Complete"),O28-N28,0)</f>
        <v>51.764705882352942</v>
      </c>
      <c r="S28" s="8" t="s">
        <v>153</v>
      </c>
      <c r="T28" s="8" t="s">
        <v>154</v>
      </c>
    </row>
    <row r="29" spans="1:20" ht="47" customHeight="1" x14ac:dyDescent="0.35">
      <c r="A29" s="8" t="s">
        <v>155</v>
      </c>
      <c r="B29" s="8" t="s">
        <v>156</v>
      </c>
      <c r="C29" s="8" t="s">
        <v>152</v>
      </c>
      <c r="D29" s="9">
        <f>1</f>
        <v>1</v>
      </c>
      <c r="E29" s="9">
        <f>26</f>
        <v>26</v>
      </c>
      <c r="F29" s="10">
        <f>0</f>
        <v>0</v>
      </c>
      <c r="G29" s="9" t="s">
        <v>74</v>
      </c>
      <c r="H29" s="9"/>
      <c r="I29" s="9"/>
      <c r="J29" s="9"/>
      <c r="K29" s="11">
        <f>IF(D29=0,0,IF(AND(ISNUMBER(E29),E29&gt;=0,ISNUMBER(F29),F29&gt;=0,F29&lt;=1),E29*(1-F29)*(1+Settings!$B$5),0))</f>
        <v>31.2</v>
      </c>
      <c r="L29" s="11">
        <f>IFERROR(INDEX(Settings!$B$10:$B$12,MATCH(C29,{"Core","Practice","Delivery"},0)),0)</f>
        <v>0.51</v>
      </c>
      <c r="M29" s="8" t="str">
        <f>IF(D29=0,"Skipped",IF(Settings!$B$15&lt;&gt;"Ready","Invalid settings",IF(OR(D29&lt;&gt;1,COUNTIF($A$2:$A$49,A29)&lt;&gt;1,NOT(ISNUMBER(E29)),E29&lt;0,NOT(ISNUMBER(F29)),F29&lt;0,F29&gt;1),"Invalid input",IF(F29=1,"Complete",IF(OR(L29&lt;=0,COUNTIFS($C$2:C28,C29,$M$2:M28,"Blocked*")+COUNTIFS($C$2:C28,C29,$M$2:M28,"Invalid*")&gt;0,AND(G29&lt;&gt;"",OR(IFERROR(INDEX($D$2:$D$28,MATCH(G29,$A$2:$A$28,0)),0)&lt;&gt;1,IFERROR(INDEX($M$2:$M$28,MATCH(G29,$A$2:$A$28,0)),"Blocked")="Blocked",LEFT(IFERROR(INDEX($M$2:$M$28,MATCH(G29,$A$2:$A$28,0)),"Invalid"),7)="Invalid")),AND(H29&lt;&gt;"",OR(IFERROR(INDEX($D$2:$D$28,MATCH(H29,$A$2:$A$28,0)),0)&lt;&gt;1,IFERROR(INDEX($M$2:$M$28,MATCH(H29,$A$2:$A$28,0)),"Blocked")="Blocked",LEFT(IFERROR(INDEX($M$2:$M$28,MATCH(H29,$A$2:$A$28,0)),"Invalid"),7)="Invalid")),AND(I29&lt;&gt;"",OR(IFERROR(INDEX($D$2:$D$28,MATCH(I29,$A$2:$A$28,0)),0)&lt;&gt;1,IFERROR(INDEX($M$2:$M$28,MATCH(I29,$A$2:$A$28,0)),"Blocked")="Blocked",LEFT(IFERROR(INDEX($M$2:$M$28,MATCH(I29,$A$2:$A$28,0)),"Invalid"),7)="Invalid")),AND(J29&lt;&gt;"",OR(IFERROR(INDEX($D$2:$D$28,MATCH(J29,$A$2:$A$28,0)),0)&lt;&gt;1,IFERROR(INDEX($M$2:$M$28,MATCH(J29,$A$2:$A$28,0)),"Blocked")="Blocked",LEFT(IFERROR(INDEX($M$2:$M$28,MATCH(J29,$A$2:$A$28,0)),"Invalid"),7)="Invalid"))),"Blocked","Planned")))))</f>
        <v>Planned</v>
      </c>
      <c r="N29" s="11">
        <f>IF(M29="Skipped",O28,IF(OR(M29="Planned",M29="Complete"),MAX(O28,IF(G29="",0,IFERROR(INDEX($O$2:$O$28,MATCH(G29,$A$2:$A$28,0)),0)),IF(H29="",0,IFERROR(INDEX($O$2:$O$28,MATCH(H29,$A$2:$A$28,0)),0)),IF(I29="",0,IFERROR(INDEX($O$2:$O$28,MATCH(I29,$A$2:$A$28,0)),0)),IF(J29="",0,IFERROR(INDEX($O$2:$O$28,MATCH(J29,$A$2:$A$28,0)),0))),""))</f>
        <v>106.66666666666669</v>
      </c>
      <c r="O29" s="11">
        <f>IF(M29="Skipped",N29,IF(OR(M29="Planned",M29="Complete"),N29+IF(K29=0,0,K29/L29),""))</f>
        <v>167.84313725490199</v>
      </c>
      <c r="P29" s="12">
        <f>IF(AND(M29="Planned",K29&gt;0),WORKDAY.INTL(Settings!$B$2-1,INT(N29+0.000000001)+1,Settings!$B$4,Holidays!$A$2:$A$101),"")</f>
        <v>46442</v>
      </c>
      <c r="Q29" s="12">
        <f>IF(AND(M29="Planned",K29&gt;0),WORKDAY.INTL(Settings!$B$2-1,MAX(1,ROUNDUP(O29-0.000000001,0)),Settings!$B$4,Holidays!$A$2:$A$101),"")</f>
        <v>46513</v>
      </c>
      <c r="R29" s="11">
        <f>IF(OR(M29="Planned",M29="Complete"),O29-N29,0)</f>
        <v>61.176470588235304</v>
      </c>
      <c r="S29" s="8" t="s">
        <v>157</v>
      </c>
      <c r="T29" s="8" t="s">
        <v>158</v>
      </c>
    </row>
    <row r="30" spans="1:20" ht="47" customHeight="1" x14ac:dyDescent="0.35">
      <c r="A30" s="8" t="s">
        <v>159</v>
      </c>
      <c r="B30" s="8" t="s">
        <v>160</v>
      </c>
      <c r="C30" s="8" t="s">
        <v>152</v>
      </c>
      <c r="D30" s="9">
        <f>1</f>
        <v>1</v>
      </c>
      <c r="E30" s="9">
        <f>44</f>
        <v>44</v>
      </c>
      <c r="F30" s="10">
        <f>0</f>
        <v>0</v>
      </c>
      <c r="G30" s="9" t="s">
        <v>150</v>
      </c>
      <c r="H30" s="9"/>
      <c r="I30" s="9"/>
      <c r="J30" s="9"/>
      <c r="K30" s="11">
        <f>IF(D30=0,0,IF(AND(ISNUMBER(E30),E30&gt;=0,ISNUMBER(F30),F30&gt;=0,F30&lt;=1),E30*(1-F30)*(1+Settings!$B$5),0))</f>
        <v>52.8</v>
      </c>
      <c r="L30" s="11">
        <f>IFERROR(INDEX(Settings!$B$10:$B$12,MATCH(C30,{"Core","Practice","Delivery"},0)),0)</f>
        <v>0.51</v>
      </c>
      <c r="M30" s="8" t="str">
        <f>IF(D30=0,"Skipped",IF(Settings!$B$15&lt;&gt;"Ready","Invalid settings",IF(OR(D30&lt;&gt;1,COUNTIF($A$2:$A$49,A30)&lt;&gt;1,NOT(ISNUMBER(E30)),E30&lt;0,NOT(ISNUMBER(F30)),F30&lt;0,F30&gt;1),"Invalid input",IF(F30=1,"Complete",IF(OR(L30&lt;=0,COUNTIFS($C$2:C29,C30,$M$2:M29,"Blocked*")+COUNTIFS($C$2:C29,C30,$M$2:M29,"Invalid*")&gt;0,AND(G30&lt;&gt;"",OR(IFERROR(INDEX($D$2:$D$29,MATCH(G30,$A$2:$A$29,0)),0)&lt;&gt;1,IFERROR(INDEX($M$2:$M$29,MATCH(G30,$A$2:$A$29,0)),"Blocked")="Blocked",LEFT(IFERROR(INDEX($M$2:$M$29,MATCH(G30,$A$2:$A$29,0)),"Invalid"),7)="Invalid")),AND(H30&lt;&gt;"",OR(IFERROR(INDEX($D$2:$D$29,MATCH(H30,$A$2:$A$29,0)),0)&lt;&gt;1,IFERROR(INDEX($M$2:$M$29,MATCH(H30,$A$2:$A$29,0)),"Blocked")="Blocked",LEFT(IFERROR(INDEX($M$2:$M$29,MATCH(H30,$A$2:$A$29,0)),"Invalid"),7)="Invalid")),AND(I30&lt;&gt;"",OR(IFERROR(INDEX($D$2:$D$29,MATCH(I30,$A$2:$A$29,0)),0)&lt;&gt;1,IFERROR(INDEX($M$2:$M$29,MATCH(I30,$A$2:$A$29,0)),"Blocked")="Blocked",LEFT(IFERROR(INDEX($M$2:$M$29,MATCH(I30,$A$2:$A$29,0)),"Invalid"),7)="Invalid")),AND(J30&lt;&gt;"",OR(IFERROR(INDEX($D$2:$D$29,MATCH(J30,$A$2:$A$29,0)),0)&lt;&gt;1,IFERROR(INDEX($M$2:$M$29,MATCH(J30,$A$2:$A$29,0)),"Blocked")="Blocked",LEFT(IFERROR(INDEX($M$2:$M$29,MATCH(J30,$A$2:$A$29,0)),"Invalid"),7)="Invalid"))),"Blocked","Planned")))))</f>
        <v>Planned</v>
      </c>
      <c r="N30" s="11">
        <f>IF(M30="Skipped",O29,IF(OR(M30="Planned",M30="Complete"),MAX(O29,IF(G30="",0,IFERROR(INDEX($O$2:$O$29,MATCH(G30,$A$2:$A$29,0)),0)),IF(H30="",0,IFERROR(INDEX($O$2:$O$29,MATCH(H30,$A$2:$A$29,0)),0)),IF(I30="",0,IFERROR(INDEX($O$2:$O$29,MATCH(I30,$A$2:$A$29,0)),0)),IF(J30="",0,IFERROR(INDEX($O$2:$O$29,MATCH(J30,$A$2:$A$29,0)),0))),""))</f>
        <v>167.84313725490199</v>
      </c>
      <c r="O30" s="11">
        <f>IF(M30="Skipped",N30,IF(OR(M30="Planned",M30="Complete"),N30+IF(K30=0,0,K30/L30),""))</f>
        <v>271.37254901960785</v>
      </c>
      <c r="P30" s="12">
        <f>IF(AND(M30="Planned",K30&gt;0),WORKDAY.INTL(Settings!$B$2-1,INT(N30+0.000000001)+1,Settings!$B$4,Holidays!$A$2:$A$101),"")</f>
        <v>46513</v>
      </c>
      <c r="Q30" s="12">
        <f>IF(AND(M30="Planned",K30&gt;0),WORKDAY.INTL(Settings!$B$2-1,MAX(1,ROUNDUP(O30-0.000000001,0)),Settings!$B$4,Holidays!$A$2:$A$101),"")</f>
        <v>46634</v>
      </c>
      <c r="R30" s="11">
        <f>IF(OR(M30="Planned",M30="Complete"),O30-N30,0)</f>
        <v>103.52941176470586</v>
      </c>
      <c r="S30" s="8" t="s">
        <v>161</v>
      </c>
      <c r="T30" s="8" t="s">
        <v>162</v>
      </c>
    </row>
    <row r="31" spans="1:20" ht="47" customHeight="1" x14ac:dyDescent="0.35">
      <c r="A31" s="8" t="s">
        <v>163</v>
      </c>
      <c r="B31" s="8" t="s">
        <v>164</v>
      </c>
      <c r="C31" s="8" t="s">
        <v>152</v>
      </c>
      <c r="D31" s="9">
        <f>1</f>
        <v>1</v>
      </c>
      <c r="E31" s="9">
        <f>26</f>
        <v>26</v>
      </c>
      <c r="F31" s="10">
        <f>0</f>
        <v>0</v>
      </c>
      <c r="G31" s="9" t="s">
        <v>98</v>
      </c>
      <c r="H31" s="9"/>
      <c r="I31" s="9"/>
      <c r="J31" s="9"/>
      <c r="K31" s="11">
        <f>IF(D31=0,0,IF(AND(ISNUMBER(E31),E31&gt;=0,ISNUMBER(F31),F31&gt;=0,F31&lt;=1),E31*(1-F31)*(1+Settings!$B$5),0))</f>
        <v>31.2</v>
      </c>
      <c r="L31" s="11">
        <f>IFERROR(INDEX(Settings!$B$10:$B$12,MATCH(C31,{"Core","Practice","Delivery"},0)),0)</f>
        <v>0.51</v>
      </c>
      <c r="M31" s="8" t="str">
        <f>IF(D31=0,"Skipped",IF(Settings!$B$15&lt;&gt;"Ready","Invalid settings",IF(OR(D31&lt;&gt;1,COUNTIF($A$2:$A$49,A31)&lt;&gt;1,NOT(ISNUMBER(E31)),E31&lt;0,NOT(ISNUMBER(F31)),F31&lt;0,F31&gt;1),"Invalid input",IF(F31=1,"Complete",IF(OR(L31&lt;=0,COUNTIFS($C$2:C30,C31,$M$2:M30,"Blocked*")+COUNTIFS($C$2:C30,C31,$M$2:M30,"Invalid*")&gt;0,AND(G31&lt;&gt;"",OR(IFERROR(INDEX($D$2:$D$30,MATCH(G31,$A$2:$A$30,0)),0)&lt;&gt;1,IFERROR(INDEX($M$2:$M$30,MATCH(G31,$A$2:$A$30,0)),"Blocked")="Blocked",LEFT(IFERROR(INDEX($M$2:$M$30,MATCH(G31,$A$2:$A$30,0)),"Invalid"),7)="Invalid")),AND(H31&lt;&gt;"",OR(IFERROR(INDEX($D$2:$D$30,MATCH(H31,$A$2:$A$30,0)),0)&lt;&gt;1,IFERROR(INDEX($M$2:$M$30,MATCH(H31,$A$2:$A$30,0)),"Blocked")="Blocked",LEFT(IFERROR(INDEX($M$2:$M$30,MATCH(H31,$A$2:$A$30,0)),"Invalid"),7)="Invalid")),AND(I31&lt;&gt;"",OR(IFERROR(INDEX($D$2:$D$30,MATCH(I31,$A$2:$A$30,0)),0)&lt;&gt;1,IFERROR(INDEX($M$2:$M$30,MATCH(I31,$A$2:$A$30,0)),"Blocked")="Blocked",LEFT(IFERROR(INDEX($M$2:$M$30,MATCH(I31,$A$2:$A$30,0)),"Invalid"),7)="Invalid")),AND(J31&lt;&gt;"",OR(IFERROR(INDEX($D$2:$D$30,MATCH(J31,$A$2:$A$30,0)),0)&lt;&gt;1,IFERROR(INDEX($M$2:$M$30,MATCH(J31,$A$2:$A$30,0)),"Blocked")="Blocked",LEFT(IFERROR(INDEX($M$2:$M$30,MATCH(J31,$A$2:$A$30,0)),"Invalid"),7)="Invalid"))),"Blocked","Planned")))))</f>
        <v>Planned</v>
      </c>
      <c r="N31" s="11">
        <f>IF(M31="Skipped",O30,IF(OR(M31="Planned",M31="Complete"),MAX(O30,IF(G31="",0,IFERROR(INDEX($O$2:$O$30,MATCH(G31,$A$2:$A$30,0)),0)),IF(H31="",0,IFERROR(INDEX($O$2:$O$30,MATCH(H31,$A$2:$A$30,0)),0)),IF(I31="",0,IFERROR(INDEX($O$2:$O$30,MATCH(I31,$A$2:$A$30,0)),0)),IF(J31="",0,IFERROR(INDEX($O$2:$O$30,MATCH(J31,$A$2:$A$30,0)),0))),""))</f>
        <v>271.37254901960785</v>
      </c>
      <c r="O31" s="11">
        <f>IF(M31="Skipped",N31,IF(OR(M31="Planned",M31="Complete"),N31+IF(K31=0,0,K31/L31),""))</f>
        <v>332.54901960784315</v>
      </c>
      <c r="P31" s="12">
        <f>IF(AND(M31="Planned",K31&gt;0),WORKDAY.INTL(Settings!$B$2-1,INT(N31+0.000000001)+1,Settings!$B$4,Holidays!$A$2:$A$101),"")</f>
        <v>46634</v>
      </c>
      <c r="Q31" s="12">
        <f>IF(AND(M31="Planned",K31&gt;0),WORKDAY.INTL(Settings!$B$2-1,MAX(1,ROUNDUP(O31-0.000000001,0)),Settings!$B$4,Holidays!$A$2:$A$101),"")</f>
        <v>46706</v>
      </c>
      <c r="R31" s="11">
        <f>IF(OR(M31="Planned",M31="Complete"),O31-N31,0)</f>
        <v>61.176470588235304</v>
      </c>
      <c r="S31" s="8" t="s">
        <v>165</v>
      </c>
      <c r="T31" s="8" t="s">
        <v>61</v>
      </c>
    </row>
    <row r="32" spans="1:20" ht="47" customHeight="1" x14ac:dyDescent="0.35">
      <c r="A32" s="8" t="s">
        <v>166</v>
      </c>
      <c r="B32" s="8" t="s">
        <v>167</v>
      </c>
      <c r="C32" s="8" t="s">
        <v>152</v>
      </c>
      <c r="D32" s="9">
        <f>1</f>
        <v>1</v>
      </c>
      <c r="E32" s="9">
        <f>22</f>
        <v>22</v>
      </c>
      <c r="F32" s="10">
        <f>0</f>
        <v>0</v>
      </c>
      <c r="G32" s="9" t="s">
        <v>159</v>
      </c>
      <c r="H32" s="9" t="s">
        <v>70</v>
      </c>
      <c r="I32" s="9"/>
      <c r="J32" s="9"/>
      <c r="K32" s="11">
        <f>IF(D32=0,0,IF(AND(ISNUMBER(E32),E32&gt;=0,ISNUMBER(F32),F32&gt;=0,F32&lt;=1),E32*(1-F32)*(1+Settings!$B$5),0))</f>
        <v>26.4</v>
      </c>
      <c r="L32" s="11">
        <f>IFERROR(INDEX(Settings!$B$10:$B$12,MATCH(C32,{"Core","Practice","Delivery"},0)),0)</f>
        <v>0.51</v>
      </c>
      <c r="M32" s="8" t="str">
        <f>IF(D32=0,"Skipped",IF(Settings!$B$15&lt;&gt;"Ready","Invalid settings",IF(OR(D32&lt;&gt;1,COUNTIF($A$2:$A$49,A32)&lt;&gt;1,NOT(ISNUMBER(E32)),E32&lt;0,NOT(ISNUMBER(F32)),F32&lt;0,F32&gt;1),"Invalid input",IF(F32=1,"Complete",IF(OR(L32&lt;=0,COUNTIFS($C$2:C31,C32,$M$2:M31,"Blocked*")+COUNTIFS($C$2:C31,C32,$M$2:M31,"Invalid*")&gt;0,AND(G32&lt;&gt;"",OR(IFERROR(INDEX($D$2:$D$31,MATCH(G32,$A$2:$A$31,0)),0)&lt;&gt;1,IFERROR(INDEX($M$2:$M$31,MATCH(G32,$A$2:$A$31,0)),"Blocked")="Blocked",LEFT(IFERROR(INDEX($M$2:$M$31,MATCH(G32,$A$2:$A$31,0)),"Invalid"),7)="Invalid")),AND(H32&lt;&gt;"",OR(IFERROR(INDEX($D$2:$D$31,MATCH(H32,$A$2:$A$31,0)),0)&lt;&gt;1,IFERROR(INDEX($M$2:$M$31,MATCH(H32,$A$2:$A$31,0)),"Blocked")="Blocked",LEFT(IFERROR(INDEX($M$2:$M$31,MATCH(H32,$A$2:$A$31,0)),"Invalid"),7)="Invalid")),AND(I32&lt;&gt;"",OR(IFERROR(INDEX($D$2:$D$31,MATCH(I32,$A$2:$A$31,0)),0)&lt;&gt;1,IFERROR(INDEX($M$2:$M$31,MATCH(I32,$A$2:$A$31,0)),"Blocked")="Blocked",LEFT(IFERROR(INDEX($M$2:$M$31,MATCH(I32,$A$2:$A$31,0)),"Invalid"),7)="Invalid")),AND(J32&lt;&gt;"",OR(IFERROR(INDEX($D$2:$D$31,MATCH(J32,$A$2:$A$31,0)),0)&lt;&gt;1,IFERROR(INDEX($M$2:$M$31,MATCH(J32,$A$2:$A$31,0)),"Blocked")="Blocked",LEFT(IFERROR(INDEX($M$2:$M$31,MATCH(J32,$A$2:$A$31,0)),"Invalid"),7)="Invalid"))),"Blocked","Planned")))))</f>
        <v>Planned</v>
      </c>
      <c r="N32" s="11">
        <f>IF(M32="Skipped",O31,IF(OR(M32="Planned",M32="Complete"),MAX(O31,IF(G32="",0,IFERROR(INDEX($O$2:$O$31,MATCH(G32,$A$2:$A$31,0)),0)),IF(H32="",0,IFERROR(INDEX($O$2:$O$31,MATCH(H32,$A$2:$A$31,0)),0)),IF(I32="",0,IFERROR(INDEX($O$2:$O$31,MATCH(I32,$A$2:$A$31,0)),0)),IF(J32="",0,IFERROR(INDEX($O$2:$O$31,MATCH(J32,$A$2:$A$31,0)),0))),""))</f>
        <v>332.54901960784315</v>
      </c>
      <c r="O32" s="11">
        <f>IF(M32="Skipped",N32,IF(OR(M32="Planned",M32="Complete"),N32+IF(K32=0,0,K32/L32),""))</f>
        <v>384.31372549019608</v>
      </c>
      <c r="P32" s="12">
        <f>IF(AND(M32="Planned",K32&gt;0),WORKDAY.INTL(Settings!$B$2-1,INT(N32+0.000000001)+1,Settings!$B$4,Holidays!$A$2:$A$101),"")</f>
        <v>46706</v>
      </c>
      <c r="Q32" s="12">
        <f>IF(AND(M32="Planned",K32&gt;0),WORKDAY.INTL(Settings!$B$2-1,MAX(1,ROUNDUP(O32-0.000000001,0)),Settings!$B$4,Holidays!$A$2:$A$101),"")</f>
        <v>46766</v>
      </c>
      <c r="R32" s="11">
        <f>IF(OR(M32="Planned",M32="Complete"),O32-N32,0)</f>
        <v>51.764705882352928</v>
      </c>
      <c r="S32" s="8" t="s">
        <v>168</v>
      </c>
      <c r="T32" s="8" t="s">
        <v>169</v>
      </c>
    </row>
    <row r="33" spans="1:20" ht="47" customHeight="1" x14ac:dyDescent="0.35">
      <c r="A33" s="8" t="s">
        <v>170</v>
      </c>
      <c r="B33" s="8" t="s">
        <v>171</v>
      </c>
      <c r="C33" s="8" t="s">
        <v>152</v>
      </c>
      <c r="D33" s="9">
        <f>1</f>
        <v>1</v>
      </c>
      <c r="E33" s="9">
        <f>20</f>
        <v>20</v>
      </c>
      <c r="F33" s="10">
        <f>0</f>
        <v>0</v>
      </c>
      <c r="G33" s="9" t="s">
        <v>155</v>
      </c>
      <c r="H33" s="9" t="s">
        <v>163</v>
      </c>
      <c r="I33" s="9" t="s">
        <v>166</v>
      </c>
      <c r="J33" s="9"/>
      <c r="K33" s="11">
        <f>IF(D33=0,0,IF(AND(ISNUMBER(E33),E33&gt;=0,ISNUMBER(F33),F33&gt;=0,F33&lt;=1),E33*(1-F33)*(1+Settings!$B$5),0))</f>
        <v>24</v>
      </c>
      <c r="L33" s="11">
        <f>IFERROR(INDEX(Settings!$B$10:$B$12,MATCH(C33,{"Core","Practice","Delivery"},0)),0)</f>
        <v>0.51</v>
      </c>
      <c r="M33" s="8" t="str">
        <f>IF(D33=0,"Skipped",IF(Settings!$B$15&lt;&gt;"Ready","Invalid settings",IF(OR(D33&lt;&gt;1,COUNTIF($A$2:$A$49,A33)&lt;&gt;1,NOT(ISNUMBER(E33)),E33&lt;0,NOT(ISNUMBER(F33)),F33&lt;0,F33&gt;1),"Invalid input",IF(F33=1,"Complete",IF(OR(L33&lt;=0,COUNTIFS($C$2:C32,C33,$M$2:M32,"Blocked*")+COUNTIFS($C$2:C32,C33,$M$2:M32,"Invalid*")&gt;0,AND(G33&lt;&gt;"",OR(IFERROR(INDEX($D$2:$D$32,MATCH(G33,$A$2:$A$32,0)),0)&lt;&gt;1,IFERROR(INDEX($M$2:$M$32,MATCH(G33,$A$2:$A$32,0)),"Blocked")="Blocked",LEFT(IFERROR(INDEX($M$2:$M$32,MATCH(G33,$A$2:$A$32,0)),"Invalid"),7)="Invalid")),AND(H33&lt;&gt;"",OR(IFERROR(INDEX($D$2:$D$32,MATCH(H33,$A$2:$A$32,0)),0)&lt;&gt;1,IFERROR(INDEX($M$2:$M$32,MATCH(H33,$A$2:$A$32,0)),"Blocked")="Blocked",LEFT(IFERROR(INDEX($M$2:$M$32,MATCH(H33,$A$2:$A$32,0)),"Invalid"),7)="Invalid")),AND(I33&lt;&gt;"",OR(IFERROR(INDEX($D$2:$D$32,MATCH(I33,$A$2:$A$32,0)),0)&lt;&gt;1,IFERROR(INDEX($M$2:$M$32,MATCH(I33,$A$2:$A$32,0)),"Blocked")="Blocked",LEFT(IFERROR(INDEX($M$2:$M$32,MATCH(I33,$A$2:$A$32,0)),"Invalid"),7)="Invalid")),AND(J33&lt;&gt;"",OR(IFERROR(INDEX($D$2:$D$32,MATCH(J33,$A$2:$A$32,0)),0)&lt;&gt;1,IFERROR(INDEX($M$2:$M$32,MATCH(J33,$A$2:$A$32,0)),"Blocked")="Blocked",LEFT(IFERROR(INDEX($M$2:$M$32,MATCH(J33,$A$2:$A$32,0)),"Invalid"),7)="Invalid"))),"Blocked","Planned")))))</f>
        <v>Planned</v>
      </c>
      <c r="N33" s="11">
        <f>IF(M33="Skipped",O32,IF(OR(M33="Planned",M33="Complete"),MAX(O32,IF(G33="",0,IFERROR(INDEX($O$2:$O$32,MATCH(G33,$A$2:$A$32,0)),0)),IF(H33="",0,IFERROR(INDEX($O$2:$O$32,MATCH(H33,$A$2:$A$32,0)),0)),IF(I33="",0,IFERROR(INDEX($O$2:$O$32,MATCH(I33,$A$2:$A$32,0)),0)),IF(J33="",0,IFERROR(INDEX($O$2:$O$32,MATCH(J33,$A$2:$A$32,0)),0))),""))</f>
        <v>384.31372549019608</v>
      </c>
      <c r="O33" s="11">
        <f>IF(M33="Skipped",N33,IF(OR(M33="Planned",M33="Complete"),N33+IF(K33=0,0,K33/L33),""))</f>
        <v>431.37254901960785</v>
      </c>
      <c r="P33" s="12">
        <f>IF(AND(M33="Planned",K33&gt;0),WORKDAY.INTL(Settings!$B$2-1,INT(N33+0.000000001)+1,Settings!$B$4,Holidays!$A$2:$A$101),"")</f>
        <v>46766</v>
      </c>
      <c r="Q33" s="12">
        <f>IF(AND(M33="Planned",K33&gt;0),WORKDAY.INTL(Settings!$B$2-1,MAX(1,ROUNDUP(O33-0.000000001,0)),Settings!$B$4,Holidays!$A$2:$A$101),"")</f>
        <v>46821</v>
      </c>
      <c r="R33" s="11">
        <f>IF(OR(M33="Planned",M33="Complete"),O33-N33,0)</f>
        <v>47.058823529411768</v>
      </c>
      <c r="S33" s="8" t="s">
        <v>172</v>
      </c>
      <c r="T33" s="8" t="s">
        <v>77</v>
      </c>
    </row>
    <row r="34" spans="1:20" ht="47" customHeight="1" x14ac:dyDescent="0.35">
      <c r="A34" s="8" t="s">
        <v>173</v>
      </c>
      <c r="B34" s="8" t="s">
        <v>174</v>
      </c>
      <c r="C34" s="8" t="s">
        <v>175</v>
      </c>
      <c r="D34" s="9">
        <f>1</f>
        <v>1</v>
      </c>
      <c r="E34" s="9">
        <f>10</f>
        <v>10</v>
      </c>
      <c r="F34" s="10">
        <f>0</f>
        <v>0</v>
      </c>
      <c r="G34" s="9" t="s">
        <v>53</v>
      </c>
      <c r="H34" s="9"/>
      <c r="I34" s="9"/>
      <c r="J34" s="9"/>
      <c r="K34" s="11">
        <f>IF(D34=0,0,IF(AND(ISNUMBER(E34),E34&gt;=0,ISNUMBER(F34),F34&gt;=0,F34&lt;=1),E34*(1-F34)*(1+Settings!$B$5),0))</f>
        <v>12</v>
      </c>
      <c r="L34" s="11">
        <f>IFERROR(INDEX(Settings!$B$10:$B$12,MATCH(C34,{"Core","Practice","Delivery"},0)),0)</f>
        <v>0.51</v>
      </c>
      <c r="M34" s="8" t="str">
        <f>IF(D34=0,"Skipped",IF(Settings!$B$15&lt;&gt;"Ready","Invalid settings",IF(OR(D34&lt;&gt;1,COUNTIF($A$2:$A$49,A34)&lt;&gt;1,NOT(ISNUMBER(E34)),E34&lt;0,NOT(ISNUMBER(F34)),F34&lt;0,F34&gt;1),"Invalid input",IF(F34=1,"Complete",IF(OR(L34&lt;=0,COUNTIFS($C$2:C33,C34,$M$2:M33,"Blocked*")+COUNTIFS($C$2:C33,C34,$M$2:M33,"Invalid*")&gt;0,AND(G34&lt;&gt;"",OR(IFERROR(INDEX($D$2:$D$33,MATCH(G34,$A$2:$A$33,0)),0)&lt;&gt;1,IFERROR(INDEX($M$2:$M$33,MATCH(G34,$A$2:$A$33,0)),"Blocked")="Blocked",LEFT(IFERROR(INDEX($M$2:$M$33,MATCH(G34,$A$2:$A$33,0)),"Invalid"),7)="Invalid")),AND(H34&lt;&gt;"",OR(IFERROR(INDEX($D$2:$D$33,MATCH(H34,$A$2:$A$33,0)),0)&lt;&gt;1,IFERROR(INDEX($M$2:$M$33,MATCH(H34,$A$2:$A$33,0)),"Blocked")="Blocked",LEFT(IFERROR(INDEX($M$2:$M$33,MATCH(H34,$A$2:$A$33,0)),"Invalid"),7)="Invalid")),AND(I34&lt;&gt;"",OR(IFERROR(INDEX($D$2:$D$33,MATCH(I34,$A$2:$A$33,0)),0)&lt;&gt;1,IFERROR(INDEX($M$2:$M$33,MATCH(I34,$A$2:$A$33,0)),"Blocked")="Blocked",LEFT(IFERROR(INDEX($M$2:$M$33,MATCH(I34,$A$2:$A$33,0)),"Invalid"),7)="Invalid")),AND(J34&lt;&gt;"",OR(IFERROR(INDEX($D$2:$D$33,MATCH(J34,$A$2:$A$33,0)),0)&lt;&gt;1,IFERROR(INDEX($M$2:$M$33,MATCH(J34,$A$2:$A$33,0)),"Blocked")="Blocked",LEFT(IFERROR(INDEX($M$2:$M$33,MATCH(J34,$A$2:$A$33,0)),"Invalid"),7)="Invalid"))),"Blocked","Planned")))))</f>
        <v>Planned</v>
      </c>
      <c r="N34" s="11">
        <f>IF(M34="Skipped",0,IF(OR(M34="Planned",M34="Complete"),MAX(0,IF(G34="",0,IFERROR(INDEX($O$2:$O$33,MATCH(G34,$A$2:$A$33,0)),0)),IF(H34="",0,IFERROR(INDEX($O$2:$O$33,MATCH(H34,$A$2:$A$33,0)),0)),IF(I34="",0,IFERROR(INDEX($O$2:$O$33,MATCH(I34,$A$2:$A$33,0)),0)),IF(J34="",0,IFERROR(INDEX($O$2:$O$33,MATCH(J34,$A$2:$A$33,0)),0))),""))</f>
        <v>3.1372549019607847</v>
      </c>
      <c r="O34" s="11">
        <f>IF(M34="Skipped",N34,IF(OR(M34="Planned",M34="Complete"),N34+IF(K34=0,0,K34/L34),""))</f>
        <v>26.666666666666664</v>
      </c>
      <c r="P34" s="12">
        <f>IF(AND(M34="Planned",K34&gt;0),WORKDAY.INTL(Settings!$B$2-1,INT(N34+0.000000001)+1,Settings!$B$4,Holidays!$A$2:$A$101),"")</f>
        <v>46322</v>
      </c>
      <c r="Q34" s="12">
        <f>IF(AND(M34="Planned",K34&gt;0),WORKDAY.INTL(Settings!$B$2-1,MAX(1,ROUNDUP(O34-0.000000001,0)),Settings!$B$4,Holidays!$A$2:$A$101),"")</f>
        <v>46349</v>
      </c>
      <c r="R34" s="11">
        <f>IF(OR(M34="Planned",M34="Complete"),O34-N34,0)</f>
        <v>23.52941176470588</v>
      </c>
      <c r="S34" s="8" t="s">
        <v>176</v>
      </c>
      <c r="T34" s="8" t="s">
        <v>177</v>
      </c>
    </row>
    <row r="35" spans="1:20" ht="47" customHeight="1" x14ac:dyDescent="0.35">
      <c r="A35" s="8" t="s">
        <v>178</v>
      </c>
      <c r="B35" s="8" t="s">
        <v>179</v>
      </c>
      <c r="C35" s="8" t="s">
        <v>175</v>
      </c>
      <c r="D35" s="9">
        <f>1</f>
        <v>1</v>
      </c>
      <c r="E35" s="9">
        <f>12</f>
        <v>12</v>
      </c>
      <c r="F35" s="10">
        <f>0</f>
        <v>0</v>
      </c>
      <c r="G35" s="9" t="s">
        <v>173</v>
      </c>
      <c r="H35" s="9"/>
      <c r="I35" s="9"/>
      <c r="J35" s="9"/>
      <c r="K35" s="11">
        <f>IF(D35=0,0,IF(AND(ISNUMBER(E35),E35&gt;=0,ISNUMBER(F35),F35&gt;=0,F35&lt;=1),E35*(1-F35)*(1+Settings!$B$5),0))</f>
        <v>14.399999999999999</v>
      </c>
      <c r="L35" s="11">
        <f>IFERROR(INDEX(Settings!$B$10:$B$12,MATCH(C35,{"Core","Practice","Delivery"},0)),0)</f>
        <v>0.51</v>
      </c>
      <c r="M35" s="8" t="str">
        <f>IF(D35=0,"Skipped",IF(Settings!$B$15&lt;&gt;"Ready","Invalid settings",IF(OR(D35&lt;&gt;1,COUNTIF($A$2:$A$49,A35)&lt;&gt;1,NOT(ISNUMBER(E35)),E35&lt;0,NOT(ISNUMBER(F35)),F35&lt;0,F35&gt;1),"Invalid input",IF(F35=1,"Complete",IF(OR(L35&lt;=0,COUNTIFS($C$2:C34,C35,$M$2:M34,"Blocked*")+COUNTIFS($C$2:C34,C35,$M$2:M34,"Invalid*")&gt;0,AND(G35&lt;&gt;"",OR(IFERROR(INDEX($D$2:$D$34,MATCH(G35,$A$2:$A$34,0)),0)&lt;&gt;1,IFERROR(INDEX($M$2:$M$34,MATCH(G35,$A$2:$A$34,0)),"Blocked")="Blocked",LEFT(IFERROR(INDEX($M$2:$M$34,MATCH(G35,$A$2:$A$34,0)),"Invalid"),7)="Invalid")),AND(H35&lt;&gt;"",OR(IFERROR(INDEX($D$2:$D$34,MATCH(H35,$A$2:$A$34,0)),0)&lt;&gt;1,IFERROR(INDEX($M$2:$M$34,MATCH(H35,$A$2:$A$34,0)),"Blocked")="Blocked",LEFT(IFERROR(INDEX($M$2:$M$34,MATCH(H35,$A$2:$A$34,0)),"Invalid"),7)="Invalid")),AND(I35&lt;&gt;"",OR(IFERROR(INDEX($D$2:$D$34,MATCH(I35,$A$2:$A$34,0)),0)&lt;&gt;1,IFERROR(INDEX($M$2:$M$34,MATCH(I35,$A$2:$A$34,0)),"Blocked")="Blocked",LEFT(IFERROR(INDEX($M$2:$M$34,MATCH(I35,$A$2:$A$34,0)),"Invalid"),7)="Invalid")),AND(J35&lt;&gt;"",OR(IFERROR(INDEX($D$2:$D$34,MATCH(J35,$A$2:$A$34,0)),0)&lt;&gt;1,IFERROR(INDEX($M$2:$M$34,MATCH(J35,$A$2:$A$34,0)),"Blocked")="Blocked",LEFT(IFERROR(INDEX($M$2:$M$34,MATCH(J35,$A$2:$A$34,0)),"Invalid"),7)="Invalid"))),"Blocked","Planned")))))</f>
        <v>Planned</v>
      </c>
      <c r="N35" s="11">
        <f>IF(M35="Skipped",O34,IF(OR(M35="Planned",M35="Complete"),MAX(O34,IF(G35="",0,IFERROR(INDEX($O$2:$O$34,MATCH(G35,$A$2:$A$34,0)),0)),IF(H35="",0,IFERROR(INDEX($O$2:$O$34,MATCH(H35,$A$2:$A$34,0)),0)),IF(I35="",0,IFERROR(INDEX($O$2:$O$34,MATCH(I35,$A$2:$A$34,0)),0)),IF(J35="",0,IFERROR(INDEX($O$2:$O$34,MATCH(J35,$A$2:$A$34,0)),0))),""))</f>
        <v>26.666666666666664</v>
      </c>
      <c r="O35" s="11">
        <f>IF(M35="Skipped",N35,IF(OR(M35="Planned",M35="Complete"),N35+IF(K35=0,0,K35/L35),""))</f>
        <v>54.901960784313715</v>
      </c>
      <c r="P35" s="12">
        <f>IF(AND(M35="Planned",K35&gt;0),WORKDAY.INTL(Settings!$B$2-1,INT(N35+0.000000001)+1,Settings!$B$4,Holidays!$A$2:$A$101),"")</f>
        <v>46349</v>
      </c>
      <c r="Q35" s="12">
        <f>IF(AND(M35="Planned",K35&gt;0),WORKDAY.INTL(Settings!$B$2-1,MAX(1,ROUNDUP(O35-0.000000001,0)),Settings!$B$4,Holidays!$A$2:$A$101),"")</f>
        <v>46381</v>
      </c>
      <c r="R35" s="11">
        <f>IF(OR(M35="Planned",M35="Complete"),O35-N35,0)</f>
        <v>28.235294117647051</v>
      </c>
      <c r="S35" s="8" t="s">
        <v>180</v>
      </c>
      <c r="T35" s="8" t="s">
        <v>57</v>
      </c>
    </row>
    <row r="36" spans="1:20" ht="47" customHeight="1" x14ac:dyDescent="0.35">
      <c r="A36" s="8" t="s">
        <v>181</v>
      </c>
      <c r="B36" s="8" t="s">
        <v>182</v>
      </c>
      <c r="C36" s="8" t="s">
        <v>175</v>
      </c>
      <c r="D36" s="9">
        <f>1</f>
        <v>1</v>
      </c>
      <c r="E36" s="9">
        <f>12</f>
        <v>12</v>
      </c>
      <c r="F36" s="10">
        <f>0</f>
        <v>0</v>
      </c>
      <c r="G36" s="9" t="s">
        <v>178</v>
      </c>
      <c r="H36" s="9"/>
      <c r="I36" s="9"/>
      <c r="J36" s="9"/>
      <c r="K36" s="11">
        <f>IF(D36=0,0,IF(AND(ISNUMBER(E36),E36&gt;=0,ISNUMBER(F36),F36&gt;=0,F36&lt;=1),E36*(1-F36)*(1+Settings!$B$5),0))</f>
        <v>14.399999999999999</v>
      </c>
      <c r="L36" s="11">
        <f>IFERROR(INDEX(Settings!$B$10:$B$12,MATCH(C36,{"Core","Practice","Delivery"},0)),0)</f>
        <v>0.51</v>
      </c>
      <c r="M36" s="8" t="str">
        <f>IF(D36=0,"Skipped",IF(Settings!$B$15&lt;&gt;"Ready","Invalid settings",IF(OR(D36&lt;&gt;1,COUNTIF($A$2:$A$49,A36)&lt;&gt;1,NOT(ISNUMBER(E36)),E36&lt;0,NOT(ISNUMBER(F36)),F36&lt;0,F36&gt;1),"Invalid input",IF(F36=1,"Complete",IF(OR(L36&lt;=0,COUNTIFS($C$2:C35,C36,$M$2:M35,"Blocked*")+COUNTIFS($C$2:C35,C36,$M$2:M35,"Invalid*")&gt;0,AND(G36&lt;&gt;"",OR(IFERROR(INDEX($D$2:$D$35,MATCH(G36,$A$2:$A$35,0)),0)&lt;&gt;1,IFERROR(INDEX($M$2:$M$35,MATCH(G36,$A$2:$A$35,0)),"Blocked")="Blocked",LEFT(IFERROR(INDEX($M$2:$M$35,MATCH(G36,$A$2:$A$35,0)),"Invalid"),7)="Invalid")),AND(H36&lt;&gt;"",OR(IFERROR(INDEX($D$2:$D$35,MATCH(H36,$A$2:$A$35,0)),0)&lt;&gt;1,IFERROR(INDEX($M$2:$M$35,MATCH(H36,$A$2:$A$35,0)),"Blocked")="Blocked",LEFT(IFERROR(INDEX($M$2:$M$35,MATCH(H36,$A$2:$A$35,0)),"Invalid"),7)="Invalid")),AND(I36&lt;&gt;"",OR(IFERROR(INDEX($D$2:$D$35,MATCH(I36,$A$2:$A$35,0)),0)&lt;&gt;1,IFERROR(INDEX($M$2:$M$35,MATCH(I36,$A$2:$A$35,0)),"Blocked")="Blocked",LEFT(IFERROR(INDEX($M$2:$M$35,MATCH(I36,$A$2:$A$35,0)),"Invalid"),7)="Invalid")),AND(J36&lt;&gt;"",OR(IFERROR(INDEX($D$2:$D$35,MATCH(J36,$A$2:$A$35,0)),0)&lt;&gt;1,IFERROR(INDEX($M$2:$M$35,MATCH(J36,$A$2:$A$35,0)),"Blocked")="Blocked",LEFT(IFERROR(INDEX($M$2:$M$35,MATCH(J36,$A$2:$A$35,0)),"Invalid"),7)="Invalid"))),"Blocked","Planned")))))</f>
        <v>Planned</v>
      </c>
      <c r="N36" s="11">
        <f>IF(M36="Skipped",O35,IF(OR(M36="Planned",M36="Complete"),MAX(O35,IF(G36="",0,IFERROR(INDEX($O$2:$O$35,MATCH(G36,$A$2:$A$35,0)),0)),IF(H36="",0,IFERROR(INDEX($O$2:$O$35,MATCH(H36,$A$2:$A$35,0)),0)),IF(I36="",0,IFERROR(INDEX($O$2:$O$35,MATCH(I36,$A$2:$A$35,0)),0)),IF(J36="",0,IFERROR(INDEX($O$2:$O$35,MATCH(J36,$A$2:$A$35,0)),0))),""))</f>
        <v>54.901960784313715</v>
      </c>
      <c r="O36" s="11">
        <f>IF(M36="Skipped",N36,IF(OR(M36="Planned",M36="Complete"),N36+IF(K36=0,0,K36/L36),""))</f>
        <v>83.137254901960773</v>
      </c>
      <c r="P36" s="12">
        <f>IF(AND(M36="Planned",K36&gt;0),WORKDAY.INTL(Settings!$B$2-1,INT(N36+0.000000001)+1,Settings!$B$4,Holidays!$A$2:$A$101),"")</f>
        <v>46381</v>
      </c>
      <c r="Q36" s="12">
        <f>IF(AND(M36="Planned",K36&gt;0),WORKDAY.INTL(Settings!$B$2-1,MAX(1,ROUNDUP(O36-0.000000001,0)),Settings!$B$4,Holidays!$A$2:$A$101),"")</f>
        <v>46415</v>
      </c>
      <c r="R36" s="11">
        <f>IF(OR(M36="Planned",M36="Complete"),O36-N36,0)</f>
        <v>28.235294117647058</v>
      </c>
      <c r="S36" s="8" t="s">
        <v>183</v>
      </c>
      <c r="T36" s="8" t="s">
        <v>184</v>
      </c>
    </row>
    <row r="37" spans="1:20" ht="47" customHeight="1" x14ac:dyDescent="0.35">
      <c r="A37" s="8" t="s">
        <v>185</v>
      </c>
      <c r="B37" s="8" t="s">
        <v>186</v>
      </c>
      <c r="C37" s="8" t="s">
        <v>175</v>
      </c>
      <c r="D37" s="9">
        <f>1</f>
        <v>1</v>
      </c>
      <c r="E37" s="9">
        <f>14</f>
        <v>14</v>
      </c>
      <c r="F37" s="10">
        <f>0</f>
        <v>0</v>
      </c>
      <c r="G37" s="9" t="s">
        <v>82</v>
      </c>
      <c r="H37" s="9" t="s">
        <v>181</v>
      </c>
      <c r="I37" s="9"/>
      <c r="J37" s="9"/>
      <c r="K37" s="11">
        <f>IF(D37=0,0,IF(AND(ISNUMBER(E37),E37&gt;=0,ISNUMBER(F37),F37&gt;=0,F37&lt;=1),E37*(1-F37)*(1+Settings!$B$5),0))</f>
        <v>16.8</v>
      </c>
      <c r="L37" s="11">
        <f>IFERROR(INDEX(Settings!$B$10:$B$12,MATCH(C37,{"Core","Practice","Delivery"},0)),0)</f>
        <v>0.51</v>
      </c>
      <c r="M37" s="8" t="str">
        <f>IF(D37=0,"Skipped",IF(Settings!$B$15&lt;&gt;"Ready","Invalid settings",IF(OR(D37&lt;&gt;1,COUNTIF($A$2:$A$49,A37)&lt;&gt;1,NOT(ISNUMBER(E37)),E37&lt;0,NOT(ISNUMBER(F37)),F37&lt;0,F37&gt;1),"Invalid input",IF(F37=1,"Complete",IF(OR(L37&lt;=0,COUNTIFS($C$2:C36,C37,$M$2:M36,"Blocked*")+COUNTIFS($C$2:C36,C37,$M$2:M36,"Invalid*")&gt;0,AND(G37&lt;&gt;"",OR(IFERROR(INDEX($D$2:$D$36,MATCH(G37,$A$2:$A$36,0)),0)&lt;&gt;1,IFERROR(INDEX($M$2:$M$36,MATCH(G37,$A$2:$A$36,0)),"Blocked")="Blocked",LEFT(IFERROR(INDEX($M$2:$M$36,MATCH(G37,$A$2:$A$36,0)),"Invalid"),7)="Invalid")),AND(H37&lt;&gt;"",OR(IFERROR(INDEX($D$2:$D$36,MATCH(H37,$A$2:$A$36,0)),0)&lt;&gt;1,IFERROR(INDEX($M$2:$M$36,MATCH(H37,$A$2:$A$36,0)),"Blocked")="Blocked",LEFT(IFERROR(INDEX($M$2:$M$36,MATCH(H37,$A$2:$A$36,0)),"Invalid"),7)="Invalid")),AND(I37&lt;&gt;"",OR(IFERROR(INDEX($D$2:$D$36,MATCH(I37,$A$2:$A$36,0)),0)&lt;&gt;1,IFERROR(INDEX($M$2:$M$36,MATCH(I37,$A$2:$A$36,0)),"Blocked")="Blocked",LEFT(IFERROR(INDEX($M$2:$M$36,MATCH(I37,$A$2:$A$36,0)),"Invalid"),7)="Invalid")),AND(J37&lt;&gt;"",OR(IFERROR(INDEX($D$2:$D$36,MATCH(J37,$A$2:$A$36,0)),0)&lt;&gt;1,IFERROR(INDEX($M$2:$M$36,MATCH(J37,$A$2:$A$36,0)),"Blocked")="Blocked",LEFT(IFERROR(INDEX($M$2:$M$36,MATCH(J37,$A$2:$A$36,0)),"Invalid"),7)="Invalid"))),"Blocked","Planned")))))</f>
        <v>Planned</v>
      </c>
      <c r="N37" s="11">
        <f>IF(M37="Skipped",O36,IF(OR(M37="Planned",M37="Complete"),MAX(O36,IF(G37="",0,IFERROR(INDEX($O$2:$O$36,MATCH(G37,$A$2:$A$36,0)),0)),IF(H37="",0,IFERROR(INDEX($O$2:$O$36,MATCH(H37,$A$2:$A$36,0)),0)),IF(I37="",0,IFERROR(INDEX($O$2:$O$36,MATCH(I37,$A$2:$A$36,0)),0)),IF(J37="",0,IFERROR(INDEX($O$2:$O$36,MATCH(J37,$A$2:$A$36,0)),0))),""))</f>
        <v>153.72549019607845</v>
      </c>
      <c r="O37" s="11">
        <f>IF(M37="Skipped",N37,IF(OR(M37="Planned",M37="Complete"),N37+IF(K37=0,0,K37/L37),""))</f>
        <v>186.66666666666669</v>
      </c>
      <c r="P37" s="12">
        <f>IF(AND(M37="Planned",K37&gt;0),WORKDAY.INTL(Settings!$B$2-1,INT(N37+0.000000001)+1,Settings!$B$4,Holidays!$A$2:$A$101),"")</f>
        <v>46497</v>
      </c>
      <c r="Q37" s="12">
        <f>IF(AND(M37="Planned",K37&gt;0),WORKDAY.INTL(Settings!$B$2-1,MAX(1,ROUNDUP(O37-0.000000001,0)),Settings!$B$4,Holidays!$A$2:$A$101),"")</f>
        <v>46535</v>
      </c>
      <c r="R37" s="11">
        <f>IF(OR(M37="Planned",M37="Complete"),O37-N37,0)</f>
        <v>32.941176470588232</v>
      </c>
      <c r="S37" s="8" t="s">
        <v>187</v>
      </c>
      <c r="T37" s="8" t="s">
        <v>77</v>
      </c>
    </row>
    <row r="38" spans="1:20" ht="47" customHeight="1" x14ac:dyDescent="0.35">
      <c r="A38" s="8" t="s">
        <v>188</v>
      </c>
      <c r="B38" s="8" t="s">
        <v>189</v>
      </c>
      <c r="C38" s="8" t="s">
        <v>175</v>
      </c>
      <c r="D38" s="9">
        <f>1</f>
        <v>1</v>
      </c>
      <c r="E38" s="9">
        <f>28</f>
        <v>28</v>
      </c>
      <c r="F38" s="10">
        <f>0</f>
        <v>0</v>
      </c>
      <c r="G38" s="9" t="s">
        <v>78</v>
      </c>
      <c r="H38" s="9" t="s">
        <v>185</v>
      </c>
      <c r="I38" s="9"/>
      <c r="J38" s="9"/>
      <c r="K38" s="11">
        <f>IF(D38=0,0,IF(AND(ISNUMBER(E38),E38&gt;=0,ISNUMBER(F38),F38&gt;=0,F38&lt;=1),E38*(1-F38)*(1+Settings!$B$5),0))</f>
        <v>33.6</v>
      </c>
      <c r="L38" s="11">
        <f>IFERROR(INDEX(Settings!$B$10:$B$12,MATCH(C38,{"Core","Practice","Delivery"},0)),0)</f>
        <v>0.51</v>
      </c>
      <c r="M38" s="8" t="str">
        <f>IF(D38=0,"Skipped",IF(Settings!$B$15&lt;&gt;"Ready","Invalid settings",IF(OR(D38&lt;&gt;1,COUNTIF($A$2:$A$49,A38)&lt;&gt;1,NOT(ISNUMBER(E38)),E38&lt;0,NOT(ISNUMBER(F38)),F38&lt;0,F38&gt;1),"Invalid input",IF(F38=1,"Complete",IF(OR(L38&lt;=0,COUNTIFS($C$2:C37,C38,$M$2:M37,"Blocked*")+COUNTIFS($C$2:C37,C38,$M$2:M37,"Invalid*")&gt;0,AND(G38&lt;&gt;"",OR(IFERROR(INDEX($D$2:$D$37,MATCH(G38,$A$2:$A$37,0)),0)&lt;&gt;1,IFERROR(INDEX($M$2:$M$37,MATCH(G38,$A$2:$A$37,0)),"Blocked")="Blocked",LEFT(IFERROR(INDEX($M$2:$M$37,MATCH(G38,$A$2:$A$37,0)),"Invalid"),7)="Invalid")),AND(H38&lt;&gt;"",OR(IFERROR(INDEX($D$2:$D$37,MATCH(H38,$A$2:$A$37,0)),0)&lt;&gt;1,IFERROR(INDEX($M$2:$M$37,MATCH(H38,$A$2:$A$37,0)),"Blocked")="Blocked",LEFT(IFERROR(INDEX($M$2:$M$37,MATCH(H38,$A$2:$A$37,0)),"Invalid"),7)="Invalid")),AND(I38&lt;&gt;"",OR(IFERROR(INDEX($D$2:$D$37,MATCH(I38,$A$2:$A$37,0)),0)&lt;&gt;1,IFERROR(INDEX($M$2:$M$37,MATCH(I38,$A$2:$A$37,0)),"Blocked")="Blocked",LEFT(IFERROR(INDEX($M$2:$M$37,MATCH(I38,$A$2:$A$37,0)),"Invalid"),7)="Invalid")),AND(J38&lt;&gt;"",OR(IFERROR(INDEX($D$2:$D$37,MATCH(J38,$A$2:$A$37,0)),0)&lt;&gt;1,IFERROR(INDEX($M$2:$M$37,MATCH(J38,$A$2:$A$37,0)),"Blocked")="Blocked",LEFT(IFERROR(INDEX($M$2:$M$37,MATCH(J38,$A$2:$A$37,0)),"Invalid"),7)="Invalid"))),"Blocked","Planned")))))</f>
        <v>Planned</v>
      </c>
      <c r="N38" s="11">
        <f>IF(M38="Skipped",O37,IF(OR(M38="Planned",M38="Complete"),MAX(O37,IF(G38="",0,IFERROR(INDEX($O$2:$O$37,MATCH(G38,$A$2:$A$37,0)),0)),IF(H38="",0,IFERROR(INDEX($O$2:$O$37,MATCH(H38,$A$2:$A$37,0)),0)),IF(I38="",0,IFERROR(INDEX($O$2:$O$37,MATCH(I38,$A$2:$A$37,0)),0)),IF(J38="",0,IFERROR(INDEX($O$2:$O$37,MATCH(J38,$A$2:$A$37,0)),0))),""))</f>
        <v>186.66666666666669</v>
      </c>
      <c r="O38" s="11">
        <f>IF(M38="Skipped",N38,IF(OR(M38="Planned",M38="Complete"),N38+IF(K38=0,0,K38/L38),""))</f>
        <v>252.54901960784315</v>
      </c>
      <c r="P38" s="12">
        <f>IF(AND(M38="Planned",K38&gt;0),WORKDAY.INTL(Settings!$B$2-1,INT(N38+0.000000001)+1,Settings!$B$4,Holidays!$A$2:$A$101),"")</f>
        <v>46535</v>
      </c>
      <c r="Q38" s="12">
        <f>IF(AND(M38="Planned",K38&gt;0),WORKDAY.INTL(Settings!$B$2-1,MAX(1,ROUNDUP(O38-0.000000001,0)),Settings!$B$4,Holidays!$A$2:$A$101),"")</f>
        <v>46612</v>
      </c>
      <c r="R38" s="11">
        <f>IF(OR(M38="Planned",M38="Complete"),O38-N38,0)</f>
        <v>65.882352941176464</v>
      </c>
      <c r="S38" s="8" t="s">
        <v>190</v>
      </c>
      <c r="T38" s="8" t="s">
        <v>191</v>
      </c>
    </row>
    <row r="39" spans="1:20" ht="47" customHeight="1" x14ac:dyDescent="0.35">
      <c r="A39" s="8" t="s">
        <v>192</v>
      </c>
      <c r="B39" s="8" t="s">
        <v>193</v>
      </c>
      <c r="C39" s="8" t="s">
        <v>175</v>
      </c>
      <c r="D39" s="9">
        <f>1</f>
        <v>1</v>
      </c>
      <c r="E39" s="9">
        <f>24</f>
        <v>24</v>
      </c>
      <c r="F39" s="10">
        <f>0</f>
        <v>0</v>
      </c>
      <c r="G39" s="9" t="s">
        <v>115</v>
      </c>
      <c r="H39" s="9" t="s">
        <v>188</v>
      </c>
      <c r="I39" s="9"/>
      <c r="J39" s="9"/>
      <c r="K39" s="11">
        <f>IF(D39=0,0,IF(AND(ISNUMBER(E39),E39&gt;=0,ISNUMBER(F39),F39&gt;=0,F39&lt;=1),E39*(1-F39)*(1+Settings!$B$5),0))</f>
        <v>28.799999999999997</v>
      </c>
      <c r="L39" s="11">
        <f>IFERROR(INDEX(Settings!$B$10:$B$12,MATCH(C39,{"Core","Practice","Delivery"},0)),0)</f>
        <v>0.51</v>
      </c>
      <c r="M39" s="8" t="str">
        <f>IF(D39=0,"Skipped",IF(Settings!$B$15&lt;&gt;"Ready","Invalid settings",IF(OR(D39&lt;&gt;1,COUNTIF($A$2:$A$49,A39)&lt;&gt;1,NOT(ISNUMBER(E39)),E39&lt;0,NOT(ISNUMBER(F39)),F39&lt;0,F39&gt;1),"Invalid input",IF(F39=1,"Complete",IF(OR(L39&lt;=0,COUNTIFS($C$2:C38,C39,$M$2:M38,"Blocked*")+COUNTIFS($C$2:C38,C39,$M$2:M38,"Invalid*")&gt;0,AND(G39&lt;&gt;"",OR(IFERROR(INDEX($D$2:$D$38,MATCH(G39,$A$2:$A$38,0)),0)&lt;&gt;1,IFERROR(INDEX($M$2:$M$38,MATCH(G39,$A$2:$A$38,0)),"Blocked")="Blocked",LEFT(IFERROR(INDEX($M$2:$M$38,MATCH(G39,$A$2:$A$38,0)),"Invalid"),7)="Invalid")),AND(H39&lt;&gt;"",OR(IFERROR(INDEX($D$2:$D$38,MATCH(H39,$A$2:$A$38,0)),0)&lt;&gt;1,IFERROR(INDEX($M$2:$M$38,MATCH(H39,$A$2:$A$38,0)),"Blocked")="Blocked",LEFT(IFERROR(INDEX($M$2:$M$38,MATCH(H39,$A$2:$A$38,0)),"Invalid"),7)="Invalid")),AND(I39&lt;&gt;"",OR(IFERROR(INDEX($D$2:$D$38,MATCH(I39,$A$2:$A$38,0)),0)&lt;&gt;1,IFERROR(INDEX($M$2:$M$38,MATCH(I39,$A$2:$A$38,0)),"Blocked")="Blocked",LEFT(IFERROR(INDEX($M$2:$M$38,MATCH(I39,$A$2:$A$38,0)),"Invalid"),7)="Invalid")),AND(J39&lt;&gt;"",OR(IFERROR(INDEX($D$2:$D$38,MATCH(J39,$A$2:$A$38,0)),0)&lt;&gt;1,IFERROR(INDEX($M$2:$M$38,MATCH(J39,$A$2:$A$38,0)),"Blocked")="Blocked",LEFT(IFERROR(INDEX($M$2:$M$38,MATCH(J39,$A$2:$A$38,0)),"Invalid"),7)="Invalid"))),"Blocked","Planned")))))</f>
        <v>Planned</v>
      </c>
      <c r="N39" s="11">
        <f>IF(M39="Skipped",O38,IF(OR(M39="Planned",M39="Complete"),MAX(O38,IF(G39="",0,IFERROR(INDEX($O$2:$O$38,MATCH(G39,$A$2:$A$38,0)),0)),IF(H39="",0,IFERROR(INDEX($O$2:$O$38,MATCH(H39,$A$2:$A$38,0)),0)),IF(I39="",0,IFERROR(INDEX($O$2:$O$38,MATCH(I39,$A$2:$A$38,0)),0)),IF(J39="",0,IFERROR(INDEX($O$2:$O$38,MATCH(J39,$A$2:$A$38,0)),0))),""))</f>
        <v>320</v>
      </c>
      <c r="O39" s="11">
        <f>IF(M39="Skipped",N39,IF(OR(M39="Planned",M39="Complete"),N39+IF(K39=0,0,K39/L39),""))</f>
        <v>376.47058823529409</v>
      </c>
      <c r="P39" s="12">
        <f>IF(AND(M39="Planned",K39&gt;0),WORKDAY.INTL(Settings!$B$2-1,INT(N39+0.000000001)+1,Settings!$B$4,Holidays!$A$2:$A$101),"")</f>
        <v>46692</v>
      </c>
      <c r="Q39" s="12">
        <f>IF(AND(M39="Planned",K39&gt;0),WORKDAY.INTL(Settings!$B$2-1,MAX(1,ROUNDUP(O39-0.000000001,0)),Settings!$B$4,Holidays!$A$2:$A$101),"")</f>
        <v>46757</v>
      </c>
      <c r="R39" s="11">
        <f>IF(OR(M39="Planned",M39="Complete"),O39-N39,0)</f>
        <v>56.470588235294088</v>
      </c>
      <c r="S39" s="8" t="s">
        <v>194</v>
      </c>
      <c r="T39" s="8" t="s">
        <v>118</v>
      </c>
    </row>
    <row r="40" spans="1:20" ht="47" customHeight="1" x14ac:dyDescent="0.35">
      <c r="A40" s="8" t="s">
        <v>195</v>
      </c>
      <c r="B40" s="8" t="s">
        <v>196</v>
      </c>
      <c r="C40" s="8" t="s">
        <v>175</v>
      </c>
      <c r="D40" s="9">
        <f>1</f>
        <v>1</v>
      </c>
      <c r="E40" s="9">
        <f>16</f>
        <v>16</v>
      </c>
      <c r="F40" s="10">
        <f>0</f>
        <v>0</v>
      </c>
      <c r="G40" s="9" t="s">
        <v>127</v>
      </c>
      <c r="H40" s="9" t="s">
        <v>192</v>
      </c>
      <c r="I40" s="9" t="s">
        <v>181</v>
      </c>
      <c r="J40" s="9"/>
      <c r="K40" s="11">
        <f>IF(D40=0,0,IF(AND(ISNUMBER(E40),E40&gt;=0,ISNUMBER(F40),F40&gt;=0,F40&lt;=1),E40*(1-F40)*(1+Settings!$B$5),0))</f>
        <v>19.2</v>
      </c>
      <c r="L40" s="11">
        <f>IFERROR(INDEX(Settings!$B$10:$B$12,MATCH(C40,{"Core","Practice","Delivery"},0)),0)</f>
        <v>0.51</v>
      </c>
      <c r="M40" s="8" t="str">
        <f>IF(D40=0,"Skipped",IF(Settings!$B$15&lt;&gt;"Ready","Invalid settings",IF(OR(D40&lt;&gt;1,COUNTIF($A$2:$A$49,A40)&lt;&gt;1,NOT(ISNUMBER(E40)),E40&lt;0,NOT(ISNUMBER(F40)),F40&lt;0,F40&gt;1),"Invalid input",IF(F40=1,"Complete",IF(OR(L40&lt;=0,COUNTIFS($C$2:C39,C40,$M$2:M39,"Blocked*")+COUNTIFS($C$2:C39,C40,$M$2:M39,"Invalid*")&gt;0,AND(G40&lt;&gt;"",OR(IFERROR(INDEX($D$2:$D$39,MATCH(G40,$A$2:$A$39,0)),0)&lt;&gt;1,IFERROR(INDEX($M$2:$M$39,MATCH(G40,$A$2:$A$39,0)),"Blocked")="Blocked",LEFT(IFERROR(INDEX($M$2:$M$39,MATCH(G40,$A$2:$A$39,0)),"Invalid"),7)="Invalid")),AND(H40&lt;&gt;"",OR(IFERROR(INDEX($D$2:$D$39,MATCH(H40,$A$2:$A$39,0)),0)&lt;&gt;1,IFERROR(INDEX($M$2:$M$39,MATCH(H40,$A$2:$A$39,0)),"Blocked")="Blocked",LEFT(IFERROR(INDEX($M$2:$M$39,MATCH(H40,$A$2:$A$39,0)),"Invalid"),7)="Invalid")),AND(I40&lt;&gt;"",OR(IFERROR(INDEX($D$2:$D$39,MATCH(I40,$A$2:$A$39,0)),0)&lt;&gt;1,IFERROR(INDEX($M$2:$M$39,MATCH(I40,$A$2:$A$39,0)),"Blocked")="Blocked",LEFT(IFERROR(INDEX($M$2:$M$39,MATCH(I40,$A$2:$A$39,0)),"Invalid"),7)="Invalid")),AND(J40&lt;&gt;"",OR(IFERROR(INDEX($D$2:$D$39,MATCH(J40,$A$2:$A$39,0)),0)&lt;&gt;1,IFERROR(INDEX($M$2:$M$39,MATCH(J40,$A$2:$A$39,0)),"Blocked")="Blocked",LEFT(IFERROR(INDEX($M$2:$M$39,MATCH(J40,$A$2:$A$39,0)),"Invalid"),7)="Invalid"))),"Blocked","Planned")))))</f>
        <v>Planned</v>
      </c>
      <c r="N40" s="11">
        <f>IF(M40="Skipped",O39,IF(OR(M40="Planned",M40="Complete"),MAX(O39,IF(G40="",0,IFERROR(INDEX($O$2:$O$39,MATCH(G40,$A$2:$A$39,0)),0)),IF(H40="",0,IFERROR(INDEX($O$2:$O$39,MATCH(H40,$A$2:$A$39,0)),0)),IF(I40="",0,IFERROR(INDEX($O$2:$O$39,MATCH(I40,$A$2:$A$39,0)),0)),IF(J40="",0,IFERROR(INDEX($O$2:$O$39,MATCH(J40,$A$2:$A$39,0)),0))),""))</f>
        <v>378.03921568627447</v>
      </c>
      <c r="O40" s="11">
        <f>IF(M40="Skipped",N40,IF(OR(M40="Planned",M40="Complete"),N40+IF(K40=0,0,K40/L40),""))</f>
        <v>415.68627450980387</v>
      </c>
      <c r="P40" s="12">
        <f>IF(AND(M40="Planned",K40&gt;0),WORKDAY.INTL(Settings!$B$2-1,INT(N40+0.000000001)+1,Settings!$B$4,Holidays!$A$2:$A$101),"")</f>
        <v>46759</v>
      </c>
      <c r="Q40" s="12">
        <f>IF(AND(M40="Planned",K40&gt;0),WORKDAY.INTL(Settings!$B$2-1,MAX(1,ROUNDUP(O40-0.000000001,0)),Settings!$B$4,Holidays!$A$2:$A$101),"")</f>
        <v>46802</v>
      </c>
      <c r="R40" s="11">
        <f>IF(OR(M40="Planned",M40="Complete"),O40-N40,0)</f>
        <v>37.647058823529392</v>
      </c>
      <c r="S40" s="8" t="s">
        <v>197</v>
      </c>
      <c r="T40" s="8" t="s">
        <v>122</v>
      </c>
    </row>
    <row r="41" spans="1:20" ht="47" customHeight="1" x14ac:dyDescent="0.35">
      <c r="A41" s="8" t="s">
        <v>198</v>
      </c>
      <c r="B41" s="8" t="s">
        <v>199</v>
      </c>
      <c r="C41" s="8" t="s">
        <v>175</v>
      </c>
      <c r="D41" s="9">
        <f>1</f>
        <v>1</v>
      </c>
      <c r="E41" s="9">
        <f>20</f>
        <v>20</v>
      </c>
      <c r="F41" s="10">
        <f>0</f>
        <v>0</v>
      </c>
      <c r="G41" s="9" t="s">
        <v>146</v>
      </c>
      <c r="H41" s="9" t="s">
        <v>195</v>
      </c>
      <c r="I41" s="9"/>
      <c r="J41" s="9"/>
      <c r="K41" s="11">
        <f>IF(D41=0,0,IF(AND(ISNUMBER(E41),E41&gt;=0,ISNUMBER(F41),F41&gt;=0,F41&lt;=1),E41*(1-F41)*(1+Settings!$B$5),0))</f>
        <v>24</v>
      </c>
      <c r="L41" s="11">
        <f>IFERROR(INDEX(Settings!$B$10:$B$12,MATCH(C41,{"Core","Practice","Delivery"},0)),0)</f>
        <v>0.51</v>
      </c>
      <c r="M41" s="8" t="str">
        <f>IF(D41=0,"Skipped",IF(Settings!$B$15&lt;&gt;"Ready","Invalid settings",IF(OR(D41&lt;&gt;1,COUNTIF($A$2:$A$49,A41)&lt;&gt;1,NOT(ISNUMBER(E41)),E41&lt;0,NOT(ISNUMBER(F41)),F41&lt;0,F41&gt;1),"Invalid input",IF(F41=1,"Complete",IF(OR(L41&lt;=0,COUNTIFS($C$2:C40,C41,$M$2:M40,"Blocked*")+COUNTIFS($C$2:C40,C41,$M$2:M40,"Invalid*")&gt;0,AND(G41&lt;&gt;"",OR(IFERROR(INDEX($D$2:$D$40,MATCH(G41,$A$2:$A$40,0)),0)&lt;&gt;1,IFERROR(INDEX($M$2:$M$40,MATCH(G41,$A$2:$A$40,0)),"Blocked")="Blocked",LEFT(IFERROR(INDEX($M$2:$M$40,MATCH(G41,$A$2:$A$40,0)),"Invalid"),7)="Invalid")),AND(H41&lt;&gt;"",OR(IFERROR(INDEX($D$2:$D$40,MATCH(H41,$A$2:$A$40,0)),0)&lt;&gt;1,IFERROR(INDEX($M$2:$M$40,MATCH(H41,$A$2:$A$40,0)),"Blocked")="Blocked",LEFT(IFERROR(INDEX($M$2:$M$40,MATCH(H41,$A$2:$A$40,0)),"Invalid"),7)="Invalid")),AND(I41&lt;&gt;"",OR(IFERROR(INDEX($D$2:$D$40,MATCH(I41,$A$2:$A$40,0)),0)&lt;&gt;1,IFERROR(INDEX($M$2:$M$40,MATCH(I41,$A$2:$A$40,0)),"Blocked")="Blocked",LEFT(IFERROR(INDEX($M$2:$M$40,MATCH(I41,$A$2:$A$40,0)),"Invalid"),7)="Invalid")),AND(J41&lt;&gt;"",OR(IFERROR(INDEX($D$2:$D$40,MATCH(J41,$A$2:$A$40,0)),0)&lt;&gt;1,IFERROR(INDEX($M$2:$M$40,MATCH(J41,$A$2:$A$40,0)),"Blocked")="Blocked",LEFT(IFERROR(INDEX($M$2:$M$40,MATCH(J41,$A$2:$A$40,0)),"Invalid"),7)="Invalid"))),"Blocked","Planned")))))</f>
        <v>Planned</v>
      </c>
      <c r="N41" s="11">
        <f>IF(M41="Skipped",O40,IF(OR(M41="Planned",M41="Complete"),MAX(O40,IF(G41="",0,IFERROR(INDEX($O$2:$O$40,MATCH(G41,$A$2:$A$40,0)),0)),IF(H41="",0,IFERROR(INDEX($O$2:$O$40,MATCH(H41,$A$2:$A$40,0)),0)),IF(I41="",0,IFERROR(INDEX($O$2:$O$40,MATCH(I41,$A$2:$A$40,0)),0)),IF(J41="",0,IFERROR(INDEX($O$2:$O$40,MATCH(J41,$A$2:$A$40,0)),0))),""))</f>
        <v>453.33333333333326</v>
      </c>
      <c r="O41" s="11">
        <f>IF(M41="Skipped",N41,IF(OR(M41="Planned",M41="Complete"),N41+IF(K41=0,0,K41/L41),""))</f>
        <v>500.39215686274503</v>
      </c>
      <c r="P41" s="12">
        <f>IF(AND(M41="Planned",K41&gt;0),WORKDAY.INTL(Settings!$B$2-1,INT(N41+0.000000001)+1,Settings!$B$4,Holidays!$A$2:$A$101),"")</f>
        <v>46847</v>
      </c>
      <c r="Q41" s="12">
        <f>IF(AND(M41="Planned",K41&gt;0),WORKDAY.INTL(Settings!$B$2-1,MAX(1,ROUNDUP(O41-0.000000001,0)),Settings!$B$4,Holidays!$A$2:$A$101),"")</f>
        <v>46902</v>
      </c>
      <c r="R41" s="11">
        <f>IF(OR(M41="Planned",M41="Complete"),O41-N41,0)</f>
        <v>47.058823529411768</v>
      </c>
      <c r="S41" s="8" t="s">
        <v>200</v>
      </c>
      <c r="T41" s="8" t="s">
        <v>201</v>
      </c>
    </row>
    <row r="42" spans="1:20" ht="47" customHeight="1" x14ac:dyDescent="0.35">
      <c r="A42" s="8" t="s">
        <v>202</v>
      </c>
      <c r="B42" s="8" t="s">
        <v>203</v>
      </c>
      <c r="C42" s="8" t="s">
        <v>175</v>
      </c>
      <c r="D42" s="9">
        <f>1</f>
        <v>1</v>
      </c>
      <c r="E42" s="9">
        <f>14</f>
        <v>14</v>
      </c>
      <c r="F42" s="10">
        <f>0</f>
        <v>0</v>
      </c>
      <c r="G42" s="9" t="s">
        <v>198</v>
      </c>
      <c r="H42" s="9"/>
      <c r="I42" s="9"/>
      <c r="J42" s="9"/>
      <c r="K42" s="11">
        <f>IF(D42=0,0,IF(AND(ISNUMBER(E42),E42&gt;=0,ISNUMBER(F42),F42&gt;=0,F42&lt;=1),E42*(1-F42)*(1+Settings!$B$5),0))</f>
        <v>16.8</v>
      </c>
      <c r="L42" s="11">
        <f>IFERROR(INDEX(Settings!$B$10:$B$12,MATCH(C42,{"Core","Practice","Delivery"},0)),0)</f>
        <v>0.51</v>
      </c>
      <c r="M42" s="8" t="str">
        <f>IF(D42=0,"Skipped",IF(Settings!$B$15&lt;&gt;"Ready","Invalid settings",IF(OR(D42&lt;&gt;1,COUNTIF($A$2:$A$49,A42)&lt;&gt;1,NOT(ISNUMBER(E42)),E42&lt;0,NOT(ISNUMBER(F42)),F42&lt;0,F42&gt;1),"Invalid input",IF(F42=1,"Complete",IF(OR(L42&lt;=0,COUNTIFS($C$2:C41,C42,$M$2:M41,"Blocked*")+COUNTIFS($C$2:C41,C42,$M$2:M41,"Invalid*")&gt;0,AND(G42&lt;&gt;"",OR(IFERROR(INDEX($D$2:$D$41,MATCH(G42,$A$2:$A$41,0)),0)&lt;&gt;1,IFERROR(INDEX($M$2:$M$41,MATCH(G42,$A$2:$A$41,0)),"Blocked")="Blocked",LEFT(IFERROR(INDEX($M$2:$M$41,MATCH(G42,$A$2:$A$41,0)),"Invalid"),7)="Invalid")),AND(H42&lt;&gt;"",OR(IFERROR(INDEX($D$2:$D$41,MATCH(H42,$A$2:$A$41,0)),0)&lt;&gt;1,IFERROR(INDEX($M$2:$M$41,MATCH(H42,$A$2:$A$41,0)),"Blocked")="Blocked",LEFT(IFERROR(INDEX($M$2:$M$41,MATCH(H42,$A$2:$A$41,0)),"Invalid"),7)="Invalid")),AND(I42&lt;&gt;"",OR(IFERROR(INDEX($D$2:$D$41,MATCH(I42,$A$2:$A$41,0)),0)&lt;&gt;1,IFERROR(INDEX($M$2:$M$41,MATCH(I42,$A$2:$A$41,0)),"Blocked")="Blocked",LEFT(IFERROR(INDEX($M$2:$M$41,MATCH(I42,$A$2:$A$41,0)),"Invalid"),7)="Invalid")),AND(J42&lt;&gt;"",OR(IFERROR(INDEX($D$2:$D$41,MATCH(J42,$A$2:$A$41,0)),0)&lt;&gt;1,IFERROR(INDEX($M$2:$M$41,MATCH(J42,$A$2:$A$41,0)),"Blocked")="Blocked",LEFT(IFERROR(INDEX($M$2:$M$41,MATCH(J42,$A$2:$A$41,0)),"Invalid"),7)="Invalid"))),"Blocked","Planned")))))</f>
        <v>Planned</v>
      </c>
      <c r="N42" s="11">
        <f>IF(M42="Skipped",O41,IF(OR(M42="Planned",M42="Complete"),MAX(O41,IF(G42="",0,IFERROR(INDEX($O$2:$O$41,MATCH(G42,$A$2:$A$41,0)),0)),IF(H42="",0,IFERROR(INDEX($O$2:$O$41,MATCH(H42,$A$2:$A$41,0)),0)),IF(I42="",0,IFERROR(INDEX($O$2:$O$41,MATCH(I42,$A$2:$A$41,0)),0)),IF(J42="",0,IFERROR(INDEX($O$2:$O$41,MATCH(J42,$A$2:$A$41,0)),0))),""))</f>
        <v>500.39215686274503</v>
      </c>
      <c r="O42" s="11">
        <f>IF(M42="Skipped",N42,IF(OR(M42="Planned",M42="Complete"),N42+IF(K42=0,0,K42/L42),""))</f>
        <v>533.33333333333326</v>
      </c>
      <c r="P42" s="12">
        <f>IF(AND(M42="Planned",K42&gt;0),WORKDAY.INTL(Settings!$B$2-1,INT(N42+0.000000001)+1,Settings!$B$4,Holidays!$A$2:$A$101),"")</f>
        <v>46902</v>
      </c>
      <c r="Q42" s="12">
        <f>IF(AND(M42="Planned",K42&gt;0),WORKDAY.INTL(Settings!$B$2-1,MAX(1,ROUNDUP(O42-0.000000001,0)),Settings!$B$4,Holidays!$A$2:$A$101),"")</f>
        <v>46940</v>
      </c>
      <c r="R42" s="11">
        <f>IF(OR(M42="Planned",M42="Complete"),O42-N42,0)</f>
        <v>32.941176470588232</v>
      </c>
      <c r="S42" s="8" t="s">
        <v>204</v>
      </c>
      <c r="T42" s="8" t="s">
        <v>69</v>
      </c>
    </row>
    <row r="43" spans="1:20" ht="47" customHeight="1" x14ac:dyDescent="0.35">
      <c r="A43" s="8" t="s">
        <v>205</v>
      </c>
      <c r="B43" s="8" t="s">
        <v>206</v>
      </c>
      <c r="C43" s="8" t="s">
        <v>175</v>
      </c>
      <c r="D43" s="9">
        <f>1</f>
        <v>1</v>
      </c>
      <c r="E43" s="9">
        <f>12</f>
        <v>12</v>
      </c>
      <c r="F43" s="10">
        <f>0</f>
        <v>0</v>
      </c>
      <c r="G43" s="9" t="s">
        <v>202</v>
      </c>
      <c r="H43" s="9"/>
      <c r="I43" s="9"/>
      <c r="J43" s="9"/>
      <c r="K43" s="11">
        <f>IF(D43=0,0,IF(AND(ISNUMBER(E43),E43&gt;=0,ISNUMBER(F43),F43&gt;=0,F43&lt;=1),E43*(1-F43)*(1+Settings!$B$5),0))</f>
        <v>14.399999999999999</v>
      </c>
      <c r="L43" s="11">
        <f>IFERROR(INDEX(Settings!$B$10:$B$12,MATCH(C43,{"Core","Practice","Delivery"},0)),0)</f>
        <v>0.51</v>
      </c>
      <c r="M43" s="8" t="str">
        <f>IF(D43=0,"Skipped",IF(Settings!$B$15&lt;&gt;"Ready","Invalid settings",IF(OR(D43&lt;&gt;1,COUNTIF($A$2:$A$49,A43)&lt;&gt;1,NOT(ISNUMBER(E43)),E43&lt;0,NOT(ISNUMBER(F43)),F43&lt;0,F43&gt;1),"Invalid input",IF(F43=1,"Complete",IF(OR(L43&lt;=0,COUNTIFS($C$2:C42,C43,$M$2:M42,"Blocked*")+COUNTIFS($C$2:C42,C43,$M$2:M42,"Invalid*")&gt;0,AND(G43&lt;&gt;"",OR(IFERROR(INDEX($D$2:$D$42,MATCH(G43,$A$2:$A$42,0)),0)&lt;&gt;1,IFERROR(INDEX($M$2:$M$42,MATCH(G43,$A$2:$A$42,0)),"Blocked")="Blocked",LEFT(IFERROR(INDEX($M$2:$M$42,MATCH(G43,$A$2:$A$42,0)),"Invalid"),7)="Invalid")),AND(H43&lt;&gt;"",OR(IFERROR(INDEX($D$2:$D$42,MATCH(H43,$A$2:$A$42,0)),0)&lt;&gt;1,IFERROR(INDEX($M$2:$M$42,MATCH(H43,$A$2:$A$42,0)),"Blocked")="Blocked",LEFT(IFERROR(INDEX($M$2:$M$42,MATCH(H43,$A$2:$A$42,0)),"Invalid"),7)="Invalid")),AND(I43&lt;&gt;"",OR(IFERROR(INDEX($D$2:$D$42,MATCH(I43,$A$2:$A$42,0)),0)&lt;&gt;1,IFERROR(INDEX($M$2:$M$42,MATCH(I43,$A$2:$A$42,0)),"Blocked")="Blocked",LEFT(IFERROR(INDEX($M$2:$M$42,MATCH(I43,$A$2:$A$42,0)),"Invalid"),7)="Invalid")),AND(J43&lt;&gt;"",OR(IFERROR(INDEX($D$2:$D$42,MATCH(J43,$A$2:$A$42,0)),0)&lt;&gt;1,IFERROR(INDEX($M$2:$M$42,MATCH(J43,$A$2:$A$42,0)),"Blocked")="Blocked",LEFT(IFERROR(INDEX($M$2:$M$42,MATCH(J43,$A$2:$A$42,0)),"Invalid"),7)="Invalid"))),"Blocked","Planned")))))</f>
        <v>Planned</v>
      </c>
      <c r="N43" s="11">
        <f>IF(M43="Skipped",O42,IF(OR(M43="Planned",M43="Complete"),MAX(O42,IF(G43="",0,IFERROR(INDEX($O$2:$O$42,MATCH(G43,$A$2:$A$42,0)),0)),IF(H43="",0,IFERROR(INDEX($O$2:$O$42,MATCH(H43,$A$2:$A$42,0)),0)),IF(I43="",0,IFERROR(INDEX($O$2:$O$42,MATCH(I43,$A$2:$A$42,0)),0)),IF(J43="",0,IFERROR(INDEX($O$2:$O$42,MATCH(J43,$A$2:$A$42,0)),0))),""))</f>
        <v>533.33333333333326</v>
      </c>
      <c r="O43" s="11">
        <f>IF(M43="Skipped",N43,IF(OR(M43="Planned",M43="Complete"),N43+IF(K43=0,0,K43/L43),""))</f>
        <v>561.56862745098033</v>
      </c>
      <c r="P43" s="12">
        <f>IF(AND(M43="Planned",K43&gt;0),WORKDAY.INTL(Settings!$B$2-1,INT(N43+0.000000001)+1,Settings!$B$4,Holidays!$A$2:$A$101),"")</f>
        <v>46940</v>
      </c>
      <c r="Q43" s="12">
        <f>IF(AND(M43="Planned",K43&gt;0),WORKDAY.INTL(Settings!$B$2-1,MAX(1,ROUNDUP(O43-0.000000001,0)),Settings!$B$4,Holidays!$A$2:$A$101),"")</f>
        <v>46973</v>
      </c>
      <c r="R43" s="11">
        <f>IF(OR(M43="Planned",M43="Complete"),O43-N43,0)</f>
        <v>28.235294117647072</v>
      </c>
      <c r="S43" s="8" t="s">
        <v>207</v>
      </c>
      <c r="T43" s="8" t="s">
        <v>177</v>
      </c>
    </row>
    <row r="44" spans="1:20" ht="47" customHeight="1" x14ac:dyDescent="0.35">
      <c r="A44" s="8" t="s">
        <v>208</v>
      </c>
      <c r="B44" s="8" t="s">
        <v>209</v>
      </c>
      <c r="C44" s="8" t="s">
        <v>55</v>
      </c>
      <c r="D44" s="9">
        <f>0</f>
        <v>0</v>
      </c>
      <c r="E44" s="9">
        <f>24</f>
        <v>24</v>
      </c>
      <c r="F44" s="10">
        <f>0</f>
        <v>0</v>
      </c>
      <c r="G44" s="9" t="s">
        <v>62</v>
      </c>
      <c r="H44" s="9"/>
      <c r="I44" s="9"/>
      <c r="J44" s="9"/>
      <c r="K44" s="11">
        <f>IF(D44=0,0,IF(AND(ISNUMBER(E44),E44&gt;=0,ISNUMBER(F44),F44&gt;=0,F44&lt;=1),E44*(1-F44)*(1+Settings!$B$5),0))</f>
        <v>0</v>
      </c>
      <c r="L44" s="11">
        <f>IFERROR(INDEX(Settings!$B$10:$B$12,MATCH(C44,{"Core","Practice","Delivery"},0)),0)</f>
        <v>1.5299999999999998</v>
      </c>
      <c r="M44" s="8" t="str">
        <f>IF(D44=0,"Skipped",IF(Settings!$B$15&lt;&gt;"Ready","Invalid settings",IF(OR(D44&lt;&gt;1,COUNTIF($A$2:$A$49,A44)&lt;&gt;1,NOT(ISNUMBER(E44)),E44&lt;0,NOT(ISNUMBER(F44)),F44&lt;0,F44&gt;1),"Invalid input",IF(F44=1,"Complete",IF(OR(L44&lt;=0,COUNTIFS($C$2:C43,C44,$M$2:M43,"Blocked*")+COUNTIFS($C$2:C43,C44,$M$2:M43,"Invalid*")&gt;0,AND(G44&lt;&gt;"",OR(IFERROR(INDEX($D$2:$D$43,MATCH(G44,$A$2:$A$43,0)),0)&lt;&gt;1,IFERROR(INDEX($M$2:$M$43,MATCH(G44,$A$2:$A$43,0)),"Blocked")="Blocked",LEFT(IFERROR(INDEX($M$2:$M$43,MATCH(G44,$A$2:$A$43,0)),"Invalid"),7)="Invalid")),AND(H44&lt;&gt;"",OR(IFERROR(INDEX($D$2:$D$43,MATCH(H44,$A$2:$A$43,0)),0)&lt;&gt;1,IFERROR(INDEX($M$2:$M$43,MATCH(H44,$A$2:$A$43,0)),"Blocked")="Blocked",LEFT(IFERROR(INDEX($M$2:$M$43,MATCH(H44,$A$2:$A$43,0)),"Invalid"),7)="Invalid")),AND(I44&lt;&gt;"",OR(IFERROR(INDEX($D$2:$D$43,MATCH(I44,$A$2:$A$43,0)),0)&lt;&gt;1,IFERROR(INDEX($M$2:$M$43,MATCH(I44,$A$2:$A$43,0)),"Blocked")="Blocked",LEFT(IFERROR(INDEX($M$2:$M$43,MATCH(I44,$A$2:$A$43,0)),"Invalid"),7)="Invalid")),AND(J44&lt;&gt;"",OR(IFERROR(INDEX($D$2:$D$43,MATCH(J44,$A$2:$A$43,0)),0)&lt;&gt;1,IFERROR(INDEX($M$2:$M$43,MATCH(J44,$A$2:$A$43,0)),"Blocked")="Blocked",LEFT(IFERROR(INDEX($M$2:$M$43,MATCH(J44,$A$2:$A$43,0)),"Invalid"),7)="Invalid"))),"Blocked","Planned")))))</f>
        <v>Skipped</v>
      </c>
      <c r="N44" s="11">
        <f>IF(M44="Skipped",O27,IF(OR(M44="Planned",M44="Complete"),MAX(O27,IF(G44="",0,IFERROR(INDEX($O$2:$O$43,MATCH(G44,$A$2:$A$43,0)),0)),IF(H44="",0,IFERROR(INDEX($O$2:$O$43,MATCH(H44,$A$2:$A$43,0)),0)),IF(I44="",0,IFERROR(INDEX($O$2:$O$43,MATCH(I44,$A$2:$A$43,0)),0)),IF(J44="",0,IFERROR(INDEX($O$2:$O$43,MATCH(J44,$A$2:$A$43,0)),0))),""))</f>
        <v>453.33333333333326</v>
      </c>
      <c r="O44" s="11">
        <f>IF(M44="Skipped",N44,IF(OR(M44="Planned",M44="Complete"),N44+IF(K44=0,0,K44/L44),""))</f>
        <v>453.33333333333326</v>
      </c>
      <c r="P44" s="12" t="str">
        <f>IF(AND(M44="Planned",K44&gt;0),WORKDAY.INTL(Settings!$B$2-1,INT(N44+0.000000001)+1,Settings!$B$4,Holidays!$A$2:$A$101),"")</f>
        <v/>
      </c>
      <c r="Q44" s="12" t="str">
        <f>IF(AND(M44="Planned",K44&gt;0),WORKDAY.INTL(Settings!$B$2-1,MAX(1,ROUNDUP(O44-0.000000001,0)),Settings!$B$4,Holidays!$A$2:$A$101),"")</f>
        <v/>
      </c>
      <c r="R44" s="11">
        <f>IF(OR(M44="Planned",M44="Complete"),O44-N44,0)</f>
        <v>0</v>
      </c>
      <c r="S44" s="8" t="s">
        <v>210</v>
      </c>
      <c r="T44" s="8" t="s">
        <v>211</v>
      </c>
    </row>
    <row r="45" spans="1:20" ht="47" customHeight="1" x14ac:dyDescent="0.35">
      <c r="A45" s="8" t="s">
        <v>212</v>
      </c>
      <c r="B45" s="8" t="s">
        <v>213</v>
      </c>
      <c r="C45" s="8" t="s">
        <v>55</v>
      </c>
      <c r="D45" s="9">
        <f>0</f>
        <v>0</v>
      </c>
      <c r="E45" s="9">
        <f>18</f>
        <v>18</v>
      </c>
      <c r="F45" s="10">
        <f>0</f>
        <v>0</v>
      </c>
      <c r="G45" s="9" t="s">
        <v>134</v>
      </c>
      <c r="H45" s="9"/>
      <c r="I45" s="9"/>
      <c r="J45" s="9"/>
      <c r="K45" s="11">
        <f>IF(D45=0,0,IF(AND(ISNUMBER(E45),E45&gt;=0,ISNUMBER(F45),F45&gt;=0,F45&lt;=1),E45*(1-F45)*(1+Settings!$B$5),0))</f>
        <v>0</v>
      </c>
      <c r="L45" s="11">
        <f>IFERROR(INDEX(Settings!$B$10:$B$12,MATCH(C45,{"Core","Practice","Delivery"},0)),0)</f>
        <v>1.5299999999999998</v>
      </c>
      <c r="M45" s="8" t="str">
        <f>IF(D45=0,"Skipped",IF(Settings!$B$15&lt;&gt;"Ready","Invalid settings",IF(OR(D45&lt;&gt;1,COUNTIF($A$2:$A$49,A45)&lt;&gt;1,NOT(ISNUMBER(E45)),E45&lt;0,NOT(ISNUMBER(F45)),F45&lt;0,F45&gt;1),"Invalid input",IF(F45=1,"Complete",IF(OR(L45&lt;=0,COUNTIFS($C$2:C44,C45,$M$2:M44,"Blocked*")+COUNTIFS($C$2:C44,C45,$M$2:M44,"Invalid*")&gt;0,AND(G45&lt;&gt;"",OR(IFERROR(INDEX($D$2:$D$44,MATCH(G45,$A$2:$A$44,0)),0)&lt;&gt;1,IFERROR(INDEX($M$2:$M$44,MATCH(G45,$A$2:$A$44,0)),"Blocked")="Blocked",LEFT(IFERROR(INDEX($M$2:$M$44,MATCH(G45,$A$2:$A$44,0)),"Invalid"),7)="Invalid")),AND(H45&lt;&gt;"",OR(IFERROR(INDEX($D$2:$D$44,MATCH(H45,$A$2:$A$44,0)),0)&lt;&gt;1,IFERROR(INDEX($M$2:$M$44,MATCH(H45,$A$2:$A$44,0)),"Blocked")="Blocked",LEFT(IFERROR(INDEX($M$2:$M$44,MATCH(H45,$A$2:$A$44,0)),"Invalid"),7)="Invalid")),AND(I45&lt;&gt;"",OR(IFERROR(INDEX($D$2:$D$44,MATCH(I45,$A$2:$A$44,0)),0)&lt;&gt;1,IFERROR(INDEX($M$2:$M$44,MATCH(I45,$A$2:$A$44,0)),"Blocked")="Blocked",LEFT(IFERROR(INDEX($M$2:$M$44,MATCH(I45,$A$2:$A$44,0)),"Invalid"),7)="Invalid")),AND(J45&lt;&gt;"",OR(IFERROR(INDEX($D$2:$D$44,MATCH(J45,$A$2:$A$44,0)),0)&lt;&gt;1,IFERROR(INDEX($M$2:$M$44,MATCH(J45,$A$2:$A$44,0)),"Blocked")="Blocked",LEFT(IFERROR(INDEX($M$2:$M$44,MATCH(J45,$A$2:$A$44,0)),"Invalid"),7)="Invalid"))),"Blocked","Planned")))))</f>
        <v>Skipped</v>
      </c>
      <c r="N45" s="11">
        <f>IF(M45="Skipped",O44,IF(OR(M45="Planned",M45="Complete"),MAX(O44,IF(G45="",0,IFERROR(INDEX($O$2:$O$44,MATCH(G45,$A$2:$A$44,0)),0)),IF(H45="",0,IFERROR(INDEX($O$2:$O$44,MATCH(H45,$A$2:$A$44,0)),0)),IF(I45="",0,IFERROR(INDEX($O$2:$O$44,MATCH(I45,$A$2:$A$44,0)),0)),IF(J45="",0,IFERROR(INDEX($O$2:$O$44,MATCH(J45,$A$2:$A$44,0)),0))),""))</f>
        <v>453.33333333333326</v>
      </c>
      <c r="O45" s="11">
        <f>IF(M45="Skipped",N45,IF(OR(M45="Planned",M45="Complete"),N45+IF(K45=0,0,K45/L45),""))</f>
        <v>453.33333333333326</v>
      </c>
      <c r="P45" s="12" t="str">
        <f>IF(AND(M45="Planned",K45&gt;0),WORKDAY.INTL(Settings!$B$2-1,INT(N45+0.000000001)+1,Settings!$B$4,Holidays!$A$2:$A$101),"")</f>
        <v/>
      </c>
      <c r="Q45" s="12" t="str">
        <f>IF(AND(M45="Planned",K45&gt;0),WORKDAY.INTL(Settings!$B$2-1,MAX(1,ROUNDUP(O45-0.000000001,0)),Settings!$B$4,Holidays!$A$2:$A$101),"")</f>
        <v/>
      </c>
      <c r="R45" s="11">
        <f>IF(OR(M45="Planned",M45="Complete"),O45-N45,0)</f>
        <v>0</v>
      </c>
      <c r="S45" s="8" t="s">
        <v>214</v>
      </c>
      <c r="T45" s="8" t="s">
        <v>215</v>
      </c>
    </row>
    <row r="46" spans="1:20" ht="47" customHeight="1" x14ac:dyDescent="0.35">
      <c r="A46" s="8" t="s">
        <v>216</v>
      </c>
      <c r="B46" s="8" t="s">
        <v>217</v>
      </c>
      <c r="C46" s="8" t="s">
        <v>55</v>
      </c>
      <c r="D46" s="9">
        <f>0</f>
        <v>0</v>
      </c>
      <c r="E46" s="9">
        <f>22</f>
        <v>22</v>
      </c>
      <c r="F46" s="10">
        <f>0</f>
        <v>0</v>
      </c>
      <c r="G46" s="9" t="s">
        <v>82</v>
      </c>
      <c r="H46" s="9"/>
      <c r="I46" s="9"/>
      <c r="J46" s="9"/>
      <c r="K46" s="11">
        <f>IF(D46=0,0,IF(AND(ISNUMBER(E46),E46&gt;=0,ISNUMBER(F46),F46&gt;=0,F46&lt;=1),E46*(1-F46)*(1+Settings!$B$5),0))</f>
        <v>0</v>
      </c>
      <c r="L46" s="11">
        <f>IFERROR(INDEX(Settings!$B$10:$B$12,MATCH(C46,{"Core","Practice","Delivery"},0)),0)</f>
        <v>1.5299999999999998</v>
      </c>
      <c r="M46" s="8" t="str">
        <f>IF(D46=0,"Skipped",IF(Settings!$B$15&lt;&gt;"Ready","Invalid settings",IF(OR(D46&lt;&gt;1,COUNTIF($A$2:$A$49,A46)&lt;&gt;1,NOT(ISNUMBER(E46)),E46&lt;0,NOT(ISNUMBER(F46)),F46&lt;0,F46&gt;1),"Invalid input",IF(F46=1,"Complete",IF(OR(L46&lt;=0,COUNTIFS($C$2:C45,C46,$M$2:M45,"Blocked*")+COUNTIFS($C$2:C45,C46,$M$2:M45,"Invalid*")&gt;0,AND(G46&lt;&gt;"",OR(IFERROR(INDEX($D$2:$D$45,MATCH(G46,$A$2:$A$45,0)),0)&lt;&gt;1,IFERROR(INDEX($M$2:$M$45,MATCH(G46,$A$2:$A$45,0)),"Blocked")="Blocked",LEFT(IFERROR(INDEX($M$2:$M$45,MATCH(G46,$A$2:$A$45,0)),"Invalid"),7)="Invalid")),AND(H46&lt;&gt;"",OR(IFERROR(INDEX($D$2:$D$45,MATCH(H46,$A$2:$A$45,0)),0)&lt;&gt;1,IFERROR(INDEX($M$2:$M$45,MATCH(H46,$A$2:$A$45,0)),"Blocked")="Blocked",LEFT(IFERROR(INDEX($M$2:$M$45,MATCH(H46,$A$2:$A$45,0)),"Invalid"),7)="Invalid")),AND(I46&lt;&gt;"",OR(IFERROR(INDEX($D$2:$D$45,MATCH(I46,$A$2:$A$45,0)),0)&lt;&gt;1,IFERROR(INDEX($M$2:$M$45,MATCH(I46,$A$2:$A$45,0)),"Blocked")="Blocked",LEFT(IFERROR(INDEX($M$2:$M$45,MATCH(I46,$A$2:$A$45,0)),"Invalid"),7)="Invalid")),AND(J46&lt;&gt;"",OR(IFERROR(INDEX($D$2:$D$45,MATCH(J46,$A$2:$A$45,0)),0)&lt;&gt;1,IFERROR(INDEX($M$2:$M$45,MATCH(J46,$A$2:$A$45,0)),"Blocked")="Blocked",LEFT(IFERROR(INDEX($M$2:$M$45,MATCH(J46,$A$2:$A$45,0)),"Invalid"),7)="Invalid"))),"Blocked","Planned")))))</f>
        <v>Skipped</v>
      </c>
      <c r="N46" s="11">
        <f>IF(M46="Skipped",O45,IF(OR(M46="Planned",M46="Complete"),MAX(O45,IF(G46="",0,IFERROR(INDEX($O$2:$O$45,MATCH(G46,$A$2:$A$45,0)),0)),IF(H46="",0,IFERROR(INDEX($O$2:$O$45,MATCH(H46,$A$2:$A$45,0)),0)),IF(I46="",0,IFERROR(INDEX($O$2:$O$45,MATCH(I46,$A$2:$A$45,0)),0)),IF(J46="",0,IFERROR(INDEX($O$2:$O$45,MATCH(J46,$A$2:$A$45,0)),0))),""))</f>
        <v>453.33333333333326</v>
      </c>
      <c r="O46" s="11">
        <f>IF(M46="Skipped",N46,IF(OR(M46="Planned",M46="Complete"),N46+IF(K46=0,0,K46/L46),""))</f>
        <v>453.33333333333326</v>
      </c>
      <c r="P46" s="12" t="str">
        <f>IF(AND(M46="Planned",K46&gt;0),WORKDAY.INTL(Settings!$B$2-1,INT(N46+0.000000001)+1,Settings!$B$4,Holidays!$A$2:$A$101),"")</f>
        <v/>
      </c>
      <c r="Q46" s="12" t="str">
        <f>IF(AND(M46="Planned",K46&gt;0),WORKDAY.INTL(Settings!$B$2-1,MAX(1,ROUNDUP(O46-0.000000001,0)),Settings!$B$4,Holidays!$A$2:$A$101),"")</f>
        <v/>
      </c>
      <c r="R46" s="11">
        <f>IF(OR(M46="Planned",M46="Complete"),O46-N46,0)</f>
        <v>0</v>
      </c>
      <c r="S46" s="8" t="s">
        <v>218</v>
      </c>
      <c r="T46" s="8" t="s">
        <v>85</v>
      </c>
    </row>
    <row r="47" spans="1:20" ht="47" customHeight="1" x14ac:dyDescent="0.35">
      <c r="A47" s="8" t="s">
        <v>219</v>
      </c>
      <c r="B47" s="8" t="s">
        <v>220</v>
      </c>
      <c r="C47" s="8" t="s">
        <v>55</v>
      </c>
      <c r="D47" s="9">
        <f>0</f>
        <v>0</v>
      </c>
      <c r="E47" s="9">
        <f>18</f>
        <v>18</v>
      </c>
      <c r="F47" s="10">
        <f>0</f>
        <v>0</v>
      </c>
      <c r="G47" s="9" t="s">
        <v>134</v>
      </c>
      <c r="H47" s="9"/>
      <c r="I47" s="9"/>
      <c r="J47" s="9"/>
      <c r="K47" s="11">
        <f>IF(D47=0,0,IF(AND(ISNUMBER(E47),E47&gt;=0,ISNUMBER(F47),F47&gt;=0,F47&lt;=1),E47*(1-F47)*(1+Settings!$B$5),0))</f>
        <v>0</v>
      </c>
      <c r="L47" s="11">
        <f>IFERROR(INDEX(Settings!$B$10:$B$12,MATCH(C47,{"Core","Practice","Delivery"},0)),0)</f>
        <v>1.5299999999999998</v>
      </c>
      <c r="M47" s="8" t="str">
        <f>IF(D47=0,"Skipped",IF(Settings!$B$15&lt;&gt;"Ready","Invalid settings",IF(OR(D47&lt;&gt;1,COUNTIF($A$2:$A$49,A47)&lt;&gt;1,NOT(ISNUMBER(E47)),E47&lt;0,NOT(ISNUMBER(F47)),F47&lt;0,F47&gt;1),"Invalid input",IF(F47=1,"Complete",IF(OR(L47&lt;=0,COUNTIFS($C$2:C46,C47,$M$2:M46,"Blocked*")+COUNTIFS($C$2:C46,C47,$M$2:M46,"Invalid*")&gt;0,AND(G47&lt;&gt;"",OR(IFERROR(INDEX($D$2:$D$46,MATCH(G47,$A$2:$A$46,0)),0)&lt;&gt;1,IFERROR(INDEX($M$2:$M$46,MATCH(G47,$A$2:$A$46,0)),"Blocked")="Blocked",LEFT(IFERROR(INDEX($M$2:$M$46,MATCH(G47,$A$2:$A$46,0)),"Invalid"),7)="Invalid")),AND(H47&lt;&gt;"",OR(IFERROR(INDEX($D$2:$D$46,MATCH(H47,$A$2:$A$46,0)),0)&lt;&gt;1,IFERROR(INDEX($M$2:$M$46,MATCH(H47,$A$2:$A$46,0)),"Blocked")="Blocked",LEFT(IFERROR(INDEX($M$2:$M$46,MATCH(H47,$A$2:$A$46,0)),"Invalid"),7)="Invalid")),AND(I47&lt;&gt;"",OR(IFERROR(INDEX($D$2:$D$46,MATCH(I47,$A$2:$A$46,0)),0)&lt;&gt;1,IFERROR(INDEX($M$2:$M$46,MATCH(I47,$A$2:$A$46,0)),"Blocked")="Blocked",LEFT(IFERROR(INDEX($M$2:$M$46,MATCH(I47,$A$2:$A$46,0)),"Invalid"),7)="Invalid")),AND(J47&lt;&gt;"",OR(IFERROR(INDEX($D$2:$D$46,MATCH(J47,$A$2:$A$46,0)),0)&lt;&gt;1,IFERROR(INDEX($M$2:$M$46,MATCH(J47,$A$2:$A$46,0)),"Blocked")="Blocked",LEFT(IFERROR(INDEX($M$2:$M$46,MATCH(J47,$A$2:$A$46,0)),"Invalid"),7)="Invalid"))),"Blocked","Planned")))))</f>
        <v>Skipped</v>
      </c>
      <c r="N47" s="11">
        <f>IF(M47="Skipped",O46,IF(OR(M47="Planned",M47="Complete"),MAX(O46,IF(G47="",0,IFERROR(INDEX($O$2:$O$46,MATCH(G47,$A$2:$A$46,0)),0)),IF(H47="",0,IFERROR(INDEX($O$2:$O$46,MATCH(H47,$A$2:$A$46,0)),0)),IF(I47="",0,IFERROR(INDEX($O$2:$O$46,MATCH(I47,$A$2:$A$46,0)),0)),IF(J47="",0,IFERROR(INDEX($O$2:$O$46,MATCH(J47,$A$2:$A$46,0)),0))),""))</f>
        <v>453.33333333333326</v>
      </c>
      <c r="O47" s="11">
        <f>IF(M47="Skipped",N47,IF(OR(M47="Planned",M47="Complete"),N47+IF(K47=0,0,K47/L47),""))</f>
        <v>453.33333333333326</v>
      </c>
      <c r="P47" s="12" t="str">
        <f>IF(AND(M47="Planned",K47&gt;0),WORKDAY.INTL(Settings!$B$2-1,INT(N47+0.000000001)+1,Settings!$B$4,Holidays!$A$2:$A$101),"")</f>
        <v/>
      </c>
      <c r="Q47" s="12" t="str">
        <f>IF(AND(M47="Planned",K47&gt;0),WORKDAY.INTL(Settings!$B$2-1,MAX(1,ROUNDUP(O47-0.000000001,0)),Settings!$B$4,Holidays!$A$2:$A$101),"")</f>
        <v/>
      </c>
      <c r="R47" s="11">
        <f>IF(OR(M47="Planned",M47="Complete"),O47-N47,0)</f>
        <v>0</v>
      </c>
      <c r="S47" s="8" t="s">
        <v>221</v>
      </c>
      <c r="T47" s="8" t="s">
        <v>222</v>
      </c>
    </row>
    <row r="48" spans="1:20" ht="47" customHeight="1" x14ac:dyDescent="0.35">
      <c r="A48" s="8" t="s">
        <v>223</v>
      </c>
      <c r="B48" s="8" t="s">
        <v>224</v>
      </c>
      <c r="C48" s="8" t="s">
        <v>55</v>
      </c>
      <c r="D48" s="9">
        <f>0</f>
        <v>0</v>
      </c>
      <c r="E48" s="9">
        <f>18</f>
        <v>18</v>
      </c>
      <c r="F48" s="10">
        <f>0</f>
        <v>0</v>
      </c>
      <c r="G48" s="9" t="s">
        <v>70</v>
      </c>
      <c r="H48" s="9"/>
      <c r="I48" s="9"/>
      <c r="J48" s="9"/>
      <c r="K48" s="11">
        <f>IF(D48=0,0,IF(AND(ISNUMBER(E48),E48&gt;=0,ISNUMBER(F48),F48&gt;=0,F48&lt;=1),E48*(1-F48)*(1+Settings!$B$5),0))</f>
        <v>0</v>
      </c>
      <c r="L48" s="11">
        <f>IFERROR(INDEX(Settings!$B$10:$B$12,MATCH(C48,{"Core","Practice","Delivery"},0)),0)</f>
        <v>1.5299999999999998</v>
      </c>
      <c r="M48" s="8" t="str">
        <f>IF(D48=0,"Skipped",IF(Settings!$B$15&lt;&gt;"Ready","Invalid settings",IF(OR(D48&lt;&gt;1,COUNTIF($A$2:$A$49,A48)&lt;&gt;1,NOT(ISNUMBER(E48)),E48&lt;0,NOT(ISNUMBER(F48)),F48&lt;0,F48&gt;1),"Invalid input",IF(F48=1,"Complete",IF(OR(L48&lt;=0,COUNTIFS($C$2:C47,C48,$M$2:M47,"Blocked*")+COUNTIFS($C$2:C47,C48,$M$2:M47,"Invalid*")&gt;0,AND(G48&lt;&gt;"",OR(IFERROR(INDEX($D$2:$D$47,MATCH(G48,$A$2:$A$47,0)),0)&lt;&gt;1,IFERROR(INDEX($M$2:$M$47,MATCH(G48,$A$2:$A$47,0)),"Blocked")="Blocked",LEFT(IFERROR(INDEX($M$2:$M$47,MATCH(G48,$A$2:$A$47,0)),"Invalid"),7)="Invalid")),AND(H48&lt;&gt;"",OR(IFERROR(INDEX($D$2:$D$47,MATCH(H48,$A$2:$A$47,0)),0)&lt;&gt;1,IFERROR(INDEX($M$2:$M$47,MATCH(H48,$A$2:$A$47,0)),"Blocked")="Blocked",LEFT(IFERROR(INDEX($M$2:$M$47,MATCH(H48,$A$2:$A$47,0)),"Invalid"),7)="Invalid")),AND(I48&lt;&gt;"",OR(IFERROR(INDEX($D$2:$D$47,MATCH(I48,$A$2:$A$47,0)),0)&lt;&gt;1,IFERROR(INDEX($M$2:$M$47,MATCH(I48,$A$2:$A$47,0)),"Blocked")="Blocked",LEFT(IFERROR(INDEX($M$2:$M$47,MATCH(I48,$A$2:$A$47,0)),"Invalid"),7)="Invalid")),AND(J48&lt;&gt;"",OR(IFERROR(INDEX($D$2:$D$47,MATCH(J48,$A$2:$A$47,0)),0)&lt;&gt;1,IFERROR(INDEX($M$2:$M$47,MATCH(J48,$A$2:$A$47,0)),"Blocked")="Blocked",LEFT(IFERROR(INDEX($M$2:$M$47,MATCH(J48,$A$2:$A$47,0)),"Invalid"),7)="Invalid"))),"Blocked","Planned")))))</f>
        <v>Skipped</v>
      </c>
      <c r="N48" s="11">
        <f>IF(M48="Skipped",O47,IF(OR(M48="Planned",M48="Complete"),MAX(O47,IF(G48="",0,IFERROR(INDEX($O$2:$O$47,MATCH(G48,$A$2:$A$47,0)),0)),IF(H48="",0,IFERROR(INDEX($O$2:$O$47,MATCH(H48,$A$2:$A$47,0)),0)),IF(I48="",0,IFERROR(INDEX($O$2:$O$47,MATCH(I48,$A$2:$A$47,0)),0)),IF(J48="",0,IFERROR(INDEX($O$2:$O$47,MATCH(J48,$A$2:$A$47,0)),0))),""))</f>
        <v>453.33333333333326</v>
      </c>
      <c r="O48" s="11">
        <f>IF(M48="Skipped",N48,IF(OR(M48="Planned",M48="Complete"),N48+IF(K48=0,0,K48/L48),""))</f>
        <v>453.33333333333326</v>
      </c>
      <c r="P48" s="12" t="str">
        <f>IF(AND(M48="Planned",K48&gt;0),WORKDAY.INTL(Settings!$B$2-1,INT(N48+0.000000001)+1,Settings!$B$4,Holidays!$A$2:$A$101),"")</f>
        <v/>
      </c>
      <c r="Q48" s="12" t="str">
        <f>IF(AND(M48="Planned",K48&gt;0),WORKDAY.INTL(Settings!$B$2-1,MAX(1,ROUNDUP(O48-0.000000001,0)),Settings!$B$4,Holidays!$A$2:$A$101),"")</f>
        <v/>
      </c>
      <c r="R48" s="11">
        <f>IF(OR(M48="Planned",M48="Complete"),O48-N48,0)</f>
        <v>0</v>
      </c>
      <c r="S48" s="8" t="s">
        <v>225</v>
      </c>
      <c r="T48" s="8" t="s">
        <v>73</v>
      </c>
    </row>
    <row r="49" spans="1:20" ht="47" customHeight="1" x14ac:dyDescent="0.35">
      <c r="A49" s="8" t="s">
        <v>226</v>
      </c>
      <c r="B49" s="8" t="s">
        <v>227</v>
      </c>
      <c r="C49" s="8" t="s">
        <v>55</v>
      </c>
      <c r="D49" s="9">
        <f>0</f>
        <v>0</v>
      </c>
      <c r="E49" s="9">
        <f>8</f>
        <v>8</v>
      </c>
      <c r="F49" s="10">
        <f>0</f>
        <v>0</v>
      </c>
      <c r="G49" s="9" t="s">
        <v>130</v>
      </c>
      <c r="H49" s="9"/>
      <c r="I49" s="9"/>
      <c r="J49" s="9"/>
      <c r="K49" s="11">
        <f>IF(D49=0,0,IF(AND(ISNUMBER(E49),E49&gt;=0,ISNUMBER(F49),F49&gt;=0,F49&lt;=1),E49*(1-F49)*(1+Settings!$B$5),0))</f>
        <v>0</v>
      </c>
      <c r="L49" s="11">
        <f>IFERROR(INDEX(Settings!$B$10:$B$12,MATCH(C49,{"Core","Practice","Delivery"},0)),0)</f>
        <v>1.5299999999999998</v>
      </c>
      <c r="M49" s="8" t="str">
        <f>IF(D49=0,"Skipped",IF(Settings!$B$15&lt;&gt;"Ready","Invalid settings",IF(OR(D49&lt;&gt;1,COUNTIF($A$2:$A$49,A49)&lt;&gt;1,NOT(ISNUMBER(E49)),E49&lt;0,NOT(ISNUMBER(F49)),F49&lt;0,F49&gt;1),"Invalid input",IF(F49=1,"Complete",IF(OR(L49&lt;=0,COUNTIFS($C$2:C48,C49,$M$2:M48,"Blocked*")+COUNTIFS($C$2:C48,C49,$M$2:M48,"Invalid*")&gt;0,AND(G49&lt;&gt;"",OR(IFERROR(INDEX($D$2:$D$48,MATCH(G49,$A$2:$A$48,0)),0)&lt;&gt;1,IFERROR(INDEX($M$2:$M$48,MATCH(G49,$A$2:$A$48,0)),"Blocked")="Blocked",LEFT(IFERROR(INDEX($M$2:$M$48,MATCH(G49,$A$2:$A$48,0)),"Invalid"),7)="Invalid")),AND(H49&lt;&gt;"",OR(IFERROR(INDEX($D$2:$D$48,MATCH(H49,$A$2:$A$48,0)),0)&lt;&gt;1,IFERROR(INDEX($M$2:$M$48,MATCH(H49,$A$2:$A$48,0)),"Blocked")="Blocked",LEFT(IFERROR(INDEX($M$2:$M$48,MATCH(H49,$A$2:$A$48,0)),"Invalid"),7)="Invalid")),AND(I49&lt;&gt;"",OR(IFERROR(INDEX($D$2:$D$48,MATCH(I49,$A$2:$A$48,0)),0)&lt;&gt;1,IFERROR(INDEX($M$2:$M$48,MATCH(I49,$A$2:$A$48,0)),"Blocked")="Blocked",LEFT(IFERROR(INDEX($M$2:$M$48,MATCH(I49,$A$2:$A$48,0)),"Invalid"),7)="Invalid")),AND(J49&lt;&gt;"",OR(IFERROR(INDEX($D$2:$D$48,MATCH(J49,$A$2:$A$48,0)),0)&lt;&gt;1,IFERROR(INDEX($M$2:$M$48,MATCH(J49,$A$2:$A$48,0)),"Blocked")="Blocked",LEFT(IFERROR(INDEX($M$2:$M$48,MATCH(J49,$A$2:$A$48,0)),"Invalid"),7)="Invalid"))),"Blocked","Planned")))))</f>
        <v>Skipped</v>
      </c>
      <c r="N49" s="11">
        <f>IF(M49="Skipped",O48,IF(OR(M49="Planned",M49="Complete"),MAX(O48,IF(G49="",0,IFERROR(INDEX($O$2:$O$48,MATCH(G49,$A$2:$A$48,0)),0)),IF(H49="",0,IFERROR(INDEX($O$2:$O$48,MATCH(H49,$A$2:$A$48,0)),0)),IF(I49="",0,IFERROR(INDEX($O$2:$O$48,MATCH(I49,$A$2:$A$48,0)),0)),IF(J49="",0,IFERROR(INDEX($O$2:$O$48,MATCH(J49,$A$2:$A$48,0)),0))),""))</f>
        <v>453.33333333333326</v>
      </c>
      <c r="O49" s="11">
        <f>IF(M49="Skipped",N49,IF(OR(M49="Planned",M49="Complete"),N49+IF(K49=0,0,K49/L49),""))</f>
        <v>453.33333333333326</v>
      </c>
      <c r="P49" s="12" t="str">
        <f>IF(AND(M49="Planned",K49&gt;0),WORKDAY.INTL(Settings!$B$2-1,INT(N49+0.000000001)+1,Settings!$B$4,Holidays!$A$2:$A$101),"")</f>
        <v/>
      </c>
      <c r="Q49" s="12" t="str">
        <f>IF(AND(M49="Planned",K49&gt;0),WORKDAY.INTL(Settings!$B$2-1,MAX(1,ROUNDUP(O49-0.000000001,0)),Settings!$B$4,Holidays!$A$2:$A$101),"")</f>
        <v/>
      </c>
      <c r="R49" s="11">
        <f>IF(OR(M49="Planned",M49="Complete"),O49-N49,0)</f>
        <v>0</v>
      </c>
      <c r="S49" s="8" t="s">
        <v>228</v>
      </c>
      <c r="T49" s="8" t="s">
        <v>133</v>
      </c>
    </row>
  </sheetData>
  <autoFilter ref="A1:T49" xr:uid="{CD0E013C-E1D0-46FB-9436-8F747FD0B304}"/>
  <dataValidations count="3">
    <dataValidation type="whole" allowBlank="1" showInputMessage="1" showErrorMessage="1" sqref="D2:D49" xr:uid="{71F46110-87FD-4420-A70D-97486F405430}">
      <formula1>0</formula1>
      <formula2>1</formula2>
    </dataValidation>
    <dataValidation type="decimal" allowBlank="1" showInputMessage="1" showErrorMessage="1" sqref="E2:E49" xr:uid="{89003A24-3037-4C21-BDF7-CB0F0C0A1D76}">
      <formula1>0</formula1>
      <formula2>1000</formula2>
    </dataValidation>
    <dataValidation type="decimal" allowBlank="1" showInputMessage="1" showErrorMessage="1" sqref="F2:F49" xr:uid="{4F270B6A-A818-4836-9E75-209465AA6D9B}">
      <formula1>0</formula1>
      <formula2>1</formula2>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0C02F0-E8EC-4788-92EE-892430BC2AF7}">
  <dimension ref="A1:DD49"/>
  <sheetViews>
    <sheetView workbookViewId="0">
      <pane ySplit="1" topLeftCell="A2" activePane="bottomLeft" state="frozenSplit"/>
      <selection pane="bottomLeft"/>
    </sheetView>
  </sheetViews>
  <sheetFormatPr defaultRowHeight="14.5" x14ac:dyDescent="0.35"/>
  <cols>
    <col min="1" max="1" width="43.6328125" customWidth="1"/>
    <col min="2" max="2" width="13.6328125" customWidth="1"/>
    <col min="3" max="4" width="15.6328125" customWidth="1"/>
    <col min="5" max="108" width="6.6328125" customWidth="1"/>
  </cols>
  <sheetData>
    <row r="1" spans="1:108" ht="30" customHeight="1" x14ac:dyDescent="0.35">
      <c r="A1" s="1" t="s">
        <v>253</v>
      </c>
      <c r="B1" s="1" t="s">
        <v>35</v>
      </c>
      <c r="C1" s="1" t="s">
        <v>254</v>
      </c>
      <c r="D1" s="1" t="s">
        <v>255</v>
      </c>
      <c r="E1" s="5">
        <f>Settings!$B$2+0</f>
        <v>46318</v>
      </c>
      <c r="F1" s="5">
        <f>Settings!$B$2+7</f>
        <v>46325</v>
      </c>
      <c r="G1" s="5">
        <f>Settings!$B$2+14</f>
        <v>46332</v>
      </c>
      <c r="H1" s="5">
        <f>Settings!$B$2+21</f>
        <v>46339</v>
      </c>
      <c r="I1" s="5">
        <f>Settings!$B$2+28</f>
        <v>46346</v>
      </c>
      <c r="J1" s="5">
        <f>Settings!$B$2+35</f>
        <v>46353</v>
      </c>
      <c r="K1" s="5">
        <f>Settings!$B$2+42</f>
        <v>46360</v>
      </c>
      <c r="L1" s="5">
        <f>Settings!$B$2+49</f>
        <v>46367</v>
      </c>
      <c r="M1" s="5">
        <f>Settings!$B$2+56</f>
        <v>46374</v>
      </c>
      <c r="N1" s="5">
        <f>Settings!$B$2+63</f>
        <v>46381</v>
      </c>
      <c r="O1" s="5">
        <f>Settings!$B$2+70</f>
        <v>46388</v>
      </c>
      <c r="P1" s="5">
        <f>Settings!$B$2+77</f>
        <v>46395</v>
      </c>
      <c r="Q1" s="5">
        <f>Settings!$B$2+84</f>
        <v>46402</v>
      </c>
      <c r="R1" s="5">
        <f>Settings!$B$2+91</f>
        <v>46409</v>
      </c>
      <c r="S1" s="5">
        <f>Settings!$B$2+98</f>
        <v>46416</v>
      </c>
      <c r="T1" s="5">
        <f>Settings!$B$2+105</f>
        <v>46423</v>
      </c>
      <c r="U1" s="5">
        <f>Settings!$B$2+112</f>
        <v>46430</v>
      </c>
      <c r="V1" s="5">
        <f>Settings!$B$2+119</f>
        <v>46437</v>
      </c>
      <c r="W1" s="5">
        <f>Settings!$B$2+126</f>
        <v>46444</v>
      </c>
      <c r="X1" s="5">
        <f>Settings!$B$2+133</f>
        <v>46451</v>
      </c>
      <c r="Y1" s="5">
        <f>Settings!$B$2+140</f>
        <v>46458</v>
      </c>
      <c r="Z1" s="5">
        <f>Settings!$B$2+147</f>
        <v>46465</v>
      </c>
      <c r="AA1" s="5">
        <f>Settings!$B$2+154</f>
        <v>46472</v>
      </c>
      <c r="AB1" s="5">
        <f>Settings!$B$2+161</f>
        <v>46479</v>
      </c>
      <c r="AC1" s="5">
        <f>Settings!$B$2+168</f>
        <v>46486</v>
      </c>
      <c r="AD1" s="5">
        <f>Settings!$B$2+175</f>
        <v>46493</v>
      </c>
      <c r="AE1" s="5">
        <f>Settings!$B$2+182</f>
        <v>46500</v>
      </c>
      <c r="AF1" s="5">
        <f>Settings!$B$2+189</f>
        <v>46507</v>
      </c>
      <c r="AG1" s="5">
        <f>Settings!$B$2+196</f>
        <v>46514</v>
      </c>
      <c r="AH1" s="5">
        <f>Settings!$B$2+203</f>
        <v>46521</v>
      </c>
      <c r="AI1" s="5">
        <f>Settings!$B$2+210</f>
        <v>46528</v>
      </c>
      <c r="AJ1" s="5">
        <f>Settings!$B$2+217</f>
        <v>46535</v>
      </c>
      <c r="AK1" s="5">
        <f>Settings!$B$2+224</f>
        <v>46542</v>
      </c>
      <c r="AL1" s="5">
        <f>Settings!$B$2+231</f>
        <v>46549</v>
      </c>
      <c r="AM1" s="5">
        <f>Settings!$B$2+238</f>
        <v>46556</v>
      </c>
      <c r="AN1" s="5">
        <f>Settings!$B$2+245</f>
        <v>46563</v>
      </c>
      <c r="AO1" s="5">
        <f>Settings!$B$2+252</f>
        <v>46570</v>
      </c>
      <c r="AP1" s="5">
        <f>Settings!$B$2+259</f>
        <v>46577</v>
      </c>
      <c r="AQ1" s="5">
        <f>Settings!$B$2+266</f>
        <v>46584</v>
      </c>
      <c r="AR1" s="5">
        <f>Settings!$B$2+273</f>
        <v>46591</v>
      </c>
      <c r="AS1" s="5">
        <f>Settings!$B$2+280</f>
        <v>46598</v>
      </c>
      <c r="AT1" s="5">
        <f>Settings!$B$2+287</f>
        <v>46605</v>
      </c>
      <c r="AU1" s="5">
        <f>Settings!$B$2+294</f>
        <v>46612</v>
      </c>
      <c r="AV1" s="5">
        <f>Settings!$B$2+301</f>
        <v>46619</v>
      </c>
      <c r="AW1" s="5">
        <f>Settings!$B$2+308</f>
        <v>46626</v>
      </c>
      <c r="AX1" s="5">
        <f>Settings!$B$2+315</f>
        <v>46633</v>
      </c>
      <c r="AY1" s="5">
        <f>Settings!$B$2+322</f>
        <v>46640</v>
      </c>
      <c r="AZ1" s="5">
        <f>Settings!$B$2+329</f>
        <v>46647</v>
      </c>
      <c r="BA1" s="5">
        <f>Settings!$B$2+336</f>
        <v>46654</v>
      </c>
      <c r="BB1" s="5">
        <f>Settings!$B$2+343</f>
        <v>46661</v>
      </c>
      <c r="BC1" s="5">
        <f>Settings!$B$2+350</f>
        <v>46668</v>
      </c>
      <c r="BD1" s="5">
        <f>Settings!$B$2+357</f>
        <v>46675</v>
      </c>
      <c r="BE1" s="5">
        <f>Settings!$B$2+364</f>
        <v>46682</v>
      </c>
      <c r="BF1" s="5">
        <f>Settings!$B$2+371</f>
        <v>46689</v>
      </c>
      <c r="BG1" s="5">
        <f>Settings!$B$2+378</f>
        <v>46696</v>
      </c>
      <c r="BH1" s="5">
        <f>Settings!$B$2+385</f>
        <v>46703</v>
      </c>
      <c r="BI1" s="5">
        <f>Settings!$B$2+392</f>
        <v>46710</v>
      </c>
      <c r="BJ1" s="5">
        <f>Settings!$B$2+399</f>
        <v>46717</v>
      </c>
      <c r="BK1" s="5">
        <f>Settings!$B$2+406</f>
        <v>46724</v>
      </c>
      <c r="BL1" s="5">
        <f>Settings!$B$2+413</f>
        <v>46731</v>
      </c>
      <c r="BM1" s="5">
        <f>Settings!$B$2+420</f>
        <v>46738</v>
      </c>
      <c r="BN1" s="5">
        <f>Settings!$B$2+427</f>
        <v>46745</v>
      </c>
      <c r="BO1" s="5">
        <f>Settings!$B$2+434</f>
        <v>46752</v>
      </c>
      <c r="BP1" s="5">
        <f>Settings!$B$2+441</f>
        <v>46759</v>
      </c>
      <c r="BQ1" s="5">
        <f>Settings!$B$2+448</f>
        <v>46766</v>
      </c>
      <c r="BR1" s="5">
        <f>Settings!$B$2+455</f>
        <v>46773</v>
      </c>
      <c r="BS1" s="5">
        <f>Settings!$B$2+462</f>
        <v>46780</v>
      </c>
      <c r="BT1" s="5">
        <f>Settings!$B$2+469</f>
        <v>46787</v>
      </c>
      <c r="BU1" s="5">
        <f>Settings!$B$2+476</f>
        <v>46794</v>
      </c>
      <c r="BV1" s="5">
        <f>Settings!$B$2+483</f>
        <v>46801</v>
      </c>
      <c r="BW1" s="5">
        <f>Settings!$B$2+490</f>
        <v>46808</v>
      </c>
      <c r="BX1" s="5">
        <f>Settings!$B$2+497</f>
        <v>46815</v>
      </c>
      <c r="BY1" s="5">
        <f>Settings!$B$2+504</f>
        <v>46822</v>
      </c>
      <c r="BZ1" s="5">
        <f>Settings!$B$2+511</f>
        <v>46829</v>
      </c>
      <c r="CA1" s="5">
        <f>Settings!$B$2+518</f>
        <v>46836</v>
      </c>
      <c r="CB1" s="5">
        <f>Settings!$B$2+525</f>
        <v>46843</v>
      </c>
      <c r="CC1" s="5">
        <f>Settings!$B$2+532</f>
        <v>46850</v>
      </c>
      <c r="CD1" s="5">
        <f>Settings!$B$2+539</f>
        <v>46857</v>
      </c>
      <c r="CE1" s="5">
        <f>Settings!$B$2+546</f>
        <v>46864</v>
      </c>
      <c r="CF1" s="5">
        <f>Settings!$B$2+553</f>
        <v>46871</v>
      </c>
      <c r="CG1" s="5">
        <f>Settings!$B$2+560</f>
        <v>46878</v>
      </c>
      <c r="CH1" s="5">
        <f>Settings!$B$2+567</f>
        <v>46885</v>
      </c>
      <c r="CI1" s="5">
        <f>Settings!$B$2+574</f>
        <v>46892</v>
      </c>
      <c r="CJ1" s="5">
        <f>Settings!$B$2+581</f>
        <v>46899</v>
      </c>
      <c r="CK1" s="5">
        <f>Settings!$B$2+588</f>
        <v>46906</v>
      </c>
      <c r="CL1" s="5">
        <f>Settings!$B$2+595</f>
        <v>46913</v>
      </c>
      <c r="CM1" s="5">
        <f>Settings!$B$2+602</f>
        <v>46920</v>
      </c>
      <c r="CN1" s="5">
        <f>Settings!$B$2+609</f>
        <v>46927</v>
      </c>
      <c r="CO1" s="5">
        <f>Settings!$B$2+616</f>
        <v>46934</v>
      </c>
      <c r="CP1" s="5">
        <f>Settings!$B$2+623</f>
        <v>46941</v>
      </c>
      <c r="CQ1" s="5">
        <f>Settings!$B$2+630</f>
        <v>46948</v>
      </c>
      <c r="CR1" s="5">
        <f>Settings!$B$2+637</f>
        <v>46955</v>
      </c>
      <c r="CS1" s="5">
        <f>Settings!$B$2+644</f>
        <v>46962</v>
      </c>
      <c r="CT1" s="5">
        <f>Settings!$B$2+651</f>
        <v>46969</v>
      </c>
      <c r="CU1" s="5">
        <f>Settings!$B$2+658</f>
        <v>46976</v>
      </c>
      <c r="CV1" s="5">
        <f>Settings!$B$2+665</f>
        <v>46983</v>
      </c>
      <c r="CW1" s="5">
        <f>Settings!$B$2+672</f>
        <v>46990</v>
      </c>
      <c r="CX1" s="5">
        <f>Settings!$B$2+679</f>
        <v>46997</v>
      </c>
      <c r="CY1" s="5">
        <f>Settings!$B$2+686</f>
        <v>47004</v>
      </c>
      <c r="CZ1" s="5">
        <f>Settings!$B$2+693</f>
        <v>47011</v>
      </c>
      <c r="DA1" s="5">
        <f>Settings!$B$2+700</f>
        <v>47018</v>
      </c>
      <c r="DB1" s="5">
        <f>Settings!$B$2+707</f>
        <v>47025</v>
      </c>
      <c r="DC1" s="5">
        <f>Settings!$B$2+714</f>
        <v>47032</v>
      </c>
      <c r="DD1" s="5">
        <f>Settings!$B$2+721</f>
        <v>47039</v>
      </c>
    </row>
    <row r="2" spans="1:108" x14ac:dyDescent="0.35">
      <c r="A2" s="6" t="str">
        <f>Schedule!B2</f>
        <v>FDE role and delivery orientation</v>
      </c>
      <c r="B2" s="6" t="str">
        <f>Schedule!C2</f>
        <v>Core</v>
      </c>
      <c r="C2" s="4">
        <f>IF(Schedule!P2="","",Schedule!P2)</f>
        <v>46318</v>
      </c>
      <c r="D2" s="4">
        <f>IF(Schedule!Q2="","",Schedule!Q2)</f>
        <v>46322</v>
      </c>
      <c r="E2" s="7">
        <f>IF(AND(ISNUMBER($C2),ISNUMBER($D2),E$1&lt;=$D2,E$1+6&gt;=$C2),1,"")</f>
        <v>1</v>
      </c>
      <c r="F2" s="7" t="str">
        <f>IF(AND(ISNUMBER($C2),ISNUMBER($D2),F$1&lt;=$D2,F$1+6&gt;=$C2),1,"")</f>
        <v/>
      </c>
      <c r="G2" s="7" t="str">
        <f>IF(AND(ISNUMBER($C2),ISNUMBER($D2),G$1&lt;=$D2,G$1+6&gt;=$C2),1,"")</f>
        <v/>
      </c>
      <c r="H2" s="7" t="str">
        <f>IF(AND(ISNUMBER($C2),ISNUMBER($D2),H$1&lt;=$D2,H$1+6&gt;=$C2),1,"")</f>
        <v/>
      </c>
      <c r="I2" s="7" t="str">
        <f>IF(AND(ISNUMBER($C2),ISNUMBER($D2),I$1&lt;=$D2,I$1+6&gt;=$C2),1,"")</f>
        <v/>
      </c>
      <c r="J2" s="7" t="str">
        <f>IF(AND(ISNUMBER($C2),ISNUMBER($D2),J$1&lt;=$D2,J$1+6&gt;=$C2),1,"")</f>
        <v/>
      </c>
      <c r="K2" s="7" t="str">
        <f>IF(AND(ISNUMBER($C2),ISNUMBER($D2),K$1&lt;=$D2,K$1+6&gt;=$C2),1,"")</f>
        <v/>
      </c>
      <c r="L2" s="7" t="str">
        <f>IF(AND(ISNUMBER($C2),ISNUMBER($D2),L$1&lt;=$D2,L$1+6&gt;=$C2),1,"")</f>
        <v/>
      </c>
      <c r="M2" s="7" t="str">
        <f>IF(AND(ISNUMBER($C2),ISNUMBER($D2),M$1&lt;=$D2,M$1+6&gt;=$C2),1,"")</f>
        <v/>
      </c>
      <c r="N2" s="7" t="str">
        <f>IF(AND(ISNUMBER($C2),ISNUMBER($D2),N$1&lt;=$D2,N$1+6&gt;=$C2),1,"")</f>
        <v/>
      </c>
      <c r="O2" s="7" t="str">
        <f>IF(AND(ISNUMBER($C2),ISNUMBER($D2),O$1&lt;=$D2,O$1+6&gt;=$C2),1,"")</f>
        <v/>
      </c>
      <c r="P2" s="7" t="str">
        <f>IF(AND(ISNUMBER($C2),ISNUMBER($D2),P$1&lt;=$D2,P$1+6&gt;=$C2),1,"")</f>
        <v/>
      </c>
      <c r="Q2" s="7" t="str">
        <f>IF(AND(ISNUMBER($C2),ISNUMBER($D2),Q$1&lt;=$D2,Q$1+6&gt;=$C2),1,"")</f>
        <v/>
      </c>
      <c r="R2" s="7" t="str">
        <f>IF(AND(ISNUMBER($C2),ISNUMBER($D2),R$1&lt;=$D2,R$1+6&gt;=$C2),1,"")</f>
        <v/>
      </c>
      <c r="S2" s="7" t="str">
        <f>IF(AND(ISNUMBER($C2),ISNUMBER($D2),S$1&lt;=$D2,S$1+6&gt;=$C2),1,"")</f>
        <v/>
      </c>
      <c r="T2" s="7" t="str">
        <f>IF(AND(ISNUMBER($C2),ISNUMBER($D2),T$1&lt;=$D2,T$1+6&gt;=$C2),1,"")</f>
        <v/>
      </c>
      <c r="U2" s="7" t="str">
        <f>IF(AND(ISNUMBER($C2),ISNUMBER($D2),U$1&lt;=$D2,U$1+6&gt;=$C2),1,"")</f>
        <v/>
      </c>
      <c r="V2" s="7" t="str">
        <f>IF(AND(ISNUMBER($C2),ISNUMBER($D2),V$1&lt;=$D2,V$1+6&gt;=$C2),1,"")</f>
        <v/>
      </c>
      <c r="W2" s="7" t="str">
        <f>IF(AND(ISNUMBER($C2),ISNUMBER($D2),W$1&lt;=$D2,W$1+6&gt;=$C2),1,"")</f>
        <v/>
      </c>
      <c r="X2" s="7" t="str">
        <f>IF(AND(ISNUMBER($C2),ISNUMBER($D2),X$1&lt;=$D2,X$1+6&gt;=$C2),1,"")</f>
        <v/>
      </c>
      <c r="Y2" s="7" t="str">
        <f>IF(AND(ISNUMBER($C2),ISNUMBER($D2),Y$1&lt;=$D2,Y$1+6&gt;=$C2),1,"")</f>
        <v/>
      </c>
      <c r="Z2" s="7" t="str">
        <f>IF(AND(ISNUMBER($C2),ISNUMBER($D2),Z$1&lt;=$D2,Z$1+6&gt;=$C2),1,"")</f>
        <v/>
      </c>
      <c r="AA2" s="7" t="str">
        <f>IF(AND(ISNUMBER($C2),ISNUMBER($D2),AA$1&lt;=$D2,AA$1+6&gt;=$C2),1,"")</f>
        <v/>
      </c>
      <c r="AB2" s="7" t="str">
        <f>IF(AND(ISNUMBER($C2),ISNUMBER($D2),AB$1&lt;=$D2,AB$1+6&gt;=$C2),1,"")</f>
        <v/>
      </c>
      <c r="AC2" s="7" t="str">
        <f>IF(AND(ISNUMBER($C2),ISNUMBER($D2),AC$1&lt;=$D2,AC$1+6&gt;=$C2),1,"")</f>
        <v/>
      </c>
      <c r="AD2" s="7" t="str">
        <f>IF(AND(ISNUMBER($C2),ISNUMBER($D2),AD$1&lt;=$D2,AD$1+6&gt;=$C2),1,"")</f>
        <v/>
      </c>
      <c r="AE2" s="7" t="str">
        <f>IF(AND(ISNUMBER($C2),ISNUMBER($D2),AE$1&lt;=$D2,AE$1+6&gt;=$C2),1,"")</f>
        <v/>
      </c>
      <c r="AF2" s="7" t="str">
        <f>IF(AND(ISNUMBER($C2),ISNUMBER($D2),AF$1&lt;=$D2,AF$1+6&gt;=$C2),1,"")</f>
        <v/>
      </c>
      <c r="AG2" s="7" t="str">
        <f>IF(AND(ISNUMBER($C2),ISNUMBER($D2),AG$1&lt;=$D2,AG$1+6&gt;=$C2),1,"")</f>
        <v/>
      </c>
      <c r="AH2" s="7" t="str">
        <f>IF(AND(ISNUMBER($C2),ISNUMBER($D2),AH$1&lt;=$D2,AH$1+6&gt;=$C2),1,"")</f>
        <v/>
      </c>
      <c r="AI2" s="7" t="str">
        <f>IF(AND(ISNUMBER($C2),ISNUMBER($D2),AI$1&lt;=$D2,AI$1+6&gt;=$C2),1,"")</f>
        <v/>
      </c>
      <c r="AJ2" s="7" t="str">
        <f>IF(AND(ISNUMBER($C2),ISNUMBER($D2),AJ$1&lt;=$D2,AJ$1+6&gt;=$C2),1,"")</f>
        <v/>
      </c>
      <c r="AK2" s="7" t="str">
        <f>IF(AND(ISNUMBER($C2),ISNUMBER($D2),AK$1&lt;=$D2,AK$1+6&gt;=$C2),1,"")</f>
        <v/>
      </c>
      <c r="AL2" s="7" t="str">
        <f>IF(AND(ISNUMBER($C2),ISNUMBER($D2),AL$1&lt;=$D2,AL$1+6&gt;=$C2),1,"")</f>
        <v/>
      </c>
      <c r="AM2" s="7" t="str">
        <f>IF(AND(ISNUMBER($C2),ISNUMBER($D2),AM$1&lt;=$D2,AM$1+6&gt;=$C2),1,"")</f>
        <v/>
      </c>
      <c r="AN2" s="7" t="str">
        <f>IF(AND(ISNUMBER($C2),ISNUMBER($D2),AN$1&lt;=$D2,AN$1+6&gt;=$C2),1,"")</f>
        <v/>
      </c>
      <c r="AO2" s="7" t="str">
        <f>IF(AND(ISNUMBER($C2),ISNUMBER($D2),AO$1&lt;=$D2,AO$1+6&gt;=$C2),1,"")</f>
        <v/>
      </c>
      <c r="AP2" s="7" t="str">
        <f>IF(AND(ISNUMBER($C2),ISNUMBER($D2),AP$1&lt;=$D2,AP$1+6&gt;=$C2),1,"")</f>
        <v/>
      </c>
      <c r="AQ2" s="7" t="str">
        <f>IF(AND(ISNUMBER($C2),ISNUMBER($D2),AQ$1&lt;=$D2,AQ$1+6&gt;=$C2),1,"")</f>
        <v/>
      </c>
      <c r="AR2" s="7" t="str">
        <f>IF(AND(ISNUMBER($C2),ISNUMBER($D2),AR$1&lt;=$D2,AR$1+6&gt;=$C2),1,"")</f>
        <v/>
      </c>
      <c r="AS2" s="7" t="str">
        <f>IF(AND(ISNUMBER($C2),ISNUMBER($D2),AS$1&lt;=$D2,AS$1+6&gt;=$C2),1,"")</f>
        <v/>
      </c>
      <c r="AT2" s="7" t="str">
        <f>IF(AND(ISNUMBER($C2),ISNUMBER($D2),AT$1&lt;=$D2,AT$1+6&gt;=$C2),1,"")</f>
        <v/>
      </c>
      <c r="AU2" s="7" t="str">
        <f>IF(AND(ISNUMBER($C2),ISNUMBER($D2),AU$1&lt;=$D2,AU$1+6&gt;=$C2),1,"")</f>
        <v/>
      </c>
      <c r="AV2" s="7" t="str">
        <f>IF(AND(ISNUMBER($C2),ISNUMBER($D2),AV$1&lt;=$D2,AV$1+6&gt;=$C2),1,"")</f>
        <v/>
      </c>
      <c r="AW2" s="7" t="str">
        <f>IF(AND(ISNUMBER($C2),ISNUMBER($D2),AW$1&lt;=$D2,AW$1+6&gt;=$C2),1,"")</f>
        <v/>
      </c>
      <c r="AX2" s="7" t="str">
        <f>IF(AND(ISNUMBER($C2),ISNUMBER($D2),AX$1&lt;=$D2,AX$1+6&gt;=$C2),1,"")</f>
        <v/>
      </c>
      <c r="AY2" s="7" t="str">
        <f>IF(AND(ISNUMBER($C2),ISNUMBER($D2),AY$1&lt;=$D2,AY$1+6&gt;=$C2),1,"")</f>
        <v/>
      </c>
      <c r="AZ2" s="7" t="str">
        <f>IF(AND(ISNUMBER($C2),ISNUMBER($D2),AZ$1&lt;=$D2,AZ$1+6&gt;=$C2),1,"")</f>
        <v/>
      </c>
      <c r="BA2" s="7" t="str">
        <f>IF(AND(ISNUMBER($C2),ISNUMBER($D2),BA$1&lt;=$D2,BA$1+6&gt;=$C2),1,"")</f>
        <v/>
      </c>
      <c r="BB2" s="7" t="str">
        <f>IF(AND(ISNUMBER($C2),ISNUMBER($D2),BB$1&lt;=$D2,BB$1+6&gt;=$C2),1,"")</f>
        <v/>
      </c>
      <c r="BC2" s="7" t="str">
        <f>IF(AND(ISNUMBER($C2),ISNUMBER($D2),BC$1&lt;=$D2,BC$1+6&gt;=$C2),1,"")</f>
        <v/>
      </c>
      <c r="BD2" s="7" t="str">
        <f>IF(AND(ISNUMBER($C2),ISNUMBER($D2),BD$1&lt;=$D2,BD$1+6&gt;=$C2),1,"")</f>
        <v/>
      </c>
      <c r="BE2" s="7" t="str">
        <f>IF(AND(ISNUMBER($C2),ISNUMBER($D2),BE$1&lt;=$D2,BE$1+6&gt;=$C2),1,"")</f>
        <v/>
      </c>
      <c r="BF2" s="7" t="str">
        <f>IF(AND(ISNUMBER($C2),ISNUMBER($D2),BF$1&lt;=$D2,BF$1+6&gt;=$C2),1,"")</f>
        <v/>
      </c>
      <c r="BG2" s="7" t="str">
        <f>IF(AND(ISNUMBER($C2),ISNUMBER($D2),BG$1&lt;=$D2,BG$1+6&gt;=$C2),1,"")</f>
        <v/>
      </c>
      <c r="BH2" s="7" t="str">
        <f>IF(AND(ISNUMBER($C2),ISNUMBER($D2),BH$1&lt;=$D2,BH$1+6&gt;=$C2),1,"")</f>
        <v/>
      </c>
      <c r="BI2" s="7" t="str">
        <f>IF(AND(ISNUMBER($C2),ISNUMBER($D2),BI$1&lt;=$D2,BI$1+6&gt;=$C2),1,"")</f>
        <v/>
      </c>
      <c r="BJ2" s="7" t="str">
        <f>IF(AND(ISNUMBER($C2),ISNUMBER($D2),BJ$1&lt;=$D2,BJ$1+6&gt;=$C2),1,"")</f>
        <v/>
      </c>
      <c r="BK2" s="7" t="str">
        <f>IF(AND(ISNUMBER($C2),ISNUMBER($D2),BK$1&lt;=$D2,BK$1+6&gt;=$C2),1,"")</f>
        <v/>
      </c>
      <c r="BL2" s="7" t="str">
        <f>IF(AND(ISNUMBER($C2),ISNUMBER($D2),BL$1&lt;=$D2,BL$1+6&gt;=$C2),1,"")</f>
        <v/>
      </c>
      <c r="BM2" s="7" t="str">
        <f>IF(AND(ISNUMBER($C2),ISNUMBER($D2),BM$1&lt;=$D2,BM$1+6&gt;=$C2),1,"")</f>
        <v/>
      </c>
      <c r="BN2" s="7" t="str">
        <f>IF(AND(ISNUMBER($C2),ISNUMBER($D2),BN$1&lt;=$D2,BN$1+6&gt;=$C2),1,"")</f>
        <v/>
      </c>
      <c r="BO2" s="7" t="str">
        <f>IF(AND(ISNUMBER($C2),ISNUMBER($D2),BO$1&lt;=$D2,BO$1+6&gt;=$C2),1,"")</f>
        <v/>
      </c>
      <c r="BP2" s="7" t="str">
        <f>IF(AND(ISNUMBER($C2),ISNUMBER($D2),BP$1&lt;=$D2,BP$1+6&gt;=$C2),1,"")</f>
        <v/>
      </c>
      <c r="BQ2" s="7" t="str">
        <f>IF(AND(ISNUMBER($C2),ISNUMBER($D2),BQ$1&lt;=$D2,BQ$1+6&gt;=$C2),1,"")</f>
        <v/>
      </c>
      <c r="BR2" s="7" t="str">
        <f>IF(AND(ISNUMBER($C2),ISNUMBER($D2),BR$1&lt;=$D2,BR$1+6&gt;=$C2),1,"")</f>
        <v/>
      </c>
      <c r="BS2" s="7" t="str">
        <f>IF(AND(ISNUMBER($C2),ISNUMBER($D2),BS$1&lt;=$D2,BS$1+6&gt;=$C2),1,"")</f>
        <v/>
      </c>
      <c r="BT2" s="7" t="str">
        <f>IF(AND(ISNUMBER($C2),ISNUMBER($D2),BT$1&lt;=$D2,BT$1+6&gt;=$C2),1,"")</f>
        <v/>
      </c>
      <c r="BU2" s="7" t="str">
        <f>IF(AND(ISNUMBER($C2),ISNUMBER($D2),BU$1&lt;=$D2,BU$1+6&gt;=$C2),1,"")</f>
        <v/>
      </c>
      <c r="BV2" s="7" t="str">
        <f>IF(AND(ISNUMBER($C2),ISNUMBER($D2),BV$1&lt;=$D2,BV$1+6&gt;=$C2),1,"")</f>
        <v/>
      </c>
      <c r="BW2" s="7" t="str">
        <f>IF(AND(ISNUMBER($C2),ISNUMBER($D2),BW$1&lt;=$D2,BW$1+6&gt;=$C2),1,"")</f>
        <v/>
      </c>
      <c r="BX2" s="7" t="str">
        <f>IF(AND(ISNUMBER($C2),ISNUMBER($D2),BX$1&lt;=$D2,BX$1+6&gt;=$C2),1,"")</f>
        <v/>
      </c>
      <c r="BY2" s="7" t="str">
        <f>IF(AND(ISNUMBER($C2),ISNUMBER($D2),BY$1&lt;=$D2,BY$1+6&gt;=$C2),1,"")</f>
        <v/>
      </c>
      <c r="BZ2" s="7" t="str">
        <f>IF(AND(ISNUMBER($C2),ISNUMBER($D2),BZ$1&lt;=$D2,BZ$1+6&gt;=$C2),1,"")</f>
        <v/>
      </c>
      <c r="CA2" s="7" t="str">
        <f>IF(AND(ISNUMBER($C2),ISNUMBER($D2),CA$1&lt;=$D2,CA$1+6&gt;=$C2),1,"")</f>
        <v/>
      </c>
      <c r="CB2" s="7" t="str">
        <f>IF(AND(ISNUMBER($C2),ISNUMBER($D2),CB$1&lt;=$D2,CB$1+6&gt;=$C2),1,"")</f>
        <v/>
      </c>
      <c r="CC2" s="7" t="str">
        <f>IF(AND(ISNUMBER($C2),ISNUMBER($D2),CC$1&lt;=$D2,CC$1+6&gt;=$C2),1,"")</f>
        <v/>
      </c>
      <c r="CD2" s="7" t="str">
        <f>IF(AND(ISNUMBER($C2),ISNUMBER($D2),CD$1&lt;=$D2,CD$1+6&gt;=$C2),1,"")</f>
        <v/>
      </c>
      <c r="CE2" s="7" t="str">
        <f>IF(AND(ISNUMBER($C2),ISNUMBER($D2),CE$1&lt;=$D2,CE$1+6&gt;=$C2),1,"")</f>
        <v/>
      </c>
      <c r="CF2" s="7" t="str">
        <f>IF(AND(ISNUMBER($C2),ISNUMBER($D2),CF$1&lt;=$D2,CF$1+6&gt;=$C2),1,"")</f>
        <v/>
      </c>
      <c r="CG2" s="7" t="str">
        <f>IF(AND(ISNUMBER($C2),ISNUMBER($D2),CG$1&lt;=$D2,CG$1+6&gt;=$C2),1,"")</f>
        <v/>
      </c>
      <c r="CH2" s="7" t="str">
        <f>IF(AND(ISNUMBER($C2),ISNUMBER($D2),CH$1&lt;=$D2,CH$1+6&gt;=$C2),1,"")</f>
        <v/>
      </c>
      <c r="CI2" s="7" t="str">
        <f>IF(AND(ISNUMBER($C2),ISNUMBER($D2),CI$1&lt;=$D2,CI$1+6&gt;=$C2),1,"")</f>
        <v/>
      </c>
      <c r="CJ2" s="7" t="str">
        <f>IF(AND(ISNUMBER($C2),ISNUMBER($D2),CJ$1&lt;=$D2,CJ$1+6&gt;=$C2),1,"")</f>
        <v/>
      </c>
      <c r="CK2" s="7" t="str">
        <f>IF(AND(ISNUMBER($C2),ISNUMBER($D2),CK$1&lt;=$D2,CK$1+6&gt;=$C2),1,"")</f>
        <v/>
      </c>
      <c r="CL2" s="7" t="str">
        <f>IF(AND(ISNUMBER($C2),ISNUMBER($D2),CL$1&lt;=$D2,CL$1+6&gt;=$C2),1,"")</f>
        <v/>
      </c>
      <c r="CM2" s="7" t="str">
        <f>IF(AND(ISNUMBER($C2),ISNUMBER($D2),CM$1&lt;=$D2,CM$1+6&gt;=$C2),1,"")</f>
        <v/>
      </c>
      <c r="CN2" s="7" t="str">
        <f>IF(AND(ISNUMBER($C2),ISNUMBER($D2),CN$1&lt;=$D2,CN$1+6&gt;=$C2),1,"")</f>
        <v/>
      </c>
      <c r="CO2" s="7" t="str">
        <f>IF(AND(ISNUMBER($C2),ISNUMBER($D2),CO$1&lt;=$D2,CO$1+6&gt;=$C2),1,"")</f>
        <v/>
      </c>
      <c r="CP2" s="7" t="str">
        <f>IF(AND(ISNUMBER($C2),ISNUMBER($D2),CP$1&lt;=$D2,CP$1+6&gt;=$C2),1,"")</f>
        <v/>
      </c>
      <c r="CQ2" s="7" t="str">
        <f>IF(AND(ISNUMBER($C2),ISNUMBER($D2),CQ$1&lt;=$D2,CQ$1+6&gt;=$C2),1,"")</f>
        <v/>
      </c>
      <c r="CR2" s="7" t="str">
        <f>IF(AND(ISNUMBER($C2),ISNUMBER($D2),CR$1&lt;=$D2,CR$1+6&gt;=$C2),1,"")</f>
        <v/>
      </c>
      <c r="CS2" s="7" t="str">
        <f>IF(AND(ISNUMBER($C2),ISNUMBER($D2),CS$1&lt;=$D2,CS$1+6&gt;=$C2),1,"")</f>
        <v/>
      </c>
      <c r="CT2" s="7" t="str">
        <f>IF(AND(ISNUMBER($C2),ISNUMBER($D2),CT$1&lt;=$D2,CT$1+6&gt;=$C2),1,"")</f>
        <v/>
      </c>
      <c r="CU2" s="7" t="str">
        <f>IF(AND(ISNUMBER($C2),ISNUMBER($D2),CU$1&lt;=$D2,CU$1+6&gt;=$C2),1,"")</f>
        <v/>
      </c>
      <c r="CV2" s="7" t="str">
        <f>IF(AND(ISNUMBER($C2),ISNUMBER($D2),CV$1&lt;=$D2,CV$1+6&gt;=$C2),1,"")</f>
        <v/>
      </c>
      <c r="CW2" s="7" t="str">
        <f>IF(AND(ISNUMBER($C2),ISNUMBER($D2),CW$1&lt;=$D2,CW$1+6&gt;=$C2),1,"")</f>
        <v/>
      </c>
      <c r="CX2" s="7" t="str">
        <f>IF(AND(ISNUMBER($C2),ISNUMBER($D2),CX$1&lt;=$D2,CX$1+6&gt;=$C2),1,"")</f>
        <v/>
      </c>
      <c r="CY2" s="7" t="str">
        <f>IF(AND(ISNUMBER($C2),ISNUMBER($D2),CY$1&lt;=$D2,CY$1+6&gt;=$C2),1,"")</f>
        <v/>
      </c>
      <c r="CZ2" s="7" t="str">
        <f>IF(AND(ISNUMBER($C2),ISNUMBER($D2),CZ$1&lt;=$D2,CZ$1+6&gt;=$C2),1,"")</f>
        <v/>
      </c>
      <c r="DA2" s="7" t="str">
        <f>IF(AND(ISNUMBER($C2),ISNUMBER($D2),DA$1&lt;=$D2,DA$1+6&gt;=$C2),1,"")</f>
        <v/>
      </c>
      <c r="DB2" s="7" t="str">
        <f>IF(AND(ISNUMBER($C2),ISNUMBER($D2),DB$1&lt;=$D2,DB$1+6&gt;=$C2),1,"")</f>
        <v/>
      </c>
      <c r="DC2" s="7" t="str">
        <f>IF(AND(ISNUMBER($C2),ISNUMBER($D2),DC$1&lt;=$D2,DC$1+6&gt;=$C2),1,"")</f>
        <v/>
      </c>
      <c r="DD2" s="7" t="str">
        <f>IF(AND(ISNUMBER($C2),ISNUMBER($D2),DD$1&lt;=$D2,DD$1+6&gt;=$C2),1,"")</f>
        <v/>
      </c>
    </row>
    <row r="3" spans="1:108" x14ac:dyDescent="0.35">
      <c r="A3" s="6" t="str">
        <f>Schedule!B3</f>
        <v>Primary language: Python</v>
      </c>
      <c r="B3" s="6" t="str">
        <f>Schedule!C3</f>
        <v>Core</v>
      </c>
      <c r="C3" s="4">
        <f>IF(Schedule!P3="","",Schedule!P3)</f>
        <v>46322</v>
      </c>
      <c r="D3" s="4">
        <f>IF(Schedule!Q3="","",Schedule!Q3)</f>
        <v>46351</v>
      </c>
      <c r="E3" s="7">
        <f>IF(AND(ISNUMBER($C3),ISNUMBER($D3),E$1&lt;=$D3,E$1+6&gt;=$C3),1,"")</f>
        <v>1</v>
      </c>
      <c r="F3" s="7">
        <f>IF(AND(ISNUMBER($C3),ISNUMBER($D3),F$1&lt;=$D3,F$1+6&gt;=$C3),1,"")</f>
        <v>1</v>
      </c>
      <c r="G3" s="7">
        <f>IF(AND(ISNUMBER($C3),ISNUMBER($D3),G$1&lt;=$D3,G$1+6&gt;=$C3),1,"")</f>
        <v>1</v>
      </c>
      <c r="H3" s="7">
        <f>IF(AND(ISNUMBER($C3),ISNUMBER($D3),H$1&lt;=$D3,H$1+6&gt;=$C3),1,"")</f>
        <v>1</v>
      </c>
      <c r="I3" s="7">
        <f>IF(AND(ISNUMBER($C3),ISNUMBER($D3),I$1&lt;=$D3,I$1+6&gt;=$C3),1,"")</f>
        <v>1</v>
      </c>
      <c r="J3" s="7" t="str">
        <f>IF(AND(ISNUMBER($C3),ISNUMBER($D3),J$1&lt;=$D3,J$1+6&gt;=$C3),1,"")</f>
        <v/>
      </c>
      <c r="K3" s="7" t="str">
        <f>IF(AND(ISNUMBER($C3),ISNUMBER($D3),K$1&lt;=$D3,K$1+6&gt;=$C3),1,"")</f>
        <v/>
      </c>
      <c r="L3" s="7" t="str">
        <f>IF(AND(ISNUMBER($C3),ISNUMBER($D3),L$1&lt;=$D3,L$1+6&gt;=$C3),1,"")</f>
        <v/>
      </c>
      <c r="M3" s="7" t="str">
        <f>IF(AND(ISNUMBER($C3),ISNUMBER($D3),M$1&lt;=$D3,M$1+6&gt;=$C3),1,"")</f>
        <v/>
      </c>
      <c r="N3" s="7" t="str">
        <f>IF(AND(ISNUMBER($C3),ISNUMBER($D3),N$1&lt;=$D3,N$1+6&gt;=$C3),1,"")</f>
        <v/>
      </c>
      <c r="O3" s="7" t="str">
        <f>IF(AND(ISNUMBER($C3),ISNUMBER($D3),O$1&lt;=$D3,O$1+6&gt;=$C3),1,"")</f>
        <v/>
      </c>
      <c r="P3" s="7" t="str">
        <f>IF(AND(ISNUMBER($C3),ISNUMBER($D3),P$1&lt;=$D3,P$1+6&gt;=$C3),1,"")</f>
        <v/>
      </c>
      <c r="Q3" s="7" t="str">
        <f>IF(AND(ISNUMBER($C3),ISNUMBER($D3),Q$1&lt;=$D3,Q$1+6&gt;=$C3),1,"")</f>
        <v/>
      </c>
      <c r="R3" s="7" t="str">
        <f>IF(AND(ISNUMBER($C3),ISNUMBER($D3),R$1&lt;=$D3,R$1+6&gt;=$C3),1,"")</f>
        <v/>
      </c>
      <c r="S3" s="7" t="str">
        <f>IF(AND(ISNUMBER($C3),ISNUMBER($D3),S$1&lt;=$D3,S$1+6&gt;=$C3),1,"")</f>
        <v/>
      </c>
      <c r="T3" s="7" t="str">
        <f>IF(AND(ISNUMBER($C3),ISNUMBER($D3),T$1&lt;=$D3,T$1+6&gt;=$C3),1,"")</f>
        <v/>
      </c>
      <c r="U3" s="7" t="str">
        <f>IF(AND(ISNUMBER($C3),ISNUMBER($D3),U$1&lt;=$D3,U$1+6&gt;=$C3),1,"")</f>
        <v/>
      </c>
      <c r="V3" s="7" t="str">
        <f>IF(AND(ISNUMBER($C3),ISNUMBER($D3),V$1&lt;=$D3,V$1+6&gt;=$C3),1,"")</f>
        <v/>
      </c>
      <c r="W3" s="7" t="str">
        <f>IF(AND(ISNUMBER($C3),ISNUMBER($D3),W$1&lt;=$D3,W$1+6&gt;=$C3),1,"")</f>
        <v/>
      </c>
      <c r="X3" s="7" t="str">
        <f>IF(AND(ISNUMBER($C3),ISNUMBER($D3),X$1&lt;=$D3,X$1+6&gt;=$C3),1,"")</f>
        <v/>
      </c>
      <c r="Y3" s="7" t="str">
        <f>IF(AND(ISNUMBER($C3),ISNUMBER($D3),Y$1&lt;=$D3,Y$1+6&gt;=$C3),1,"")</f>
        <v/>
      </c>
      <c r="Z3" s="7" t="str">
        <f>IF(AND(ISNUMBER($C3),ISNUMBER($D3),Z$1&lt;=$D3,Z$1+6&gt;=$C3),1,"")</f>
        <v/>
      </c>
      <c r="AA3" s="7" t="str">
        <f>IF(AND(ISNUMBER($C3),ISNUMBER($D3),AA$1&lt;=$D3,AA$1+6&gt;=$C3),1,"")</f>
        <v/>
      </c>
      <c r="AB3" s="7" t="str">
        <f>IF(AND(ISNUMBER($C3),ISNUMBER($D3),AB$1&lt;=$D3,AB$1+6&gt;=$C3),1,"")</f>
        <v/>
      </c>
      <c r="AC3" s="7" t="str">
        <f>IF(AND(ISNUMBER($C3),ISNUMBER($D3),AC$1&lt;=$D3,AC$1+6&gt;=$C3),1,"")</f>
        <v/>
      </c>
      <c r="AD3" s="7" t="str">
        <f>IF(AND(ISNUMBER($C3),ISNUMBER($D3),AD$1&lt;=$D3,AD$1+6&gt;=$C3),1,"")</f>
        <v/>
      </c>
      <c r="AE3" s="7" t="str">
        <f>IF(AND(ISNUMBER($C3),ISNUMBER($D3),AE$1&lt;=$D3,AE$1+6&gt;=$C3),1,"")</f>
        <v/>
      </c>
      <c r="AF3" s="7" t="str">
        <f>IF(AND(ISNUMBER($C3),ISNUMBER($D3),AF$1&lt;=$D3,AF$1+6&gt;=$C3),1,"")</f>
        <v/>
      </c>
      <c r="AG3" s="7" t="str">
        <f>IF(AND(ISNUMBER($C3),ISNUMBER($D3),AG$1&lt;=$D3,AG$1+6&gt;=$C3),1,"")</f>
        <v/>
      </c>
      <c r="AH3" s="7" t="str">
        <f>IF(AND(ISNUMBER($C3),ISNUMBER($D3),AH$1&lt;=$D3,AH$1+6&gt;=$C3),1,"")</f>
        <v/>
      </c>
      <c r="AI3" s="7" t="str">
        <f>IF(AND(ISNUMBER($C3),ISNUMBER($D3),AI$1&lt;=$D3,AI$1+6&gt;=$C3),1,"")</f>
        <v/>
      </c>
      <c r="AJ3" s="7" t="str">
        <f>IF(AND(ISNUMBER($C3),ISNUMBER($D3),AJ$1&lt;=$D3,AJ$1+6&gt;=$C3),1,"")</f>
        <v/>
      </c>
      <c r="AK3" s="7" t="str">
        <f>IF(AND(ISNUMBER($C3),ISNUMBER($D3),AK$1&lt;=$D3,AK$1+6&gt;=$C3),1,"")</f>
        <v/>
      </c>
      <c r="AL3" s="7" t="str">
        <f>IF(AND(ISNUMBER($C3),ISNUMBER($D3),AL$1&lt;=$D3,AL$1+6&gt;=$C3),1,"")</f>
        <v/>
      </c>
      <c r="AM3" s="7" t="str">
        <f>IF(AND(ISNUMBER($C3),ISNUMBER($D3),AM$1&lt;=$D3,AM$1+6&gt;=$C3),1,"")</f>
        <v/>
      </c>
      <c r="AN3" s="7" t="str">
        <f>IF(AND(ISNUMBER($C3),ISNUMBER($D3),AN$1&lt;=$D3,AN$1+6&gt;=$C3),1,"")</f>
        <v/>
      </c>
      <c r="AO3" s="7" t="str">
        <f>IF(AND(ISNUMBER($C3),ISNUMBER($D3),AO$1&lt;=$D3,AO$1+6&gt;=$C3),1,"")</f>
        <v/>
      </c>
      <c r="AP3" s="7" t="str">
        <f>IF(AND(ISNUMBER($C3),ISNUMBER($D3),AP$1&lt;=$D3,AP$1+6&gt;=$C3),1,"")</f>
        <v/>
      </c>
      <c r="AQ3" s="7" t="str">
        <f>IF(AND(ISNUMBER($C3),ISNUMBER($D3),AQ$1&lt;=$D3,AQ$1+6&gt;=$C3),1,"")</f>
        <v/>
      </c>
      <c r="AR3" s="7" t="str">
        <f>IF(AND(ISNUMBER($C3),ISNUMBER($D3),AR$1&lt;=$D3,AR$1+6&gt;=$C3),1,"")</f>
        <v/>
      </c>
      <c r="AS3" s="7" t="str">
        <f>IF(AND(ISNUMBER($C3),ISNUMBER($D3),AS$1&lt;=$D3,AS$1+6&gt;=$C3),1,"")</f>
        <v/>
      </c>
      <c r="AT3" s="7" t="str">
        <f>IF(AND(ISNUMBER($C3),ISNUMBER($D3),AT$1&lt;=$D3,AT$1+6&gt;=$C3),1,"")</f>
        <v/>
      </c>
      <c r="AU3" s="7" t="str">
        <f>IF(AND(ISNUMBER($C3),ISNUMBER($D3),AU$1&lt;=$D3,AU$1+6&gt;=$C3),1,"")</f>
        <v/>
      </c>
      <c r="AV3" s="7" t="str">
        <f>IF(AND(ISNUMBER($C3),ISNUMBER($D3),AV$1&lt;=$D3,AV$1+6&gt;=$C3),1,"")</f>
        <v/>
      </c>
      <c r="AW3" s="7" t="str">
        <f>IF(AND(ISNUMBER($C3),ISNUMBER($D3),AW$1&lt;=$D3,AW$1+6&gt;=$C3),1,"")</f>
        <v/>
      </c>
      <c r="AX3" s="7" t="str">
        <f>IF(AND(ISNUMBER($C3),ISNUMBER($D3),AX$1&lt;=$D3,AX$1+6&gt;=$C3),1,"")</f>
        <v/>
      </c>
      <c r="AY3" s="7" t="str">
        <f>IF(AND(ISNUMBER($C3),ISNUMBER($D3),AY$1&lt;=$D3,AY$1+6&gt;=$C3),1,"")</f>
        <v/>
      </c>
      <c r="AZ3" s="7" t="str">
        <f>IF(AND(ISNUMBER($C3),ISNUMBER($D3),AZ$1&lt;=$D3,AZ$1+6&gt;=$C3),1,"")</f>
        <v/>
      </c>
      <c r="BA3" s="7" t="str">
        <f>IF(AND(ISNUMBER($C3),ISNUMBER($D3),BA$1&lt;=$D3,BA$1+6&gt;=$C3),1,"")</f>
        <v/>
      </c>
      <c r="BB3" s="7" t="str">
        <f>IF(AND(ISNUMBER($C3),ISNUMBER($D3),BB$1&lt;=$D3,BB$1+6&gt;=$C3),1,"")</f>
        <v/>
      </c>
      <c r="BC3" s="7" t="str">
        <f>IF(AND(ISNUMBER($C3),ISNUMBER($D3),BC$1&lt;=$D3,BC$1+6&gt;=$C3),1,"")</f>
        <v/>
      </c>
      <c r="BD3" s="7" t="str">
        <f>IF(AND(ISNUMBER($C3),ISNUMBER($D3),BD$1&lt;=$D3,BD$1+6&gt;=$C3),1,"")</f>
        <v/>
      </c>
      <c r="BE3" s="7" t="str">
        <f>IF(AND(ISNUMBER($C3),ISNUMBER($D3),BE$1&lt;=$D3,BE$1+6&gt;=$C3),1,"")</f>
        <v/>
      </c>
      <c r="BF3" s="7" t="str">
        <f>IF(AND(ISNUMBER($C3),ISNUMBER($D3),BF$1&lt;=$D3,BF$1+6&gt;=$C3),1,"")</f>
        <v/>
      </c>
      <c r="BG3" s="7" t="str">
        <f>IF(AND(ISNUMBER($C3),ISNUMBER($D3),BG$1&lt;=$D3,BG$1+6&gt;=$C3),1,"")</f>
        <v/>
      </c>
      <c r="BH3" s="7" t="str">
        <f>IF(AND(ISNUMBER($C3),ISNUMBER($D3),BH$1&lt;=$D3,BH$1+6&gt;=$C3),1,"")</f>
        <v/>
      </c>
      <c r="BI3" s="7" t="str">
        <f>IF(AND(ISNUMBER($C3),ISNUMBER($D3),BI$1&lt;=$D3,BI$1+6&gt;=$C3),1,"")</f>
        <v/>
      </c>
      <c r="BJ3" s="7" t="str">
        <f>IF(AND(ISNUMBER($C3),ISNUMBER($D3),BJ$1&lt;=$D3,BJ$1+6&gt;=$C3),1,"")</f>
        <v/>
      </c>
      <c r="BK3" s="7" t="str">
        <f>IF(AND(ISNUMBER($C3),ISNUMBER($D3),BK$1&lt;=$D3,BK$1+6&gt;=$C3),1,"")</f>
        <v/>
      </c>
      <c r="BL3" s="7" t="str">
        <f>IF(AND(ISNUMBER($C3),ISNUMBER($D3),BL$1&lt;=$D3,BL$1+6&gt;=$C3),1,"")</f>
        <v/>
      </c>
      <c r="BM3" s="7" t="str">
        <f>IF(AND(ISNUMBER($C3),ISNUMBER($D3),BM$1&lt;=$D3,BM$1+6&gt;=$C3),1,"")</f>
        <v/>
      </c>
      <c r="BN3" s="7" t="str">
        <f>IF(AND(ISNUMBER($C3),ISNUMBER($D3),BN$1&lt;=$D3,BN$1+6&gt;=$C3),1,"")</f>
        <v/>
      </c>
      <c r="BO3" s="7" t="str">
        <f>IF(AND(ISNUMBER($C3),ISNUMBER($D3),BO$1&lt;=$D3,BO$1+6&gt;=$C3),1,"")</f>
        <v/>
      </c>
      <c r="BP3" s="7" t="str">
        <f>IF(AND(ISNUMBER($C3),ISNUMBER($D3),BP$1&lt;=$D3,BP$1+6&gt;=$C3),1,"")</f>
        <v/>
      </c>
      <c r="BQ3" s="7" t="str">
        <f>IF(AND(ISNUMBER($C3),ISNUMBER($D3),BQ$1&lt;=$D3,BQ$1+6&gt;=$C3),1,"")</f>
        <v/>
      </c>
      <c r="BR3" s="7" t="str">
        <f>IF(AND(ISNUMBER($C3),ISNUMBER($D3),BR$1&lt;=$D3,BR$1+6&gt;=$C3),1,"")</f>
        <v/>
      </c>
      <c r="BS3" s="7" t="str">
        <f>IF(AND(ISNUMBER($C3),ISNUMBER($D3),BS$1&lt;=$D3,BS$1+6&gt;=$C3),1,"")</f>
        <v/>
      </c>
      <c r="BT3" s="7" t="str">
        <f>IF(AND(ISNUMBER($C3),ISNUMBER($D3),BT$1&lt;=$D3,BT$1+6&gt;=$C3),1,"")</f>
        <v/>
      </c>
      <c r="BU3" s="7" t="str">
        <f>IF(AND(ISNUMBER($C3),ISNUMBER($D3),BU$1&lt;=$D3,BU$1+6&gt;=$C3),1,"")</f>
        <v/>
      </c>
      <c r="BV3" s="7" t="str">
        <f>IF(AND(ISNUMBER($C3),ISNUMBER($D3),BV$1&lt;=$D3,BV$1+6&gt;=$C3),1,"")</f>
        <v/>
      </c>
      <c r="BW3" s="7" t="str">
        <f>IF(AND(ISNUMBER($C3),ISNUMBER($D3),BW$1&lt;=$D3,BW$1+6&gt;=$C3),1,"")</f>
        <v/>
      </c>
      <c r="BX3" s="7" t="str">
        <f>IF(AND(ISNUMBER($C3),ISNUMBER($D3),BX$1&lt;=$D3,BX$1+6&gt;=$C3),1,"")</f>
        <v/>
      </c>
      <c r="BY3" s="7" t="str">
        <f>IF(AND(ISNUMBER($C3),ISNUMBER($D3),BY$1&lt;=$D3,BY$1+6&gt;=$C3),1,"")</f>
        <v/>
      </c>
      <c r="BZ3" s="7" t="str">
        <f>IF(AND(ISNUMBER($C3),ISNUMBER($D3),BZ$1&lt;=$D3,BZ$1+6&gt;=$C3),1,"")</f>
        <v/>
      </c>
      <c r="CA3" s="7" t="str">
        <f>IF(AND(ISNUMBER($C3),ISNUMBER($D3),CA$1&lt;=$D3,CA$1+6&gt;=$C3),1,"")</f>
        <v/>
      </c>
      <c r="CB3" s="7" t="str">
        <f>IF(AND(ISNUMBER($C3),ISNUMBER($D3),CB$1&lt;=$D3,CB$1+6&gt;=$C3),1,"")</f>
        <v/>
      </c>
      <c r="CC3" s="7" t="str">
        <f>IF(AND(ISNUMBER($C3),ISNUMBER($D3),CC$1&lt;=$D3,CC$1+6&gt;=$C3),1,"")</f>
        <v/>
      </c>
      <c r="CD3" s="7" t="str">
        <f>IF(AND(ISNUMBER($C3),ISNUMBER($D3),CD$1&lt;=$D3,CD$1+6&gt;=$C3),1,"")</f>
        <v/>
      </c>
      <c r="CE3" s="7" t="str">
        <f>IF(AND(ISNUMBER($C3),ISNUMBER($D3),CE$1&lt;=$D3,CE$1+6&gt;=$C3),1,"")</f>
        <v/>
      </c>
      <c r="CF3" s="7" t="str">
        <f>IF(AND(ISNUMBER($C3),ISNUMBER($D3),CF$1&lt;=$D3,CF$1+6&gt;=$C3),1,"")</f>
        <v/>
      </c>
      <c r="CG3" s="7" t="str">
        <f>IF(AND(ISNUMBER($C3),ISNUMBER($D3),CG$1&lt;=$D3,CG$1+6&gt;=$C3),1,"")</f>
        <v/>
      </c>
      <c r="CH3" s="7" t="str">
        <f>IF(AND(ISNUMBER($C3),ISNUMBER($D3),CH$1&lt;=$D3,CH$1+6&gt;=$C3),1,"")</f>
        <v/>
      </c>
      <c r="CI3" s="7" t="str">
        <f>IF(AND(ISNUMBER($C3),ISNUMBER($D3),CI$1&lt;=$D3,CI$1+6&gt;=$C3),1,"")</f>
        <v/>
      </c>
      <c r="CJ3" s="7" t="str">
        <f>IF(AND(ISNUMBER($C3),ISNUMBER($D3),CJ$1&lt;=$D3,CJ$1+6&gt;=$C3),1,"")</f>
        <v/>
      </c>
      <c r="CK3" s="7" t="str">
        <f>IF(AND(ISNUMBER($C3),ISNUMBER($D3),CK$1&lt;=$D3,CK$1+6&gt;=$C3),1,"")</f>
        <v/>
      </c>
      <c r="CL3" s="7" t="str">
        <f>IF(AND(ISNUMBER($C3),ISNUMBER($D3),CL$1&lt;=$D3,CL$1+6&gt;=$C3),1,"")</f>
        <v/>
      </c>
      <c r="CM3" s="7" t="str">
        <f>IF(AND(ISNUMBER($C3),ISNUMBER($D3),CM$1&lt;=$D3,CM$1+6&gt;=$C3),1,"")</f>
        <v/>
      </c>
      <c r="CN3" s="7" t="str">
        <f>IF(AND(ISNUMBER($C3),ISNUMBER($D3),CN$1&lt;=$D3,CN$1+6&gt;=$C3),1,"")</f>
        <v/>
      </c>
      <c r="CO3" s="7" t="str">
        <f>IF(AND(ISNUMBER($C3),ISNUMBER($D3),CO$1&lt;=$D3,CO$1+6&gt;=$C3),1,"")</f>
        <v/>
      </c>
      <c r="CP3" s="7" t="str">
        <f>IF(AND(ISNUMBER($C3),ISNUMBER($D3),CP$1&lt;=$D3,CP$1+6&gt;=$C3),1,"")</f>
        <v/>
      </c>
      <c r="CQ3" s="7" t="str">
        <f>IF(AND(ISNUMBER($C3),ISNUMBER($D3),CQ$1&lt;=$D3,CQ$1+6&gt;=$C3),1,"")</f>
        <v/>
      </c>
      <c r="CR3" s="7" t="str">
        <f>IF(AND(ISNUMBER($C3),ISNUMBER($D3),CR$1&lt;=$D3,CR$1+6&gt;=$C3),1,"")</f>
        <v/>
      </c>
      <c r="CS3" s="7" t="str">
        <f>IF(AND(ISNUMBER($C3),ISNUMBER($D3),CS$1&lt;=$D3,CS$1+6&gt;=$C3),1,"")</f>
        <v/>
      </c>
      <c r="CT3" s="7" t="str">
        <f>IF(AND(ISNUMBER($C3),ISNUMBER($D3),CT$1&lt;=$D3,CT$1+6&gt;=$C3),1,"")</f>
        <v/>
      </c>
      <c r="CU3" s="7" t="str">
        <f>IF(AND(ISNUMBER($C3),ISNUMBER($D3),CU$1&lt;=$D3,CU$1+6&gt;=$C3),1,"")</f>
        <v/>
      </c>
      <c r="CV3" s="7" t="str">
        <f>IF(AND(ISNUMBER($C3),ISNUMBER($D3),CV$1&lt;=$D3,CV$1+6&gt;=$C3),1,"")</f>
        <v/>
      </c>
      <c r="CW3" s="7" t="str">
        <f>IF(AND(ISNUMBER($C3),ISNUMBER($D3),CW$1&lt;=$D3,CW$1+6&gt;=$C3),1,"")</f>
        <v/>
      </c>
      <c r="CX3" s="7" t="str">
        <f>IF(AND(ISNUMBER($C3),ISNUMBER($D3),CX$1&lt;=$D3,CX$1+6&gt;=$C3),1,"")</f>
        <v/>
      </c>
      <c r="CY3" s="7" t="str">
        <f>IF(AND(ISNUMBER($C3),ISNUMBER($D3),CY$1&lt;=$D3,CY$1+6&gt;=$C3),1,"")</f>
        <v/>
      </c>
      <c r="CZ3" s="7" t="str">
        <f>IF(AND(ISNUMBER($C3),ISNUMBER($D3),CZ$1&lt;=$D3,CZ$1+6&gt;=$C3),1,"")</f>
        <v/>
      </c>
      <c r="DA3" s="7" t="str">
        <f>IF(AND(ISNUMBER($C3),ISNUMBER($D3),DA$1&lt;=$D3,DA$1+6&gt;=$C3),1,"")</f>
        <v/>
      </c>
      <c r="DB3" s="7" t="str">
        <f>IF(AND(ISNUMBER($C3),ISNUMBER($D3),DB$1&lt;=$D3,DB$1+6&gt;=$C3),1,"")</f>
        <v/>
      </c>
      <c r="DC3" s="7" t="str">
        <f>IF(AND(ISNUMBER($C3),ISNUMBER($D3),DC$1&lt;=$D3,DC$1+6&gt;=$C3),1,"")</f>
        <v/>
      </c>
      <c r="DD3" s="7" t="str">
        <f>IF(AND(ISNUMBER($C3),ISNUMBER($D3),DD$1&lt;=$D3,DD$1+6&gt;=$C3),1,"")</f>
        <v/>
      </c>
    </row>
    <row r="4" spans="1:108" x14ac:dyDescent="0.35">
      <c r="A4" s="6" t="str">
        <f>Schedule!B4</f>
        <v>Git Linux and debugging foundations</v>
      </c>
      <c r="B4" s="6" t="str">
        <f>Schedule!C4</f>
        <v>Core</v>
      </c>
      <c r="C4" s="4">
        <f>IF(Schedule!P4="","",Schedule!P4)</f>
        <v>46351</v>
      </c>
      <c r="D4" s="4">
        <f>IF(Schedule!Q4="","",Schedule!Q4)</f>
        <v>46367</v>
      </c>
      <c r="E4" s="7" t="str">
        <f>IF(AND(ISNUMBER($C4),ISNUMBER($D4),E$1&lt;=$D4,E$1+6&gt;=$C4),1,"")</f>
        <v/>
      </c>
      <c r="F4" s="7" t="str">
        <f>IF(AND(ISNUMBER($C4),ISNUMBER($D4),F$1&lt;=$D4,F$1+6&gt;=$C4),1,"")</f>
        <v/>
      </c>
      <c r="G4" s="7" t="str">
        <f>IF(AND(ISNUMBER($C4),ISNUMBER($D4),G$1&lt;=$D4,G$1+6&gt;=$C4),1,"")</f>
        <v/>
      </c>
      <c r="H4" s="7" t="str">
        <f>IF(AND(ISNUMBER($C4),ISNUMBER($D4),H$1&lt;=$D4,H$1+6&gt;=$C4),1,"")</f>
        <v/>
      </c>
      <c r="I4" s="7">
        <f>IF(AND(ISNUMBER($C4),ISNUMBER($D4),I$1&lt;=$D4,I$1+6&gt;=$C4),1,"")</f>
        <v>1</v>
      </c>
      <c r="J4" s="7">
        <f>IF(AND(ISNUMBER($C4),ISNUMBER($D4),J$1&lt;=$D4,J$1+6&gt;=$C4),1,"")</f>
        <v>1</v>
      </c>
      <c r="K4" s="7">
        <f>IF(AND(ISNUMBER($C4),ISNUMBER($D4),K$1&lt;=$D4,K$1+6&gt;=$C4),1,"")</f>
        <v>1</v>
      </c>
      <c r="L4" s="7">
        <f>IF(AND(ISNUMBER($C4),ISNUMBER($D4),L$1&lt;=$D4,L$1+6&gt;=$C4),1,"")</f>
        <v>1</v>
      </c>
      <c r="M4" s="7" t="str">
        <f>IF(AND(ISNUMBER($C4),ISNUMBER($D4),M$1&lt;=$D4,M$1+6&gt;=$C4),1,"")</f>
        <v/>
      </c>
      <c r="N4" s="7" t="str">
        <f>IF(AND(ISNUMBER($C4),ISNUMBER($D4),N$1&lt;=$D4,N$1+6&gt;=$C4),1,"")</f>
        <v/>
      </c>
      <c r="O4" s="7" t="str">
        <f>IF(AND(ISNUMBER($C4),ISNUMBER($D4),O$1&lt;=$D4,O$1+6&gt;=$C4),1,"")</f>
        <v/>
      </c>
      <c r="P4" s="7" t="str">
        <f>IF(AND(ISNUMBER($C4),ISNUMBER($D4),P$1&lt;=$D4,P$1+6&gt;=$C4),1,"")</f>
        <v/>
      </c>
      <c r="Q4" s="7" t="str">
        <f>IF(AND(ISNUMBER($C4),ISNUMBER($D4),Q$1&lt;=$D4,Q$1+6&gt;=$C4),1,"")</f>
        <v/>
      </c>
      <c r="R4" s="7" t="str">
        <f>IF(AND(ISNUMBER($C4),ISNUMBER($D4),R$1&lt;=$D4,R$1+6&gt;=$C4),1,"")</f>
        <v/>
      </c>
      <c r="S4" s="7" t="str">
        <f>IF(AND(ISNUMBER($C4),ISNUMBER($D4),S$1&lt;=$D4,S$1+6&gt;=$C4),1,"")</f>
        <v/>
      </c>
      <c r="T4" s="7" t="str">
        <f>IF(AND(ISNUMBER($C4),ISNUMBER($D4),T$1&lt;=$D4,T$1+6&gt;=$C4),1,"")</f>
        <v/>
      </c>
      <c r="U4" s="7" t="str">
        <f>IF(AND(ISNUMBER($C4),ISNUMBER($D4),U$1&lt;=$D4,U$1+6&gt;=$C4),1,"")</f>
        <v/>
      </c>
      <c r="V4" s="7" t="str">
        <f>IF(AND(ISNUMBER($C4),ISNUMBER($D4),V$1&lt;=$D4,V$1+6&gt;=$C4),1,"")</f>
        <v/>
      </c>
      <c r="W4" s="7" t="str">
        <f>IF(AND(ISNUMBER($C4),ISNUMBER($D4),W$1&lt;=$D4,W$1+6&gt;=$C4),1,"")</f>
        <v/>
      </c>
      <c r="X4" s="7" t="str">
        <f>IF(AND(ISNUMBER($C4),ISNUMBER($D4),X$1&lt;=$D4,X$1+6&gt;=$C4),1,"")</f>
        <v/>
      </c>
      <c r="Y4" s="7" t="str">
        <f>IF(AND(ISNUMBER($C4),ISNUMBER($D4),Y$1&lt;=$D4,Y$1+6&gt;=$C4),1,"")</f>
        <v/>
      </c>
      <c r="Z4" s="7" t="str">
        <f>IF(AND(ISNUMBER($C4),ISNUMBER($D4),Z$1&lt;=$D4,Z$1+6&gt;=$C4),1,"")</f>
        <v/>
      </c>
      <c r="AA4" s="7" t="str">
        <f>IF(AND(ISNUMBER($C4),ISNUMBER($D4),AA$1&lt;=$D4,AA$1+6&gt;=$C4),1,"")</f>
        <v/>
      </c>
      <c r="AB4" s="7" t="str">
        <f>IF(AND(ISNUMBER($C4),ISNUMBER($D4),AB$1&lt;=$D4,AB$1+6&gt;=$C4),1,"")</f>
        <v/>
      </c>
      <c r="AC4" s="7" t="str">
        <f>IF(AND(ISNUMBER($C4),ISNUMBER($D4),AC$1&lt;=$D4,AC$1+6&gt;=$C4),1,"")</f>
        <v/>
      </c>
      <c r="AD4" s="7" t="str">
        <f>IF(AND(ISNUMBER($C4),ISNUMBER($D4),AD$1&lt;=$D4,AD$1+6&gt;=$C4),1,"")</f>
        <v/>
      </c>
      <c r="AE4" s="7" t="str">
        <f>IF(AND(ISNUMBER($C4),ISNUMBER($D4),AE$1&lt;=$D4,AE$1+6&gt;=$C4),1,"")</f>
        <v/>
      </c>
      <c r="AF4" s="7" t="str">
        <f>IF(AND(ISNUMBER($C4),ISNUMBER($D4),AF$1&lt;=$D4,AF$1+6&gt;=$C4),1,"")</f>
        <v/>
      </c>
      <c r="AG4" s="7" t="str">
        <f>IF(AND(ISNUMBER($C4),ISNUMBER($D4),AG$1&lt;=$D4,AG$1+6&gt;=$C4),1,"")</f>
        <v/>
      </c>
      <c r="AH4" s="7" t="str">
        <f>IF(AND(ISNUMBER($C4),ISNUMBER($D4),AH$1&lt;=$D4,AH$1+6&gt;=$C4),1,"")</f>
        <v/>
      </c>
      <c r="AI4" s="7" t="str">
        <f>IF(AND(ISNUMBER($C4),ISNUMBER($D4),AI$1&lt;=$D4,AI$1+6&gt;=$C4),1,"")</f>
        <v/>
      </c>
      <c r="AJ4" s="7" t="str">
        <f>IF(AND(ISNUMBER($C4),ISNUMBER($D4),AJ$1&lt;=$D4,AJ$1+6&gt;=$C4),1,"")</f>
        <v/>
      </c>
      <c r="AK4" s="7" t="str">
        <f>IF(AND(ISNUMBER($C4),ISNUMBER($D4),AK$1&lt;=$D4,AK$1+6&gt;=$C4),1,"")</f>
        <v/>
      </c>
      <c r="AL4" s="7" t="str">
        <f>IF(AND(ISNUMBER($C4),ISNUMBER($D4),AL$1&lt;=$D4,AL$1+6&gt;=$C4),1,"")</f>
        <v/>
      </c>
      <c r="AM4" s="7" t="str">
        <f>IF(AND(ISNUMBER($C4),ISNUMBER($D4),AM$1&lt;=$D4,AM$1+6&gt;=$C4),1,"")</f>
        <v/>
      </c>
      <c r="AN4" s="7" t="str">
        <f>IF(AND(ISNUMBER($C4),ISNUMBER($D4),AN$1&lt;=$D4,AN$1+6&gt;=$C4),1,"")</f>
        <v/>
      </c>
      <c r="AO4" s="7" t="str">
        <f>IF(AND(ISNUMBER($C4),ISNUMBER($D4),AO$1&lt;=$D4,AO$1+6&gt;=$C4),1,"")</f>
        <v/>
      </c>
      <c r="AP4" s="7" t="str">
        <f>IF(AND(ISNUMBER($C4),ISNUMBER($D4),AP$1&lt;=$D4,AP$1+6&gt;=$C4),1,"")</f>
        <v/>
      </c>
      <c r="AQ4" s="7" t="str">
        <f>IF(AND(ISNUMBER($C4),ISNUMBER($D4),AQ$1&lt;=$D4,AQ$1+6&gt;=$C4),1,"")</f>
        <v/>
      </c>
      <c r="AR4" s="7" t="str">
        <f>IF(AND(ISNUMBER($C4),ISNUMBER($D4),AR$1&lt;=$D4,AR$1+6&gt;=$C4),1,"")</f>
        <v/>
      </c>
      <c r="AS4" s="7" t="str">
        <f>IF(AND(ISNUMBER($C4),ISNUMBER($D4),AS$1&lt;=$D4,AS$1+6&gt;=$C4),1,"")</f>
        <v/>
      </c>
      <c r="AT4" s="7" t="str">
        <f>IF(AND(ISNUMBER($C4),ISNUMBER($D4),AT$1&lt;=$D4,AT$1+6&gt;=$C4),1,"")</f>
        <v/>
      </c>
      <c r="AU4" s="7" t="str">
        <f>IF(AND(ISNUMBER($C4),ISNUMBER($D4),AU$1&lt;=$D4,AU$1+6&gt;=$C4),1,"")</f>
        <v/>
      </c>
      <c r="AV4" s="7" t="str">
        <f>IF(AND(ISNUMBER($C4),ISNUMBER($D4),AV$1&lt;=$D4,AV$1+6&gt;=$C4),1,"")</f>
        <v/>
      </c>
      <c r="AW4" s="7" t="str">
        <f>IF(AND(ISNUMBER($C4),ISNUMBER($D4),AW$1&lt;=$D4,AW$1+6&gt;=$C4),1,"")</f>
        <v/>
      </c>
      <c r="AX4" s="7" t="str">
        <f>IF(AND(ISNUMBER($C4),ISNUMBER($D4),AX$1&lt;=$D4,AX$1+6&gt;=$C4),1,"")</f>
        <v/>
      </c>
      <c r="AY4" s="7" t="str">
        <f>IF(AND(ISNUMBER($C4),ISNUMBER($D4),AY$1&lt;=$D4,AY$1+6&gt;=$C4),1,"")</f>
        <v/>
      </c>
      <c r="AZ4" s="7" t="str">
        <f>IF(AND(ISNUMBER($C4),ISNUMBER($D4),AZ$1&lt;=$D4,AZ$1+6&gt;=$C4),1,"")</f>
        <v/>
      </c>
      <c r="BA4" s="7" t="str">
        <f>IF(AND(ISNUMBER($C4),ISNUMBER($D4),BA$1&lt;=$D4,BA$1+6&gt;=$C4),1,"")</f>
        <v/>
      </c>
      <c r="BB4" s="7" t="str">
        <f>IF(AND(ISNUMBER($C4),ISNUMBER($D4),BB$1&lt;=$D4,BB$1+6&gt;=$C4),1,"")</f>
        <v/>
      </c>
      <c r="BC4" s="7" t="str">
        <f>IF(AND(ISNUMBER($C4),ISNUMBER($D4),BC$1&lt;=$D4,BC$1+6&gt;=$C4),1,"")</f>
        <v/>
      </c>
      <c r="BD4" s="7" t="str">
        <f>IF(AND(ISNUMBER($C4),ISNUMBER($D4),BD$1&lt;=$D4,BD$1+6&gt;=$C4),1,"")</f>
        <v/>
      </c>
      <c r="BE4" s="7" t="str">
        <f>IF(AND(ISNUMBER($C4),ISNUMBER($D4),BE$1&lt;=$D4,BE$1+6&gt;=$C4),1,"")</f>
        <v/>
      </c>
      <c r="BF4" s="7" t="str">
        <f>IF(AND(ISNUMBER($C4),ISNUMBER($D4),BF$1&lt;=$D4,BF$1+6&gt;=$C4),1,"")</f>
        <v/>
      </c>
      <c r="BG4" s="7" t="str">
        <f>IF(AND(ISNUMBER($C4),ISNUMBER($D4),BG$1&lt;=$D4,BG$1+6&gt;=$C4),1,"")</f>
        <v/>
      </c>
      <c r="BH4" s="7" t="str">
        <f>IF(AND(ISNUMBER($C4),ISNUMBER($D4),BH$1&lt;=$D4,BH$1+6&gt;=$C4),1,"")</f>
        <v/>
      </c>
      <c r="BI4" s="7" t="str">
        <f>IF(AND(ISNUMBER($C4),ISNUMBER($D4),BI$1&lt;=$D4,BI$1+6&gt;=$C4),1,"")</f>
        <v/>
      </c>
      <c r="BJ4" s="7" t="str">
        <f>IF(AND(ISNUMBER($C4),ISNUMBER($D4),BJ$1&lt;=$D4,BJ$1+6&gt;=$C4),1,"")</f>
        <v/>
      </c>
      <c r="BK4" s="7" t="str">
        <f>IF(AND(ISNUMBER($C4),ISNUMBER($D4),BK$1&lt;=$D4,BK$1+6&gt;=$C4),1,"")</f>
        <v/>
      </c>
      <c r="BL4" s="7" t="str">
        <f>IF(AND(ISNUMBER($C4),ISNUMBER($D4),BL$1&lt;=$D4,BL$1+6&gt;=$C4),1,"")</f>
        <v/>
      </c>
      <c r="BM4" s="7" t="str">
        <f>IF(AND(ISNUMBER($C4),ISNUMBER($D4),BM$1&lt;=$D4,BM$1+6&gt;=$C4),1,"")</f>
        <v/>
      </c>
      <c r="BN4" s="7" t="str">
        <f>IF(AND(ISNUMBER($C4),ISNUMBER($D4),BN$1&lt;=$D4,BN$1+6&gt;=$C4),1,"")</f>
        <v/>
      </c>
      <c r="BO4" s="7" t="str">
        <f>IF(AND(ISNUMBER($C4),ISNUMBER($D4),BO$1&lt;=$D4,BO$1+6&gt;=$C4),1,"")</f>
        <v/>
      </c>
      <c r="BP4" s="7" t="str">
        <f>IF(AND(ISNUMBER($C4),ISNUMBER($D4),BP$1&lt;=$D4,BP$1+6&gt;=$C4),1,"")</f>
        <v/>
      </c>
      <c r="BQ4" s="7" t="str">
        <f>IF(AND(ISNUMBER($C4),ISNUMBER($D4),BQ$1&lt;=$D4,BQ$1+6&gt;=$C4),1,"")</f>
        <v/>
      </c>
      <c r="BR4" s="7" t="str">
        <f>IF(AND(ISNUMBER($C4),ISNUMBER($D4),BR$1&lt;=$D4,BR$1+6&gt;=$C4),1,"")</f>
        <v/>
      </c>
      <c r="BS4" s="7" t="str">
        <f>IF(AND(ISNUMBER($C4),ISNUMBER($D4),BS$1&lt;=$D4,BS$1+6&gt;=$C4),1,"")</f>
        <v/>
      </c>
      <c r="BT4" s="7" t="str">
        <f>IF(AND(ISNUMBER($C4),ISNUMBER($D4),BT$1&lt;=$D4,BT$1+6&gt;=$C4),1,"")</f>
        <v/>
      </c>
      <c r="BU4" s="7" t="str">
        <f>IF(AND(ISNUMBER($C4),ISNUMBER($D4),BU$1&lt;=$D4,BU$1+6&gt;=$C4),1,"")</f>
        <v/>
      </c>
      <c r="BV4" s="7" t="str">
        <f>IF(AND(ISNUMBER($C4),ISNUMBER($D4),BV$1&lt;=$D4,BV$1+6&gt;=$C4),1,"")</f>
        <v/>
      </c>
      <c r="BW4" s="7" t="str">
        <f>IF(AND(ISNUMBER($C4),ISNUMBER($D4),BW$1&lt;=$D4,BW$1+6&gt;=$C4),1,"")</f>
        <v/>
      </c>
      <c r="BX4" s="7" t="str">
        <f>IF(AND(ISNUMBER($C4),ISNUMBER($D4),BX$1&lt;=$D4,BX$1+6&gt;=$C4),1,"")</f>
        <v/>
      </c>
      <c r="BY4" s="7" t="str">
        <f>IF(AND(ISNUMBER($C4),ISNUMBER($D4),BY$1&lt;=$D4,BY$1+6&gt;=$C4),1,"")</f>
        <v/>
      </c>
      <c r="BZ4" s="7" t="str">
        <f>IF(AND(ISNUMBER($C4),ISNUMBER($D4),BZ$1&lt;=$D4,BZ$1+6&gt;=$C4),1,"")</f>
        <v/>
      </c>
      <c r="CA4" s="7" t="str">
        <f>IF(AND(ISNUMBER($C4),ISNUMBER($D4),CA$1&lt;=$D4,CA$1+6&gt;=$C4),1,"")</f>
        <v/>
      </c>
      <c r="CB4" s="7" t="str">
        <f>IF(AND(ISNUMBER($C4),ISNUMBER($D4),CB$1&lt;=$D4,CB$1+6&gt;=$C4),1,"")</f>
        <v/>
      </c>
      <c r="CC4" s="7" t="str">
        <f>IF(AND(ISNUMBER($C4),ISNUMBER($D4),CC$1&lt;=$D4,CC$1+6&gt;=$C4),1,"")</f>
        <v/>
      </c>
      <c r="CD4" s="7" t="str">
        <f>IF(AND(ISNUMBER($C4),ISNUMBER($D4),CD$1&lt;=$D4,CD$1+6&gt;=$C4),1,"")</f>
        <v/>
      </c>
      <c r="CE4" s="7" t="str">
        <f>IF(AND(ISNUMBER($C4),ISNUMBER($D4),CE$1&lt;=$D4,CE$1+6&gt;=$C4),1,"")</f>
        <v/>
      </c>
      <c r="CF4" s="7" t="str">
        <f>IF(AND(ISNUMBER($C4),ISNUMBER($D4),CF$1&lt;=$D4,CF$1+6&gt;=$C4),1,"")</f>
        <v/>
      </c>
      <c r="CG4" s="7" t="str">
        <f>IF(AND(ISNUMBER($C4),ISNUMBER($D4),CG$1&lt;=$D4,CG$1+6&gt;=$C4),1,"")</f>
        <v/>
      </c>
      <c r="CH4" s="7" t="str">
        <f>IF(AND(ISNUMBER($C4),ISNUMBER($D4),CH$1&lt;=$D4,CH$1+6&gt;=$C4),1,"")</f>
        <v/>
      </c>
      <c r="CI4" s="7" t="str">
        <f>IF(AND(ISNUMBER($C4),ISNUMBER($D4),CI$1&lt;=$D4,CI$1+6&gt;=$C4),1,"")</f>
        <v/>
      </c>
      <c r="CJ4" s="7" t="str">
        <f>IF(AND(ISNUMBER($C4),ISNUMBER($D4),CJ$1&lt;=$D4,CJ$1+6&gt;=$C4),1,"")</f>
        <v/>
      </c>
      <c r="CK4" s="7" t="str">
        <f>IF(AND(ISNUMBER($C4),ISNUMBER($D4),CK$1&lt;=$D4,CK$1+6&gt;=$C4),1,"")</f>
        <v/>
      </c>
      <c r="CL4" s="7" t="str">
        <f>IF(AND(ISNUMBER($C4),ISNUMBER($D4),CL$1&lt;=$D4,CL$1+6&gt;=$C4),1,"")</f>
        <v/>
      </c>
      <c r="CM4" s="7" t="str">
        <f>IF(AND(ISNUMBER($C4),ISNUMBER($D4),CM$1&lt;=$D4,CM$1+6&gt;=$C4),1,"")</f>
        <v/>
      </c>
      <c r="CN4" s="7" t="str">
        <f>IF(AND(ISNUMBER($C4),ISNUMBER($D4),CN$1&lt;=$D4,CN$1+6&gt;=$C4),1,"")</f>
        <v/>
      </c>
      <c r="CO4" s="7" t="str">
        <f>IF(AND(ISNUMBER($C4),ISNUMBER($D4),CO$1&lt;=$D4,CO$1+6&gt;=$C4),1,"")</f>
        <v/>
      </c>
      <c r="CP4" s="7" t="str">
        <f>IF(AND(ISNUMBER($C4),ISNUMBER($D4),CP$1&lt;=$D4,CP$1+6&gt;=$C4),1,"")</f>
        <v/>
      </c>
      <c r="CQ4" s="7" t="str">
        <f>IF(AND(ISNUMBER($C4),ISNUMBER($D4),CQ$1&lt;=$D4,CQ$1+6&gt;=$C4),1,"")</f>
        <v/>
      </c>
      <c r="CR4" s="7" t="str">
        <f>IF(AND(ISNUMBER($C4),ISNUMBER($D4),CR$1&lt;=$D4,CR$1+6&gt;=$C4),1,"")</f>
        <v/>
      </c>
      <c r="CS4" s="7" t="str">
        <f>IF(AND(ISNUMBER($C4),ISNUMBER($D4),CS$1&lt;=$D4,CS$1+6&gt;=$C4),1,"")</f>
        <v/>
      </c>
      <c r="CT4" s="7" t="str">
        <f>IF(AND(ISNUMBER($C4),ISNUMBER($D4),CT$1&lt;=$D4,CT$1+6&gt;=$C4),1,"")</f>
        <v/>
      </c>
      <c r="CU4" s="7" t="str">
        <f>IF(AND(ISNUMBER($C4),ISNUMBER($D4),CU$1&lt;=$D4,CU$1+6&gt;=$C4),1,"")</f>
        <v/>
      </c>
      <c r="CV4" s="7" t="str">
        <f>IF(AND(ISNUMBER($C4),ISNUMBER($D4),CV$1&lt;=$D4,CV$1+6&gt;=$C4),1,"")</f>
        <v/>
      </c>
      <c r="CW4" s="7" t="str">
        <f>IF(AND(ISNUMBER($C4),ISNUMBER($D4),CW$1&lt;=$D4,CW$1+6&gt;=$C4),1,"")</f>
        <v/>
      </c>
      <c r="CX4" s="7" t="str">
        <f>IF(AND(ISNUMBER($C4),ISNUMBER($D4),CX$1&lt;=$D4,CX$1+6&gt;=$C4),1,"")</f>
        <v/>
      </c>
      <c r="CY4" s="7" t="str">
        <f>IF(AND(ISNUMBER($C4),ISNUMBER($D4),CY$1&lt;=$D4,CY$1+6&gt;=$C4),1,"")</f>
        <v/>
      </c>
      <c r="CZ4" s="7" t="str">
        <f>IF(AND(ISNUMBER($C4),ISNUMBER($D4),CZ$1&lt;=$D4,CZ$1+6&gt;=$C4),1,"")</f>
        <v/>
      </c>
      <c r="DA4" s="7" t="str">
        <f>IF(AND(ISNUMBER($C4),ISNUMBER($D4),DA$1&lt;=$D4,DA$1+6&gt;=$C4),1,"")</f>
        <v/>
      </c>
      <c r="DB4" s="7" t="str">
        <f>IF(AND(ISNUMBER($C4),ISNUMBER($D4),DB$1&lt;=$D4,DB$1+6&gt;=$C4),1,"")</f>
        <v/>
      </c>
      <c r="DC4" s="7" t="str">
        <f>IF(AND(ISNUMBER($C4),ISNUMBER($D4),DC$1&lt;=$D4,DC$1+6&gt;=$C4),1,"")</f>
        <v/>
      </c>
      <c r="DD4" s="7" t="str">
        <f>IF(AND(ISNUMBER($C4),ISNUMBER($D4),DD$1&lt;=$D4,DD$1+6&gt;=$C4),1,"")</f>
        <v/>
      </c>
    </row>
    <row r="5" spans="1:108" x14ac:dyDescent="0.35">
      <c r="A5" s="6" t="str">
        <f>Schedule!B5</f>
        <v>Testing and reproducible project bridge</v>
      </c>
      <c r="B5" s="6" t="str">
        <f>Schedule!C5</f>
        <v>Core</v>
      </c>
      <c r="C5" s="4">
        <f>IF(Schedule!P5="","",Schedule!P5)</f>
        <v>46367</v>
      </c>
      <c r="D5" s="4">
        <f>IF(Schedule!Q5="","",Schedule!Q5)</f>
        <v>46386</v>
      </c>
      <c r="E5" s="7" t="str">
        <f>IF(AND(ISNUMBER($C5),ISNUMBER($D5),E$1&lt;=$D5,E$1+6&gt;=$C5),1,"")</f>
        <v/>
      </c>
      <c r="F5" s="7" t="str">
        <f>IF(AND(ISNUMBER($C5),ISNUMBER($D5),F$1&lt;=$D5,F$1+6&gt;=$C5),1,"")</f>
        <v/>
      </c>
      <c r="G5" s="7" t="str">
        <f>IF(AND(ISNUMBER($C5),ISNUMBER($D5),G$1&lt;=$D5,G$1+6&gt;=$C5),1,"")</f>
        <v/>
      </c>
      <c r="H5" s="7" t="str">
        <f>IF(AND(ISNUMBER($C5),ISNUMBER($D5),H$1&lt;=$D5,H$1+6&gt;=$C5),1,"")</f>
        <v/>
      </c>
      <c r="I5" s="7" t="str">
        <f>IF(AND(ISNUMBER($C5),ISNUMBER($D5),I$1&lt;=$D5,I$1+6&gt;=$C5),1,"")</f>
        <v/>
      </c>
      <c r="J5" s="7" t="str">
        <f>IF(AND(ISNUMBER($C5),ISNUMBER($D5),J$1&lt;=$D5,J$1+6&gt;=$C5),1,"")</f>
        <v/>
      </c>
      <c r="K5" s="7" t="str">
        <f>IF(AND(ISNUMBER($C5),ISNUMBER($D5),K$1&lt;=$D5,K$1+6&gt;=$C5),1,"")</f>
        <v/>
      </c>
      <c r="L5" s="7">
        <f>IF(AND(ISNUMBER($C5),ISNUMBER($D5),L$1&lt;=$D5,L$1+6&gt;=$C5),1,"")</f>
        <v>1</v>
      </c>
      <c r="M5" s="7">
        <f>IF(AND(ISNUMBER($C5),ISNUMBER($D5),M$1&lt;=$D5,M$1+6&gt;=$C5),1,"")</f>
        <v>1</v>
      </c>
      <c r="N5" s="7">
        <f>IF(AND(ISNUMBER($C5),ISNUMBER($D5),N$1&lt;=$D5,N$1+6&gt;=$C5),1,"")</f>
        <v>1</v>
      </c>
      <c r="O5" s="7" t="str">
        <f>IF(AND(ISNUMBER($C5),ISNUMBER($D5),O$1&lt;=$D5,O$1+6&gt;=$C5),1,"")</f>
        <v/>
      </c>
      <c r="P5" s="7" t="str">
        <f>IF(AND(ISNUMBER($C5),ISNUMBER($D5),P$1&lt;=$D5,P$1+6&gt;=$C5),1,"")</f>
        <v/>
      </c>
      <c r="Q5" s="7" t="str">
        <f>IF(AND(ISNUMBER($C5),ISNUMBER($D5),Q$1&lt;=$D5,Q$1+6&gt;=$C5),1,"")</f>
        <v/>
      </c>
      <c r="R5" s="7" t="str">
        <f>IF(AND(ISNUMBER($C5),ISNUMBER($D5),R$1&lt;=$D5,R$1+6&gt;=$C5),1,"")</f>
        <v/>
      </c>
      <c r="S5" s="7" t="str">
        <f>IF(AND(ISNUMBER($C5),ISNUMBER($D5),S$1&lt;=$D5,S$1+6&gt;=$C5),1,"")</f>
        <v/>
      </c>
      <c r="T5" s="7" t="str">
        <f>IF(AND(ISNUMBER($C5),ISNUMBER($D5),T$1&lt;=$D5,T$1+6&gt;=$C5),1,"")</f>
        <v/>
      </c>
      <c r="U5" s="7" t="str">
        <f>IF(AND(ISNUMBER($C5),ISNUMBER($D5),U$1&lt;=$D5,U$1+6&gt;=$C5),1,"")</f>
        <v/>
      </c>
      <c r="V5" s="7" t="str">
        <f>IF(AND(ISNUMBER($C5),ISNUMBER($D5),V$1&lt;=$D5,V$1+6&gt;=$C5),1,"")</f>
        <v/>
      </c>
      <c r="W5" s="7" t="str">
        <f>IF(AND(ISNUMBER($C5),ISNUMBER($D5),W$1&lt;=$D5,W$1+6&gt;=$C5),1,"")</f>
        <v/>
      </c>
      <c r="X5" s="7" t="str">
        <f>IF(AND(ISNUMBER($C5),ISNUMBER($D5),X$1&lt;=$D5,X$1+6&gt;=$C5),1,"")</f>
        <v/>
      </c>
      <c r="Y5" s="7" t="str">
        <f>IF(AND(ISNUMBER($C5),ISNUMBER($D5),Y$1&lt;=$D5,Y$1+6&gt;=$C5),1,"")</f>
        <v/>
      </c>
      <c r="Z5" s="7" t="str">
        <f>IF(AND(ISNUMBER($C5),ISNUMBER($D5),Z$1&lt;=$D5,Z$1+6&gt;=$C5),1,"")</f>
        <v/>
      </c>
      <c r="AA5" s="7" t="str">
        <f>IF(AND(ISNUMBER($C5),ISNUMBER($D5),AA$1&lt;=$D5,AA$1+6&gt;=$C5),1,"")</f>
        <v/>
      </c>
      <c r="AB5" s="7" t="str">
        <f>IF(AND(ISNUMBER($C5),ISNUMBER($D5),AB$1&lt;=$D5,AB$1+6&gt;=$C5),1,"")</f>
        <v/>
      </c>
      <c r="AC5" s="7" t="str">
        <f>IF(AND(ISNUMBER($C5),ISNUMBER($D5),AC$1&lt;=$D5,AC$1+6&gt;=$C5),1,"")</f>
        <v/>
      </c>
      <c r="AD5" s="7" t="str">
        <f>IF(AND(ISNUMBER($C5),ISNUMBER($D5),AD$1&lt;=$D5,AD$1+6&gt;=$C5),1,"")</f>
        <v/>
      </c>
      <c r="AE5" s="7" t="str">
        <f>IF(AND(ISNUMBER($C5),ISNUMBER($D5),AE$1&lt;=$D5,AE$1+6&gt;=$C5),1,"")</f>
        <v/>
      </c>
      <c r="AF5" s="7" t="str">
        <f>IF(AND(ISNUMBER($C5),ISNUMBER($D5),AF$1&lt;=$D5,AF$1+6&gt;=$C5),1,"")</f>
        <v/>
      </c>
      <c r="AG5" s="7" t="str">
        <f>IF(AND(ISNUMBER($C5),ISNUMBER($D5),AG$1&lt;=$D5,AG$1+6&gt;=$C5),1,"")</f>
        <v/>
      </c>
      <c r="AH5" s="7" t="str">
        <f>IF(AND(ISNUMBER($C5),ISNUMBER($D5),AH$1&lt;=$D5,AH$1+6&gt;=$C5),1,"")</f>
        <v/>
      </c>
      <c r="AI5" s="7" t="str">
        <f>IF(AND(ISNUMBER($C5),ISNUMBER($D5),AI$1&lt;=$D5,AI$1+6&gt;=$C5),1,"")</f>
        <v/>
      </c>
      <c r="AJ5" s="7" t="str">
        <f>IF(AND(ISNUMBER($C5),ISNUMBER($D5),AJ$1&lt;=$D5,AJ$1+6&gt;=$C5),1,"")</f>
        <v/>
      </c>
      <c r="AK5" s="7" t="str">
        <f>IF(AND(ISNUMBER($C5),ISNUMBER($D5),AK$1&lt;=$D5,AK$1+6&gt;=$C5),1,"")</f>
        <v/>
      </c>
      <c r="AL5" s="7" t="str">
        <f>IF(AND(ISNUMBER($C5),ISNUMBER($D5),AL$1&lt;=$D5,AL$1+6&gt;=$C5),1,"")</f>
        <v/>
      </c>
      <c r="AM5" s="7" t="str">
        <f>IF(AND(ISNUMBER($C5),ISNUMBER($D5),AM$1&lt;=$D5,AM$1+6&gt;=$C5),1,"")</f>
        <v/>
      </c>
      <c r="AN5" s="7" t="str">
        <f>IF(AND(ISNUMBER($C5),ISNUMBER($D5),AN$1&lt;=$D5,AN$1+6&gt;=$C5),1,"")</f>
        <v/>
      </c>
      <c r="AO5" s="7" t="str">
        <f>IF(AND(ISNUMBER($C5),ISNUMBER($D5),AO$1&lt;=$D5,AO$1+6&gt;=$C5),1,"")</f>
        <v/>
      </c>
      <c r="AP5" s="7" t="str">
        <f>IF(AND(ISNUMBER($C5),ISNUMBER($D5),AP$1&lt;=$D5,AP$1+6&gt;=$C5),1,"")</f>
        <v/>
      </c>
      <c r="AQ5" s="7" t="str">
        <f>IF(AND(ISNUMBER($C5),ISNUMBER($D5),AQ$1&lt;=$D5,AQ$1+6&gt;=$C5),1,"")</f>
        <v/>
      </c>
      <c r="AR5" s="7" t="str">
        <f>IF(AND(ISNUMBER($C5),ISNUMBER($D5),AR$1&lt;=$D5,AR$1+6&gt;=$C5),1,"")</f>
        <v/>
      </c>
      <c r="AS5" s="7" t="str">
        <f>IF(AND(ISNUMBER($C5),ISNUMBER($D5),AS$1&lt;=$D5,AS$1+6&gt;=$C5),1,"")</f>
        <v/>
      </c>
      <c r="AT5" s="7" t="str">
        <f>IF(AND(ISNUMBER($C5),ISNUMBER($D5),AT$1&lt;=$D5,AT$1+6&gt;=$C5),1,"")</f>
        <v/>
      </c>
      <c r="AU5" s="7" t="str">
        <f>IF(AND(ISNUMBER($C5),ISNUMBER($D5),AU$1&lt;=$D5,AU$1+6&gt;=$C5),1,"")</f>
        <v/>
      </c>
      <c r="AV5" s="7" t="str">
        <f>IF(AND(ISNUMBER($C5),ISNUMBER($D5),AV$1&lt;=$D5,AV$1+6&gt;=$C5),1,"")</f>
        <v/>
      </c>
      <c r="AW5" s="7" t="str">
        <f>IF(AND(ISNUMBER($C5),ISNUMBER($D5),AW$1&lt;=$D5,AW$1+6&gt;=$C5),1,"")</f>
        <v/>
      </c>
      <c r="AX5" s="7" t="str">
        <f>IF(AND(ISNUMBER($C5),ISNUMBER($D5),AX$1&lt;=$D5,AX$1+6&gt;=$C5),1,"")</f>
        <v/>
      </c>
      <c r="AY5" s="7" t="str">
        <f>IF(AND(ISNUMBER($C5),ISNUMBER($D5),AY$1&lt;=$D5,AY$1+6&gt;=$C5),1,"")</f>
        <v/>
      </c>
      <c r="AZ5" s="7" t="str">
        <f>IF(AND(ISNUMBER($C5),ISNUMBER($D5),AZ$1&lt;=$D5,AZ$1+6&gt;=$C5),1,"")</f>
        <v/>
      </c>
      <c r="BA5" s="7" t="str">
        <f>IF(AND(ISNUMBER($C5),ISNUMBER($D5),BA$1&lt;=$D5,BA$1+6&gt;=$C5),1,"")</f>
        <v/>
      </c>
      <c r="BB5" s="7" t="str">
        <f>IF(AND(ISNUMBER($C5),ISNUMBER($D5),BB$1&lt;=$D5,BB$1+6&gt;=$C5),1,"")</f>
        <v/>
      </c>
      <c r="BC5" s="7" t="str">
        <f>IF(AND(ISNUMBER($C5),ISNUMBER($D5),BC$1&lt;=$D5,BC$1+6&gt;=$C5),1,"")</f>
        <v/>
      </c>
      <c r="BD5" s="7" t="str">
        <f>IF(AND(ISNUMBER($C5),ISNUMBER($D5),BD$1&lt;=$D5,BD$1+6&gt;=$C5),1,"")</f>
        <v/>
      </c>
      <c r="BE5" s="7" t="str">
        <f>IF(AND(ISNUMBER($C5),ISNUMBER($D5),BE$1&lt;=$D5,BE$1+6&gt;=$C5),1,"")</f>
        <v/>
      </c>
      <c r="BF5" s="7" t="str">
        <f>IF(AND(ISNUMBER($C5),ISNUMBER($D5),BF$1&lt;=$D5,BF$1+6&gt;=$C5),1,"")</f>
        <v/>
      </c>
      <c r="BG5" s="7" t="str">
        <f>IF(AND(ISNUMBER($C5),ISNUMBER($D5),BG$1&lt;=$D5,BG$1+6&gt;=$C5),1,"")</f>
        <v/>
      </c>
      <c r="BH5" s="7" t="str">
        <f>IF(AND(ISNUMBER($C5),ISNUMBER($D5),BH$1&lt;=$D5,BH$1+6&gt;=$C5),1,"")</f>
        <v/>
      </c>
      <c r="BI5" s="7" t="str">
        <f>IF(AND(ISNUMBER($C5),ISNUMBER($D5),BI$1&lt;=$D5,BI$1+6&gt;=$C5),1,"")</f>
        <v/>
      </c>
      <c r="BJ5" s="7" t="str">
        <f>IF(AND(ISNUMBER($C5),ISNUMBER($D5),BJ$1&lt;=$D5,BJ$1+6&gt;=$C5),1,"")</f>
        <v/>
      </c>
      <c r="BK5" s="7" t="str">
        <f>IF(AND(ISNUMBER($C5),ISNUMBER($D5),BK$1&lt;=$D5,BK$1+6&gt;=$C5),1,"")</f>
        <v/>
      </c>
      <c r="BL5" s="7" t="str">
        <f>IF(AND(ISNUMBER($C5),ISNUMBER($D5),BL$1&lt;=$D5,BL$1+6&gt;=$C5),1,"")</f>
        <v/>
      </c>
      <c r="BM5" s="7" t="str">
        <f>IF(AND(ISNUMBER($C5),ISNUMBER($D5),BM$1&lt;=$D5,BM$1+6&gt;=$C5),1,"")</f>
        <v/>
      </c>
      <c r="BN5" s="7" t="str">
        <f>IF(AND(ISNUMBER($C5),ISNUMBER($D5),BN$1&lt;=$D5,BN$1+6&gt;=$C5),1,"")</f>
        <v/>
      </c>
      <c r="BO5" s="7" t="str">
        <f>IF(AND(ISNUMBER($C5),ISNUMBER($D5),BO$1&lt;=$D5,BO$1+6&gt;=$C5),1,"")</f>
        <v/>
      </c>
      <c r="BP5" s="7" t="str">
        <f>IF(AND(ISNUMBER($C5),ISNUMBER($D5),BP$1&lt;=$D5,BP$1+6&gt;=$C5),1,"")</f>
        <v/>
      </c>
      <c r="BQ5" s="7" t="str">
        <f>IF(AND(ISNUMBER($C5),ISNUMBER($D5),BQ$1&lt;=$D5,BQ$1+6&gt;=$C5),1,"")</f>
        <v/>
      </c>
      <c r="BR5" s="7" t="str">
        <f>IF(AND(ISNUMBER($C5),ISNUMBER($D5),BR$1&lt;=$D5,BR$1+6&gt;=$C5),1,"")</f>
        <v/>
      </c>
      <c r="BS5" s="7" t="str">
        <f>IF(AND(ISNUMBER($C5),ISNUMBER($D5),BS$1&lt;=$D5,BS$1+6&gt;=$C5),1,"")</f>
        <v/>
      </c>
      <c r="BT5" s="7" t="str">
        <f>IF(AND(ISNUMBER($C5),ISNUMBER($D5),BT$1&lt;=$D5,BT$1+6&gt;=$C5),1,"")</f>
        <v/>
      </c>
      <c r="BU5" s="7" t="str">
        <f>IF(AND(ISNUMBER($C5),ISNUMBER($D5),BU$1&lt;=$D5,BU$1+6&gt;=$C5),1,"")</f>
        <v/>
      </c>
      <c r="BV5" s="7" t="str">
        <f>IF(AND(ISNUMBER($C5),ISNUMBER($D5),BV$1&lt;=$D5,BV$1+6&gt;=$C5),1,"")</f>
        <v/>
      </c>
      <c r="BW5" s="7" t="str">
        <f>IF(AND(ISNUMBER($C5),ISNUMBER($D5),BW$1&lt;=$D5,BW$1+6&gt;=$C5),1,"")</f>
        <v/>
      </c>
      <c r="BX5" s="7" t="str">
        <f>IF(AND(ISNUMBER($C5),ISNUMBER($D5),BX$1&lt;=$D5,BX$1+6&gt;=$C5),1,"")</f>
        <v/>
      </c>
      <c r="BY5" s="7" t="str">
        <f>IF(AND(ISNUMBER($C5),ISNUMBER($D5),BY$1&lt;=$D5,BY$1+6&gt;=$C5),1,"")</f>
        <v/>
      </c>
      <c r="BZ5" s="7" t="str">
        <f>IF(AND(ISNUMBER($C5),ISNUMBER($D5),BZ$1&lt;=$D5,BZ$1+6&gt;=$C5),1,"")</f>
        <v/>
      </c>
      <c r="CA5" s="7" t="str">
        <f>IF(AND(ISNUMBER($C5),ISNUMBER($D5),CA$1&lt;=$D5,CA$1+6&gt;=$C5),1,"")</f>
        <v/>
      </c>
      <c r="CB5" s="7" t="str">
        <f>IF(AND(ISNUMBER($C5),ISNUMBER($D5),CB$1&lt;=$D5,CB$1+6&gt;=$C5),1,"")</f>
        <v/>
      </c>
      <c r="CC5" s="7" t="str">
        <f>IF(AND(ISNUMBER($C5),ISNUMBER($D5),CC$1&lt;=$D5,CC$1+6&gt;=$C5),1,"")</f>
        <v/>
      </c>
      <c r="CD5" s="7" t="str">
        <f>IF(AND(ISNUMBER($C5),ISNUMBER($D5),CD$1&lt;=$D5,CD$1+6&gt;=$C5),1,"")</f>
        <v/>
      </c>
      <c r="CE5" s="7" t="str">
        <f>IF(AND(ISNUMBER($C5),ISNUMBER($D5),CE$1&lt;=$D5,CE$1+6&gt;=$C5),1,"")</f>
        <v/>
      </c>
      <c r="CF5" s="7" t="str">
        <f>IF(AND(ISNUMBER($C5),ISNUMBER($D5),CF$1&lt;=$D5,CF$1+6&gt;=$C5),1,"")</f>
        <v/>
      </c>
      <c r="CG5" s="7" t="str">
        <f>IF(AND(ISNUMBER($C5),ISNUMBER($D5),CG$1&lt;=$D5,CG$1+6&gt;=$C5),1,"")</f>
        <v/>
      </c>
      <c r="CH5" s="7" t="str">
        <f>IF(AND(ISNUMBER($C5),ISNUMBER($D5),CH$1&lt;=$D5,CH$1+6&gt;=$C5),1,"")</f>
        <v/>
      </c>
      <c r="CI5" s="7" t="str">
        <f>IF(AND(ISNUMBER($C5),ISNUMBER($D5),CI$1&lt;=$D5,CI$1+6&gt;=$C5),1,"")</f>
        <v/>
      </c>
      <c r="CJ5" s="7" t="str">
        <f>IF(AND(ISNUMBER($C5),ISNUMBER($D5),CJ$1&lt;=$D5,CJ$1+6&gt;=$C5),1,"")</f>
        <v/>
      </c>
      <c r="CK5" s="7" t="str">
        <f>IF(AND(ISNUMBER($C5),ISNUMBER($D5),CK$1&lt;=$D5,CK$1+6&gt;=$C5),1,"")</f>
        <v/>
      </c>
      <c r="CL5" s="7" t="str">
        <f>IF(AND(ISNUMBER($C5),ISNUMBER($D5),CL$1&lt;=$D5,CL$1+6&gt;=$C5),1,"")</f>
        <v/>
      </c>
      <c r="CM5" s="7" t="str">
        <f>IF(AND(ISNUMBER($C5),ISNUMBER($D5),CM$1&lt;=$D5,CM$1+6&gt;=$C5),1,"")</f>
        <v/>
      </c>
      <c r="CN5" s="7" t="str">
        <f>IF(AND(ISNUMBER($C5),ISNUMBER($D5),CN$1&lt;=$D5,CN$1+6&gt;=$C5),1,"")</f>
        <v/>
      </c>
      <c r="CO5" s="7" t="str">
        <f>IF(AND(ISNUMBER($C5),ISNUMBER($D5),CO$1&lt;=$D5,CO$1+6&gt;=$C5),1,"")</f>
        <v/>
      </c>
      <c r="CP5" s="7" t="str">
        <f>IF(AND(ISNUMBER($C5),ISNUMBER($D5),CP$1&lt;=$D5,CP$1+6&gt;=$C5),1,"")</f>
        <v/>
      </c>
      <c r="CQ5" s="7" t="str">
        <f>IF(AND(ISNUMBER($C5),ISNUMBER($D5),CQ$1&lt;=$D5,CQ$1+6&gt;=$C5),1,"")</f>
        <v/>
      </c>
      <c r="CR5" s="7" t="str">
        <f>IF(AND(ISNUMBER($C5),ISNUMBER($D5),CR$1&lt;=$D5,CR$1+6&gt;=$C5),1,"")</f>
        <v/>
      </c>
      <c r="CS5" s="7" t="str">
        <f>IF(AND(ISNUMBER($C5),ISNUMBER($D5),CS$1&lt;=$D5,CS$1+6&gt;=$C5),1,"")</f>
        <v/>
      </c>
      <c r="CT5" s="7" t="str">
        <f>IF(AND(ISNUMBER($C5),ISNUMBER($D5),CT$1&lt;=$D5,CT$1+6&gt;=$C5),1,"")</f>
        <v/>
      </c>
      <c r="CU5" s="7" t="str">
        <f>IF(AND(ISNUMBER($C5),ISNUMBER($D5),CU$1&lt;=$D5,CU$1+6&gt;=$C5),1,"")</f>
        <v/>
      </c>
      <c r="CV5" s="7" t="str">
        <f>IF(AND(ISNUMBER($C5),ISNUMBER($D5),CV$1&lt;=$D5,CV$1+6&gt;=$C5),1,"")</f>
        <v/>
      </c>
      <c r="CW5" s="7" t="str">
        <f>IF(AND(ISNUMBER($C5),ISNUMBER($D5),CW$1&lt;=$D5,CW$1+6&gt;=$C5),1,"")</f>
        <v/>
      </c>
      <c r="CX5" s="7" t="str">
        <f>IF(AND(ISNUMBER($C5),ISNUMBER($D5),CX$1&lt;=$D5,CX$1+6&gt;=$C5),1,"")</f>
        <v/>
      </c>
      <c r="CY5" s="7" t="str">
        <f>IF(AND(ISNUMBER($C5),ISNUMBER($D5),CY$1&lt;=$D5,CY$1+6&gt;=$C5),1,"")</f>
        <v/>
      </c>
      <c r="CZ5" s="7" t="str">
        <f>IF(AND(ISNUMBER($C5),ISNUMBER($D5),CZ$1&lt;=$D5,CZ$1+6&gt;=$C5),1,"")</f>
        <v/>
      </c>
      <c r="DA5" s="7" t="str">
        <f>IF(AND(ISNUMBER($C5),ISNUMBER($D5),DA$1&lt;=$D5,DA$1+6&gt;=$C5),1,"")</f>
        <v/>
      </c>
      <c r="DB5" s="7" t="str">
        <f>IF(AND(ISNUMBER($C5),ISNUMBER($D5),DB$1&lt;=$D5,DB$1+6&gt;=$C5),1,"")</f>
        <v/>
      </c>
      <c r="DC5" s="7" t="str">
        <f>IF(AND(ISNUMBER($C5),ISNUMBER($D5),DC$1&lt;=$D5,DC$1+6&gt;=$C5),1,"")</f>
        <v/>
      </c>
      <c r="DD5" s="7" t="str">
        <f>IF(AND(ISNUMBER($C5),ISNUMBER($D5),DD$1&lt;=$D5,DD$1+6&gt;=$C5),1,"")</f>
        <v/>
      </c>
    </row>
    <row r="6" spans="1:108" x14ac:dyDescent="0.35">
      <c r="A6" s="6" t="str">
        <f>Schedule!B6</f>
        <v>HTTP backend and API contracts</v>
      </c>
      <c r="B6" s="6" t="str">
        <f>Schedule!C6</f>
        <v>Core</v>
      </c>
      <c r="C6" s="4">
        <f>IF(Schedule!P6="","",Schedule!P6)</f>
        <v>46386</v>
      </c>
      <c r="D6" s="4">
        <f>IF(Schedule!Q6="","",Schedule!Q6)</f>
        <v>46413</v>
      </c>
      <c r="E6" s="7" t="str">
        <f>IF(AND(ISNUMBER($C6),ISNUMBER($D6),E$1&lt;=$D6,E$1+6&gt;=$C6),1,"")</f>
        <v/>
      </c>
      <c r="F6" s="7" t="str">
        <f>IF(AND(ISNUMBER($C6),ISNUMBER($D6),F$1&lt;=$D6,F$1+6&gt;=$C6),1,"")</f>
        <v/>
      </c>
      <c r="G6" s="7" t="str">
        <f>IF(AND(ISNUMBER($C6),ISNUMBER($D6),G$1&lt;=$D6,G$1+6&gt;=$C6),1,"")</f>
        <v/>
      </c>
      <c r="H6" s="7" t="str">
        <f>IF(AND(ISNUMBER($C6),ISNUMBER($D6),H$1&lt;=$D6,H$1+6&gt;=$C6),1,"")</f>
        <v/>
      </c>
      <c r="I6" s="7" t="str">
        <f>IF(AND(ISNUMBER($C6),ISNUMBER($D6),I$1&lt;=$D6,I$1+6&gt;=$C6),1,"")</f>
        <v/>
      </c>
      <c r="J6" s="7" t="str">
        <f>IF(AND(ISNUMBER($C6),ISNUMBER($D6),J$1&lt;=$D6,J$1+6&gt;=$C6),1,"")</f>
        <v/>
      </c>
      <c r="K6" s="7" t="str">
        <f>IF(AND(ISNUMBER($C6),ISNUMBER($D6),K$1&lt;=$D6,K$1+6&gt;=$C6),1,"")</f>
        <v/>
      </c>
      <c r="L6" s="7" t="str">
        <f>IF(AND(ISNUMBER($C6),ISNUMBER($D6),L$1&lt;=$D6,L$1+6&gt;=$C6),1,"")</f>
        <v/>
      </c>
      <c r="M6" s="7" t="str">
        <f>IF(AND(ISNUMBER($C6),ISNUMBER($D6),M$1&lt;=$D6,M$1+6&gt;=$C6),1,"")</f>
        <v/>
      </c>
      <c r="N6" s="7">
        <f>IF(AND(ISNUMBER($C6),ISNUMBER($D6),N$1&lt;=$D6,N$1+6&gt;=$C6),1,"")</f>
        <v>1</v>
      </c>
      <c r="O6" s="7">
        <f>IF(AND(ISNUMBER($C6),ISNUMBER($D6),O$1&lt;=$D6,O$1+6&gt;=$C6),1,"")</f>
        <v>1</v>
      </c>
      <c r="P6" s="7">
        <f>IF(AND(ISNUMBER($C6),ISNUMBER($D6),P$1&lt;=$D6,P$1+6&gt;=$C6),1,"")</f>
        <v>1</v>
      </c>
      <c r="Q6" s="7">
        <f>IF(AND(ISNUMBER($C6),ISNUMBER($D6),Q$1&lt;=$D6,Q$1+6&gt;=$C6),1,"")</f>
        <v>1</v>
      </c>
      <c r="R6" s="7">
        <f>IF(AND(ISNUMBER($C6),ISNUMBER($D6),R$1&lt;=$D6,R$1+6&gt;=$C6),1,"")</f>
        <v>1</v>
      </c>
      <c r="S6" s="7" t="str">
        <f>IF(AND(ISNUMBER($C6),ISNUMBER($D6),S$1&lt;=$D6,S$1+6&gt;=$C6),1,"")</f>
        <v/>
      </c>
      <c r="T6" s="7" t="str">
        <f>IF(AND(ISNUMBER($C6),ISNUMBER($D6),T$1&lt;=$D6,T$1+6&gt;=$C6),1,"")</f>
        <v/>
      </c>
      <c r="U6" s="7" t="str">
        <f>IF(AND(ISNUMBER($C6),ISNUMBER($D6),U$1&lt;=$D6,U$1+6&gt;=$C6),1,"")</f>
        <v/>
      </c>
      <c r="V6" s="7" t="str">
        <f>IF(AND(ISNUMBER($C6),ISNUMBER($D6),V$1&lt;=$D6,V$1+6&gt;=$C6),1,"")</f>
        <v/>
      </c>
      <c r="W6" s="7" t="str">
        <f>IF(AND(ISNUMBER($C6),ISNUMBER($D6),W$1&lt;=$D6,W$1+6&gt;=$C6),1,"")</f>
        <v/>
      </c>
      <c r="X6" s="7" t="str">
        <f>IF(AND(ISNUMBER($C6),ISNUMBER($D6),X$1&lt;=$D6,X$1+6&gt;=$C6),1,"")</f>
        <v/>
      </c>
      <c r="Y6" s="7" t="str">
        <f>IF(AND(ISNUMBER($C6),ISNUMBER($D6),Y$1&lt;=$D6,Y$1+6&gt;=$C6),1,"")</f>
        <v/>
      </c>
      <c r="Z6" s="7" t="str">
        <f>IF(AND(ISNUMBER($C6),ISNUMBER($D6),Z$1&lt;=$D6,Z$1+6&gt;=$C6),1,"")</f>
        <v/>
      </c>
      <c r="AA6" s="7" t="str">
        <f>IF(AND(ISNUMBER($C6),ISNUMBER($D6),AA$1&lt;=$D6,AA$1+6&gt;=$C6),1,"")</f>
        <v/>
      </c>
      <c r="AB6" s="7" t="str">
        <f>IF(AND(ISNUMBER($C6),ISNUMBER($D6),AB$1&lt;=$D6,AB$1+6&gt;=$C6),1,"")</f>
        <v/>
      </c>
      <c r="AC6" s="7" t="str">
        <f>IF(AND(ISNUMBER($C6),ISNUMBER($D6),AC$1&lt;=$D6,AC$1+6&gt;=$C6),1,"")</f>
        <v/>
      </c>
      <c r="AD6" s="7" t="str">
        <f>IF(AND(ISNUMBER($C6),ISNUMBER($D6),AD$1&lt;=$D6,AD$1+6&gt;=$C6),1,"")</f>
        <v/>
      </c>
      <c r="AE6" s="7" t="str">
        <f>IF(AND(ISNUMBER($C6),ISNUMBER($D6),AE$1&lt;=$D6,AE$1+6&gt;=$C6),1,"")</f>
        <v/>
      </c>
      <c r="AF6" s="7" t="str">
        <f>IF(AND(ISNUMBER($C6),ISNUMBER($D6),AF$1&lt;=$D6,AF$1+6&gt;=$C6),1,"")</f>
        <v/>
      </c>
      <c r="AG6" s="7" t="str">
        <f>IF(AND(ISNUMBER($C6),ISNUMBER($D6),AG$1&lt;=$D6,AG$1+6&gt;=$C6),1,"")</f>
        <v/>
      </c>
      <c r="AH6" s="7" t="str">
        <f>IF(AND(ISNUMBER($C6),ISNUMBER($D6),AH$1&lt;=$D6,AH$1+6&gt;=$C6),1,"")</f>
        <v/>
      </c>
      <c r="AI6" s="7" t="str">
        <f>IF(AND(ISNUMBER($C6),ISNUMBER($D6),AI$1&lt;=$D6,AI$1+6&gt;=$C6),1,"")</f>
        <v/>
      </c>
      <c r="AJ6" s="7" t="str">
        <f>IF(AND(ISNUMBER($C6),ISNUMBER($D6),AJ$1&lt;=$D6,AJ$1+6&gt;=$C6),1,"")</f>
        <v/>
      </c>
      <c r="AK6" s="7" t="str">
        <f>IF(AND(ISNUMBER($C6),ISNUMBER($D6),AK$1&lt;=$D6,AK$1+6&gt;=$C6),1,"")</f>
        <v/>
      </c>
      <c r="AL6" s="7" t="str">
        <f>IF(AND(ISNUMBER($C6),ISNUMBER($D6),AL$1&lt;=$D6,AL$1+6&gt;=$C6),1,"")</f>
        <v/>
      </c>
      <c r="AM6" s="7" t="str">
        <f>IF(AND(ISNUMBER($C6),ISNUMBER($D6),AM$1&lt;=$D6,AM$1+6&gt;=$C6),1,"")</f>
        <v/>
      </c>
      <c r="AN6" s="7" t="str">
        <f>IF(AND(ISNUMBER($C6),ISNUMBER($D6),AN$1&lt;=$D6,AN$1+6&gt;=$C6),1,"")</f>
        <v/>
      </c>
      <c r="AO6" s="7" t="str">
        <f>IF(AND(ISNUMBER($C6),ISNUMBER($D6),AO$1&lt;=$D6,AO$1+6&gt;=$C6),1,"")</f>
        <v/>
      </c>
      <c r="AP6" s="7" t="str">
        <f>IF(AND(ISNUMBER($C6),ISNUMBER($D6),AP$1&lt;=$D6,AP$1+6&gt;=$C6),1,"")</f>
        <v/>
      </c>
      <c r="AQ6" s="7" t="str">
        <f>IF(AND(ISNUMBER($C6),ISNUMBER($D6),AQ$1&lt;=$D6,AQ$1+6&gt;=$C6),1,"")</f>
        <v/>
      </c>
      <c r="AR6" s="7" t="str">
        <f>IF(AND(ISNUMBER($C6),ISNUMBER($D6),AR$1&lt;=$D6,AR$1+6&gt;=$C6),1,"")</f>
        <v/>
      </c>
      <c r="AS6" s="7" t="str">
        <f>IF(AND(ISNUMBER($C6),ISNUMBER($D6),AS$1&lt;=$D6,AS$1+6&gt;=$C6),1,"")</f>
        <v/>
      </c>
      <c r="AT6" s="7" t="str">
        <f>IF(AND(ISNUMBER($C6),ISNUMBER($D6),AT$1&lt;=$D6,AT$1+6&gt;=$C6),1,"")</f>
        <v/>
      </c>
      <c r="AU6" s="7" t="str">
        <f>IF(AND(ISNUMBER($C6),ISNUMBER($D6),AU$1&lt;=$D6,AU$1+6&gt;=$C6),1,"")</f>
        <v/>
      </c>
      <c r="AV6" s="7" t="str">
        <f>IF(AND(ISNUMBER($C6),ISNUMBER($D6),AV$1&lt;=$D6,AV$1+6&gt;=$C6),1,"")</f>
        <v/>
      </c>
      <c r="AW6" s="7" t="str">
        <f>IF(AND(ISNUMBER($C6),ISNUMBER($D6),AW$1&lt;=$D6,AW$1+6&gt;=$C6),1,"")</f>
        <v/>
      </c>
      <c r="AX6" s="7" t="str">
        <f>IF(AND(ISNUMBER($C6),ISNUMBER($D6),AX$1&lt;=$D6,AX$1+6&gt;=$C6),1,"")</f>
        <v/>
      </c>
      <c r="AY6" s="7" t="str">
        <f>IF(AND(ISNUMBER($C6),ISNUMBER($D6),AY$1&lt;=$D6,AY$1+6&gt;=$C6),1,"")</f>
        <v/>
      </c>
      <c r="AZ6" s="7" t="str">
        <f>IF(AND(ISNUMBER($C6),ISNUMBER($D6),AZ$1&lt;=$D6,AZ$1+6&gt;=$C6),1,"")</f>
        <v/>
      </c>
      <c r="BA6" s="7" t="str">
        <f>IF(AND(ISNUMBER($C6),ISNUMBER($D6),BA$1&lt;=$D6,BA$1+6&gt;=$C6),1,"")</f>
        <v/>
      </c>
      <c r="BB6" s="7" t="str">
        <f>IF(AND(ISNUMBER($C6),ISNUMBER($D6),BB$1&lt;=$D6,BB$1+6&gt;=$C6),1,"")</f>
        <v/>
      </c>
      <c r="BC6" s="7" t="str">
        <f>IF(AND(ISNUMBER($C6),ISNUMBER($D6),BC$1&lt;=$D6,BC$1+6&gt;=$C6),1,"")</f>
        <v/>
      </c>
      <c r="BD6" s="7" t="str">
        <f>IF(AND(ISNUMBER($C6),ISNUMBER($D6),BD$1&lt;=$D6,BD$1+6&gt;=$C6),1,"")</f>
        <v/>
      </c>
      <c r="BE6" s="7" t="str">
        <f>IF(AND(ISNUMBER($C6),ISNUMBER($D6),BE$1&lt;=$D6,BE$1+6&gt;=$C6),1,"")</f>
        <v/>
      </c>
      <c r="BF6" s="7" t="str">
        <f>IF(AND(ISNUMBER($C6),ISNUMBER($D6),BF$1&lt;=$D6,BF$1+6&gt;=$C6),1,"")</f>
        <v/>
      </c>
      <c r="BG6" s="7" t="str">
        <f>IF(AND(ISNUMBER($C6),ISNUMBER($D6),BG$1&lt;=$D6,BG$1+6&gt;=$C6),1,"")</f>
        <v/>
      </c>
      <c r="BH6" s="7" t="str">
        <f>IF(AND(ISNUMBER($C6),ISNUMBER($D6),BH$1&lt;=$D6,BH$1+6&gt;=$C6),1,"")</f>
        <v/>
      </c>
      <c r="BI6" s="7" t="str">
        <f>IF(AND(ISNUMBER($C6),ISNUMBER($D6),BI$1&lt;=$D6,BI$1+6&gt;=$C6),1,"")</f>
        <v/>
      </c>
      <c r="BJ6" s="7" t="str">
        <f>IF(AND(ISNUMBER($C6),ISNUMBER($D6),BJ$1&lt;=$D6,BJ$1+6&gt;=$C6),1,"")</f>
        <v/>
      </c>
      <c r="BK6" s="7" t="str">
        <f>IF(AND(ISNUMBER($C6),ISNUMBER($D6),BK$1&lt;=$D6,BK$1+6&gt;=$C6),1,"")</f>
        <v/>
      </c>
      <c r="BL6" s="7" t="str">
        <f>IF(AND(ISNUMBER($C6),ISNUMBER($D6),BL$1&lt;=$D6,BL$1+6&gt;=$C6),1,"")</f>
        <v/>
      </c>
      <c r="BM6" s="7" t="str">
        <f>IF(AND(ISNUMBER($C6),ISNUMBER($D6),BM$1&lt;=$D6,BM$1+6&gt;=$C6),1,"")</f>
        <v/>
      </c>
      <c r="BN6" s="7" t="str">
        <f>IF(AND(ISNUMBER($C6),ISNUMBER($D6),BN$1&lt;=$D6,BN$1+6&gt;=$C6),1,"")</f>
        <v/>
      </c>
      <c r="BO6" s="7" t="str">
        <f>IF(AND(ISNUMBER($C6),ISNUMBER($D6),BO$1&lt;=$D6,BO$1+6&gt;=$C6),1,"")</f>
        <v/>
      </c>
      <c r="BP6" s="7" t="str">
        <f>IF(AND(ISNUMBER($C6),ISNUMBER($D6),BP$1&lt;=$D6,BP$1+6&gt;=$C6),1,"")</f>
        <v/>
      </c>
      <c r="BQ6" s="7" t="str">
        <f>IF(AND(ISNUMBER($C6),ISNUMBER($D6),BQ$1&lt;=$D6,BQ$1+6&gt;=$C6),1,"")</f>
        <v/>
      </c>
      <c r="BR6" s="7" t="str">
        <f>IF(AND(ISNUMBER($C6),ISNUMBER($D6),BR$1&lt;=$D6,BR$1+6&gt;=$C6),1,"")</f>
        <v/>
      </c>
      <c r="BS6" s="7" t="str">
        <f>IF(AND(ISNUMBER($C6),ISNUMBER($D6),BS$1&lt;=$D6,BS$1+6&gt;=$C6),1,"")</f>
        <v/>
      </c>
      <c r="BT6" s="7" t="str">
        <f>IF(AND(ISNUMBER($C6),ISNUMBER($D6),BT$1&lt;=$D6,BT$1+6&gt;=$C6),1,"")</f>
        <v/>
      </c>
      <c r="BU6" s="7" t="str">
        <f>IF(AND(ISNUMBER($C6),ISNUMBER($D6),BU$1&lt;=$D6,BU$1+6&gt;=$C6),1,"")</f>
        <v/>
      </c>
      <c r="BV6" s="7" t="str">
        <f>IF(AND(ISNUMBER($C6),ISNUMBER($D6),BV$1&lt;=$D6,BV$1+6&gt;=$C6),1,"")</f>
        <v/>
      </c>
      <c r="BW6" s="7" t="str">
        <f>IF(AND(ISNUMBER($C6),ISNUMBER($D6),BW$1&lt;=$D6,BW$1+6&gt;=$C6),1,"")</f>
        <v/>
      </c>
      <c r="BX6" s="7" t="str">
        <f>IF(AND(ISNUMBER($C6),ISNUMBER($D6),BX$1&lt;=$D6,BX$1+6&gt;=$C6),1,"")</f>
        <v/>
      </c>
      <c r="BY6" s="7" t="str">
        <f>IF(AND(ISNUMBER($C6),ISNUMBER($D6),BY$1&lt;=$D6,BY$1+6&gt;=$C6),1,"")</f>
        <v/>
      </c>
      <c r="BZ6" s="7" t="str">
        <f>IF(AND(ISNUMBER($C6),ISNUMBER($D6),BZ$1&lt;=$D6,BZ$1+6&gt;=$C6),1,"")</f>
        <v/>
      </c>
      <c r="CA6" s="7" t="str">
        <f>IF(AND(ISNUMBER($C6),ISNUMBER($D6),CA$1&lt;=$D6,CA$1+6&gt;=$C6),1,"")</f>
        <v/>
      </c>
      <c r="CB6" s="7" t="str">
        <f>IF(AND(ISNUMBER($C6),ISNUMBER($D6),CB$1&lt;=$D6,CB$1+6&gt;=$C6),1,"")</f>
        <v/>
      </c>
      <c r="CC6" s="7" t="str">
        <f>IF(AND(ISNUMBER($C6),ISNUMBER($D6),CC$1&lt;=$D6,CC$1+6&gt;=$C6),1,"")</f>
        <v/>
      </c>
      <c r="CD6" s="7" t="str">
        <f>IF(AND(ISNUMBER($C6),ISNUMBER($D6),CD$1&lt;=$D6,CD$1+6&gt;=$C6),1,"")</f>
        <v/>
      </c>
      <c r="CE6" s="7" t="str">
        <f>IF(AND(ISNUMBER($C6),ISNUMBER($D6),CE$1&lt;=$D6,CE$1+6&gt;=$C6),1,"")</f>
        <v/>
      </c>
      <c r="CF6" s="7" t="str">
        <f>IF(AND(ISNUMBER($C6),ISNUMBER($D6),CF$1&lt;=$D6,CF$1+6&gt;=$C6),1,"")</f>
        <v/>
      </c>
      <c r="CG6" s="7" t="str">
        <f>IF(AND(ISNUMBER($C6),ISNUMBER($D6),CG$1&lt;=$D6,CG$1+6&gt;=$C6),1,"")</f>
        <v/>
      </c>
      <c r="CH6" s="7" t="str">
        <f>IF(AND(ISNUMBER($C6),ISNUMBER($D6),CH$1&lt;=$D6,CH$1+6&gt;=$C6),1,"")</f>
        <v/>
      </c>
      <c r="CI6" s="7" t="str">
        <f>IF(AND(ISNUMBER($C6),ISNUMBER($D6),CI$1&lt;=$D6,CI$1+6&gt;=$C6),1,"")</f>
        <v/>
      </c>
      <c r="CJ6" s="7" t="str">
        <f>IF(AND(ISNUMBER($C6),ISNUMBER($D6),CJ$1&lt;=$D6,CJ$1+6&gt;=$C6),1,"")</f>
        <v/>
      </c>
      <c r="CK6" s="7" t="str">
        <f>IF(AND(ISNUMBER($C6),ISNUMBER($D6),CK$1&lt;=$D6,CK$1+6&gt;=$C6),1,"")</f>
        <v/>
      </c>
      <c r="CL6" s="7" t="str">
        <f>IF(AND(ISNUMBER($C6),ISNUMBER($D6),CL$1&lt;=$D6,CL$1+6&gt;=$C6),1,"")</f>
        <v/>
      </c>
      <c r="CM6" s="7" t="str">
        <f>IF(AND(ISNUMBER($C6),ISNUMBER($D6),CM$1&lt;=$D6,CM$1+6&gt;=$C6),1,"")</f>
        <v/>
      </c>
      <c r="CN6" s="7" t="str">
        <f>IF(AND(ISNUMBER($C6),ISNUMBER($D6),CN$1&lt;=$D6,CN$1+6&gt;=$C6),1,"")</f>
        <v/>
      </c>
      <c r="CO6" s="7" t="str">
        <f>IF(AND(ISNUMBER($C6),ISNUMBER($D6),CO$1&lt;=$D6,CO$1+6&gt;=$C6),1,"")</f>
        <v/>
      </c>
      <c r="CP6" s="7" t="str">
        <f>IF(AND(ISNUMBER($C6),ISNUMBER($D6),CP$1&lt;=$D6,CP$1+6&gt;=$C6),1,"")</f>
        <v/>
      </c>
      <c r="CQ6" s="7" t="str">
        <f>IF(AND(ISNUMBER($C6),ISNUMBER($D6),CQ$1&lt;=$D6,CQ$1+6&gt;=$C6),1,"")</f>
        <v/>
      </c>
      <c r="CR6" s="7" t="str">
        <f>IF(AND(ISNUMBER($C6),ISNUMBER($D6),CR$1&lt;=$D6,CR$1+6&gt;=$C6),1,"")</f>
        <v/>
      </c>
      <c r="CS6" s="7" t="str">
        <f>IF(AND(ISNUMBER($C6),ISNUMBER($D6),CS$1&lt;=$D6,CS$1+6&gt;=$C6),1,"")</f>
        <v/>
      </c>
      <c r="CT6" s="7" t="str">
        <f>IF(AND(ISNUMBER($C6),ISNUMBER($D6),CT$1&lt;=$D6,CT$1+6&gt;=$C6),1,"")</f>
        <v/>
      </c>
      <c r="CU6" s="7" t="str">
        <f>IF(AND(ISNUMBER($C6),ISNUMBER($D6),CU$1&lt;=$D6,CU$1+6&gt;=$C6),1,"")</f>
        <v/>
      </c>
      <c r="CV6" s="7" t="str">
        <f>IF(AND(ISNUMBER($C6),ISNUMBER($D6),CV$1&lt;=$D6,CV$1+6&gt;=$C6),1,"")</f>
        <v/>
      </c>
      <c r="CW6" s="7" t="str">
        <f>IF(AND(ISNUMBER($C6),ISNUMBER($D6),CW$1&lt;=$D6,CW$1+6&gt;=$C6),1,"")</f>
        <v/>
      </c>
      <c r="CX6" s="7" t="str">
        <f>IF(AND(ISNUMBER($C6),ISNUMBER($D6),CX$1&lt;=$D6,CX$1+6&gt;=$C6),1,"")</f>
        <v/>
      </c>
      <c r="CY6" s="7" t="str">
        <f>IF(AND(ISNUMBER($C6),ISNUMBER($D6),CY$1&lt;=$D6,CY$1+6&gt;=$C6),1,"")</f>
        <v/>
      </c>
      <c r="CZ6" s="7" t="str">
        <f>IF(AND(ISNUMBER($C6),ISNUMBER($D6),CZ$1&lt;=$D6,CZ$1+6&gt;=$C6),1,"")</f>
        <v/>
      </c>
      <c r="DA6" s="7" t="str">
        <f>IF(AND(ISNUMBER($C6),ISNUMBER($D6),DA$1&lt;=$D6,DA$1+6&gt;=$C6),1,"")</f>
        <v/>
      </c>
      <c r="DB6" s="7" t="str">
        <f>IF(AND(ISNUMBER($C6),ISNUMBER($D6),DB$1&lt;=$D6,DB$1+6&gt;=$C6),1,"")</f>
        <v/>
      </c>
      <c r="DC6" s="7" t="str">
        <f>IF(AND(ISNUMBER($C6),ISNUMBER($D6),DC$1&lt;=$D6,DC$1+6&gt;=$C6),1,"")</f>
        <v/>
      </c>
      <c r="DD6" s="7" t="str">
        <f>IF(AND(ISNUMBER($C6),ISNUMBER($D6),DD$1&lt;=$D6,DD$1+6&gt;=$C6),1,"")</f>
        <v/>
      </c>
    </row>
    <row r="7" spans="1:108" x14ac:dyDescent="0.35">
      <c r="A7" s="6" t="str">
        <f>Schedule!B7</f>
        <v>SQL relational modeling and PostgreSQL</v>
      </c>
      <c r="B7" s="6" t="str">
        <f>Schedule!C7</f>
        <v>Core</v>
      </c>
      <c r="C7" s="4">
        <f>IF(Schedule!P7="","",Schedule!P7)</f>
        <v>46413</v>
      </c>
      <c r="D7" s="4">
        <f>IF(Schedule!Q7="","",Schedule!Q7)</f>
        <v>46442</v>
      </c>
      <c r="E7" s="7" t="str">
        <f>IF(AND(ISNUMBER($C7),ISNUMBER($D7),E$1&lt;=$D7,E$1+6&gt;=$C7),1,"")</f>
        <v/>
      </c>
      <c r="F7" s="7" t="str">
        <f>IF(AND(ISNUMBER($C7),ISNUMBER($D7),F$1&lt;=$D7,F$1+6&gt;=$C7),1,"")</f>
        <v/>
      </c>
      <c r="G7" s="7" t="str">
        <f>IF(AND(ISNUMBER($C7),ISNUMBER($D7),G$1&lt;=$D7,G$1+6&gt;=$C7),1,"")</f>
        <v/>
      </c>
      <c r="H7" s="7" t="str">
        <f>IF(AND(ISNUMBER($C7),ISNUMBER($D7),H$1&lt;=$D7,H$1+6&gt;=$C7),1,"")</f>
        <v/>
      </c>
      <c r="I7" s="7" t="str">
        <f>IF(AND(ISNUMBER($C7),ISNUMBER($D7),I$1&lt;=$D7,I$1+6&gt;=$C7),1,"")</f>
        <v/>
      </c>
      <c r="J7" s="7" t="str">
        <f>IF(AND(ISNUMBER($C7),ISNUMBER($D7),J$1&lt;=$D7,J$1+6&gt;=$C7),1,"")</f>
        <v/>
      </c>
      <c r="K7" s="7" t="str">
        <f>IF(AND(ISNUMBER($C7),ISNUMBER($D7),K$1&lt;=$D7,K$1+6&gt;=$C7),1,"")</f>
        <v/>
      </c>
      <c r="L7" s="7" t="str">
        <f>IF(AND(ISNUMBER($C7),ISNUMBER($D7),L$1&lt;=$D7,L$1+6&gt;=$C7),1,"")</f>
        <v/>
      </c>
      <c r="M7" s="7" t="str">
        <f>IF(AND(ISNUMBER($C7),ISNUMBER($D7),M$1&lt;=$D7,M$1+6&gt;=$C7),1,"")</f>
        <v/>
      </c>
      <c r="N7" s="7" t="str">
        <f>IF(AND(ISNUMBER($C7),ISNUMBER($D7),N$1&lt;=$D7,N$1+6&gt;=$C7),1,"")</f>
        <v/>
      </c>
      <c r="O7" s="7" t="str">
        <f>IF(AND(ISNUMBER($C7),ISNUMBER($D7),O$1&lt;=$D7,O$1+6&gt;=$C7),1,"")</f>
        <v/>
      </c>
      <c r="P7" s="7" t="str">
        <f>IF(AND(ISNUMBER($C7),ISNUMBER($D7),P$1&lt;=$D7,P$1+6&gt;=$C7),1,"")</f>
        <v/>
      </c>
      <c r="Q7" s="7" t="str">
        <f>IF(AND(ISNUMBER($C7),ISNUMBER($D7),Q$1&lt;=$D7,Q$1+6&gt;=$C7),1,"")</f>
        <v/>
      </c>
      <c r="R7" s="7">
        <f>IF(AND(ISNUMBER($C7),ISNUMBER($D7),R$1&lt;=$D7,R$1+6&gt;=$C7),1,"")</f>
        <v>1</v>
      </c>
      <c r="S7" s="7">
        <f>IF(AND(ISNUMBER($C7),ISNUMBER($D7),S$1&lt;=$D7,S$1+6&gt;=$C7),1,"")</f>
        <v>1</v>
      </c>
      <c r="T7" s="7">
        <f>IF(AND(ISNUMBER($C7),ISNUMBER($D7),T$1&lt;=$D7,T$1+6&gt;=$C7),1,"")</f>
        <v>1</v>
      </c>
      <c r="U7" s="7">
        <f>IF(AND(ISNUMBER($C7),ISNUMBER($D7),U$1&lt;=$D7,U$1+6&gt;=$C7),1,"")</f>
        <v>1</v>
      </c>
      <c r="V7" s="7">
        <f>IF(AND(ISNUMBER($C7),ISNUMBER($D7),V$1&lt;=$D7,V$1+6&gt;=$C7),1,"")</f>
        <v>1</v>
      </c>
      <c r="W7" s="7" t="str">
        <f>IF(AND(ISNUMBER($C7),ISNUMBER($D7),W$1&lt;=$D7,W$1+6&gt;=$C7),1,"")</f>
        <v/>
      </c>
      <c r="X7" s="7" t="str">
        <f>IF(AND(ISNUMBER($C7),ISNUMBER($D7),X$1&lt;=$D7,X$1+6&gt;=$C7),1,"")</f>
        <v/>
      </c>
      <c r="Y7" s="7" t="str">
        <f>IF(AND(ISNUMBER($C7),ISNUMBER($D7),Y$1&lt;=$D7,Y$1+6&gt;=$C7),1,"")</f>
        <v/>
      </c>
      <c r="Z7" s="7" t="str">
        <f>IF(AND(ISNUMBER($C7),ISNUMBER($D7),Z$1&lt;=$D7,Z$1+6&gt;=$C7),1,"")</f>
        <v/>
      </c>
      <c r="AA7" s="7" t="str">
        <f>IF(AND(ISNUMBER($C7),ISNUMBER($D7),AA$1&lt;=$D7,AA$1+6&gt;=$C7),1,"")</f>
        <v/>
      </c>
      <c r="AB7" s="7" t="str">
        <f>IF(AND(ISNUMBER($C7),ISNUMBER($D7),AB$1&lt;=$D7,AB$1+6&gt;=$C7),1,"")</f>
        <v/>
      </c>
      <c r="AC7" s="7" t="str">
        <f>IF(AND(ISNUMBER($C7),ISNUMBER($D7),AC$1&lt;=$D7,AC$1+6&gt;=$C7),1,"")</f>
        <v/>
      </c>
      <c r="AD7" s="7" t="str">
        <f>IF(AND(ISNUMBER($C7),ISNUMBER($D7),AD$1&lt;=$D7,AD$1+6&gt;=$C7),1,"")</f>
        <v/>
      </c>
      <c r="AE7" s="7" t="str">
        <f>IF(AND(ISNUMBER($C7),ISNUMBER($D7),AE$1&lt;=$D7,AE$1+6&gt;=$C7),1,"")</f>
        <v/>
      </c>
      <c r="AF7" s="7" t="str">
        <f>IF(AND(ISNUMBER($C7),ISNUMBER($D7),AF$1&lt;=$D7,AF$1+6&gt;=$C7),1,"")</f>
        <v/>
      </c>
      <c r="AG7" s="7" t="str">
        <f>IF(AND(ISNUMBER($C7),ISNUMBER($D7),AG$1&lt;=$D7,AG$1+6&gt;=$C7),1,"")</f>
        <v/>
      </c>
      <c r="AH7" s="7" t="str">
        <f>IF(AND(ISNUMBER($C7),ISNUMBER($D7),AH$1&lt;=$D7,AH$1+6&gt;=$C7),1,"")</f>
        <v/>
      </c>
      <c r="AI7" s="7" t="str">
        <f>IF(AND(ISNUMBER($C7),ISNUMBER($D7),AI$1&lt;=$D7,AI$1+6&gt;=$C7),1,"")</f>
        <v/>
      </c>
      <c r="AJ7" s="7" t="str">
        <f>IF(AND(ISNUMBER($C7),ISNUMBER($D7),AJ$1&lt;=$D7,AJ$1+6&gt;=$C7),1,"")</f>
        <v/>
      </c>
      <c r="AK7" s="7" t="str">
        <f>IF(AND(ISNUMBER($C7),ISNUMBER($D7),AK$1&lt;=$D7,AK$1+6&gt;=$C7),1,"")</f>
        <v/>
      </c>
      <c r="AL7" s="7" t="str">
        <f>IF(AND(ISNUMBER($C7),ISNUMBER($D7),AL$1&lt;=$D7,AL$1+6&gt;=$C7),1,"")</f>
        <v/>
      </c>
      <c r="AM7" s="7" t="str">
        <f>IF(AND(ISNUMBER($C7),ISNUMBER($D7),AM$1&lt;=$D7,AM$1+6&gt;=$C7),1,"")</f>
        <v/>
      </c>
      <c r="AN7" s="7" t="str">
        <f>IF(AND(ISNUMBER($C7),ISNUMBER($D7),AN$1&lt;=$D7,AN$1+6&gt;=$C7),1,"")</f>
        <v/>
      </c>
      <c r="AO7" s="7" t="str">
        <f>IF(AND(ISNUMBER($C7),ISNUMBER($D7),AO$1&lt;=$D7,AO$1+6&gt;=$C7),1,"")</f>
        <v/>
      </c>
      <c r="AP7" s="7" t="str">
        <f>IF(AND(ISNUMBER($C7),ISNUMBER($D7),AP$1&lt;=$D7,AP$1+6&gt;=$C7),1,"")</f>
        <v/>
      </c>
      <c r="AQ7" s="7" t="str">
        <f>IF(AND(ISNUMBER($C7),ISNUMBER($D7),AQ$1&lt;=$D7,AQ$1+6&gt;=$C7),1,"")</f>
        <v/>
      </c>
      <c r="AR7" s="7" t="str">
        <f>IF(AND(ISNUMBER($C7),ISNUMBER($D7),AR$1&lt;=$D7,AR$1+6&gt;=$C7),1,"")</f>
        <v/>
      </c>
      <c r="AS7" s="7" t="str">
        <f>IF(AND(ISNUMBER($C7),ISNUMBER($D7),AS$1&lt;=$D7,AS$1+6&gt;=$C7),1,"")</f>
        <v/>
      </c>
      <c r="AT7" s="7" t="str">
        <f>IF(AND(ISNUMBER($C7),ISNUMBER($D7),AT$1&lt;=$D7,AT$1+6&gt;=$C7),1,"")</f>
        <v/>
      </c>
      <c r="AU7" s="7" t="str">
        <f>IF(AND(ISNUMBER($C7),ISNUMBER($D7),AU$1&lt;=$D7,AU$1+6&gt;=$C7),1,"")</f>
        <v/>
      </c>
      <c r="AV7" s="7" t="str">
        <f>IF(AND(ISNUMBER($C7),ISNUMBER($D7),AV$1&lt;=$D7,AV$1+6&gt;=$C7),1,"")</f>
        <v/>
      </c>
      <c r="AW7" s="7" t="str">
        <f>IF(AND(ISNUMBER($C7),ISNUMBER($D7),AW$1&lt;=$D7,AW$1+6&gt;=$C7),1,"")</f>
        <v/>
      </c>
      <c r="AX7" s="7" t="str">
        <f>IF(AND(ISNUMBER($C7),ISNUMBER($D7),AX$1&lt;=$D7,AX$1+6&gt;=$C7),1,"")</f>
        <v/>
      </c>
      <c r="AY7" s="7" t="str">
        <f>IF(AND(ISNUMBER($C7),ISNUMBER($D7),AY$1&lt;=$D7,AY$1+6&gt;=$C7),1,"")</f>
        <v/>
      </c>
      <c r="AZ7" s="7" t="str">
        <f>IF(AND(ISNUMBER($C7),ISNUMBER($D7),AZ$1&lt;=$D7,AZ$1+6&gt;=$C7),1,"")</f>
        <v/>
      </c>
      <c r="BA7" s="7" t="str">
        <f>IF(AND(ISNUMBER($C7),ISNUMBER($D7),BA$1&lt;=$D7,BA$1+6&gt;=$C7),1,"")</f>
        <v/>
      </c>
      <c r="BB7" s="7" t="str">
        <f>IF(AND(ISNUMBER($C7),ISNUMBER($D7),BB$1&lt;=$D7,BB$1+6&gt;=$C7),1,"")</f>
        <v/>
      </c>
      <c r="BC7" s="7" t="str">
        <f>IF(AND(ISNUMBER($C7),ISNUMBER($D7),BC$1&lt;=$D7,BC$1+6&gt;=$C7),1,"")</f>
        <v/>
      </c>
      <c r="BD7" s="7" t="str">
        <f>IF(AND(ISNUMBER($C7),ISNUMBER($D7),BD$1&lt;=$D7,BD$1+6&gt;=$C7),1,"")</f>
        <v/>
      </c>
      <c r="BE7" s="7" t="str">
        <f>IF(AND(ISNUMBER($C7),ISNUMBER($D7),BE$1&lt;=$D7,BE$1+6&gt;=$C7),1,"")</f>
        <v/>
      </c>
      <c r="BF7" s="7" t="str">
        <f>IF(AND(ISNUMBER($C7),ISNUMBER($D7),BF$1&lt;=$D7,BF$1+6&gt;=$C7),1,"")</f>
        <v/>
      </c>
      <c r="BG7" s="7" t="str">
        <f>IF(AND(ISNUMBER($C7),ISNUMBER($D7),BG$1&lt;=$D7,BG$1+6&gt;=$C7),1,"")</f>
        <v/>
      </c>
      <c r="BH7" s="7" t="str">
        <f>IF(AND(ISNUMBER($C7),ISNUMBER($D7),BH$1&lt;=$D7,BH$1+6&gt;=$C7),1,"")</f>
        <v/>
      </c>
      <c r="BI7" s="7" t="str">
        <f>IF(AND(ISNUMBER($C7),ISNUMBER($D7),BI$1&lt;=$D7,BI$1+6&gt;=$C7),1,"")</f>
        <v/>
      </c>
      <c r="BJ7" s="7" t="str">
        <f>IF(AND(ISNUMBER($C7),ISNUMBER($D7),BJ$1&lt;=$D7,BJ$1+6&gt;=$C7),1,"")</f>
        <v/>
      </c>
      <c r="BK7" s="7" t="str">
        <f>IF(AND(ISNUMBER($C7),ISNUMBER($D7),BK$1&lt;=$D7,BK$1+6&gt;=$C7),1,"")</f>
        <v/>
      </c>
      <c r="BL7" s="7" t="str">
        <f>IF(AND(ISNUMBER($C7),ISNUMBER($D7),BL$1&lt;=$D7,BL$1+6&gt;=$C7),1,"")</f>
        <v/>
      </c>
      <c r="BM7" s="7" t="str">
        <f>IF(AND(ISNUMBER($C7),ISNUMBER($D7),BM$1&lt;=$D7,BM$1+6&gt;=$C7),1,"")</f>
        <v/>
      </c>
      <c r="BN7" s="7" t="str">
        <f>IF(AND(ISNUMBER($C7),ISNUMBER($D7),BN$1&lt;=$D7,BN$1+6&gt;=$C7),1,"")</f>
        <v/>
      </c>
      <c r="BO7" s="7" t="str">
        <f>IF(AND(ISNUMBER($C7),ISNUMBER($D7),BO$1&lt;=$D7,BO$1+6&gt;=$C7),1,"")</f>
        <v/>
      </c>
      <c r="BP7" s="7" t="str">
        <f>IF(AND(ISNUMBER($C7),ISNUMBER($D7),BP$1&lt;=$D7,BP$1+6&gt;=$C7),1,"")</f>
        <v/>
      </c>
      <c r="BQ7" s="7" t="str">
        <f>IF(AND(ISNUMBER($C7),ISNUMBER($D7),BQ$1&lt;=$D7,BQ$1+6&gt;=$C7),1,"")</f>
        <v/>
      </c>
      <c r="BR7" s="7" t="str">
        <f>IF(AND(ISNUMBER($C7),ISNUMBER($D7),BR$1&lt;=$D7,BR$1+6&gt;=$C7),1,"")</f>
        <v/>
      </c>
      <c r="BS7" s="7" t="str">
        <f>IF(AND(ISNUMBER($C7),ISNUMBER($D7),BS$1&lt;=$D7,BS$1+6&gt;=$C7),1,"")</f>
        <v/>
      </c>
      <c r="BT7" s="7" t="str">
        <f>IF(AND(ISNUMBER($C7),ISNUMBER($D7),BT$1&lt;=$D7,BT$1+6&gt;=$C7),1,"")</f>
        <v/>
      </c>
      <c r="BU7" s="7" t="str">
        <f>IF(AND(ISNUMBER($C7),ISNUMBER($D7),BU$1&lt;=$D7,BU$1+6&gt;=$C7),1,"")</f>
        <v/>
      </c>
      <c r="BV7" s="7" t="str">
        <f>IF(AND(ISNUMBER($C7),ISNUMBER($D7),BV$1&lt;=$D7,BV$1+6&gt;=$C7),1,"")</f>
        <v/>
      </c>
      <c r="BW7" s="7" t="str">
        <f>IF(AND(ISNUMBER($C7),ISNUMBER($D7),BW$1&lt;=$D7,BW$1+6&gt;=$C7),1,"")</f>
        <v/>
      </c>
      <c r="BX7" s="7" t="str">
        <f>IF(AND(ISNUMBER($C7),ISNUMBER($D7),BX$1&lt;=$D7,BX$1+6&gt;=$C7),1,"")</f>
        <v/>
      </c>
      <c r="BY7" s="7" t="str">
        <f>IF(AND(ISNUMBER($C7),ISNUMBER($D7),BY$1&lt;=$D7,BY$1+6&gt;=$C7),1,"")</f>
        <v/>
      </c>
      <c r="BZ7" s="7" t="str">
        <f>IF(AND(ISNUMBER($C7),ISNUMBER($D7),BZ$1&lt;=$D7,BZ$1+6&gt;=$C7),1,"")</f>
        <v/>
      </c>
      <c r="CA7" s="7" t="str">
        <f>IF(AND(ISNUMBER($C7),ISNUMBER($D7),CA$1&lt;=$D7,CA$1+6&gt;=$C7),1,"")</f>
        <v/>
      </c>
      <c r="CB7" s="7" t="str">
        <f>IF(AND(ISNUMBER($C7),ISNUMBER($D7),CB$1&lt;=$D7,CB$1+6&gt;=$C7),1,"")</f>
        <v/>
      </c>
      <c r="CC7" s="7" t="str">
        <f>IF(AND(ISNUMBER($C7),ISNUMBER($D7),CC$1&lt;=$D7,CC$1+6&gt;=$C7),1,"")</f>
        <v/>
      </c>
      <c r="CD7" s="7" t="str">
        <f>IF(AND(ISNUMBER($C7),ISNUMBER($D7),CD$1&lt;=$D7,CD$1+6&gt;=$C7),1,"")</f>
        <v/>
      </c>
      <c r="CE7" s="7" t="str">
        <f>IF(AND(ISNUMBER($C7),ISNUMBER($D7),CE$1&lt;=$D7,CE$1+6&gt;=$C7),1,"")</f>
        <v/>
      </c>
      <c r="CF7" s="7" t="str">
        <f>IF(AND(ISNUMBER($C7),ISNUMBER($D7),CF$1&lt;=$D7,CF$1+6&gt;=$C7),1,"")</f>
        <v/>
      </c>
      <c r="CG7" s="7" t="str">
        <f>IF(AND(ISNUMBER($C7),ISNUMBER($D7),CG$1&lt;=$D7,CG$1+6&gt;=$C7),1,"")</f>
        <v/>
      </c>
      <c r="CH7" s="7" t="str">
        <f>IF(AND(ISNUMBER($C7),ISNUMBER($D7),CH$1&lt;=$D7,CH$1+6&gt;=$C7),1,"")</f>
        <v/>
      </c>
      <c r="CI7" s="7" t="str">
        <f>IF(AND(ISNUMBER($C7),ISNUMBER($D7),CI$1&lt;=$D7,CI$1+6&gt;=$C7),1,"")</f>
        <v/>
      </c>
      <c r="CJ7" s="7" t="str">
        <f>IF(AND(ISNUMBER($C7),ISNUMBER($D7),CJ$1&lt;=$D7,CJ$1+6&gt;=$C7),1,"")</f>
        <v/>
      </c>
      <c r="CK7" s="7" t="str">
        <f>IF(AND(ISNUMBER($C7),ISNUMBER($D7),CK$1&lt;=$D7,CK$1+6&gt;=$C7),1,"")</f>
        <v/>
      </c>
      <c r="CL7" s="7" t="str">
        <f>IF(AND(ISNUMBER($C7),ISNUMBER($D7),CL$1&lt;=$D7,CL$1+6&gt;=$C7),1,"")</f>
        <v/>
      </c>
      <c r="CM7" s="7" t="str">
        <f>IF(AND(ISNUMBER($C7),ISNUMBER($D7),CM$1&lt;=$D7,CM$1+6&gt;=$C7),1,"")</f>
        <v/>
      </c>
      <c r="CN7" s="7" t="str">
        <f>IF(AND(ISNUMBER($C7),ISNUMBER($D7),CN$1&lt;=$D7,CN$1+6&gt;=$C7),1,"")</f>
        <v/>
      </c>
      <c r="CO7" s="7" t="str">
        <f>IF(AND(ISNUMBER($C7),ISNUMBER($D7),CO$1&lt;=$D7,CO$1+6&gt;=$C7),1,"")</f>
        <v/>
      </c>
      <c r="CP7" s="7" t="str">
        <f>IF(AND(ISNUMBER($C7),ISNUMBER($D7),CP$1&lt;=$D7,CP$1+6&gt;=$C7),1,"")</f>
        <v/>
      </c>
      <c r="CQ7" s="7" t="str">
        <f>IF(AND(ISNUMBER($C7),ISNUMBER($D7),CQ$1&lt;=$D7,CQ$1+6&gt;=$C7),1,"")</f>
        <v/>
      </c>
      <c r="CR7" s="7" t="str">
        <f>IF(AND(ISNUMBER($C7),ISNUMBER($D7),CR$1&lt;=$D7,CR$1+6&gt;=$C7),1,"")</f>
        <v/>
      </c>
      <c r="CS7" s="7" t="str">
        <f>IF(AND(ISNUMBER($C7),ISNUMBER($D7),CS$1&lt;=$D7,CS$1+6&gt;=$C7),1,"")</f>
        <v/>
      </c>
      <c r="CT7" s="7" t="str">
        <f>IF(AND(ISNUMBER($C7),ISNUMBER($D7),CT$1&lt;=$D7,CT$1+6&gt;=$C7),1,"")</f>
        <v/>
      </c>
      <c r="CU7" s="7" t="str">
        <f>IF(AND(ISNUMBER($C7),ISNUMBER($D7),CU$1&lt;=$D7,CU$1+6&gt;=$C7),1,"")</f>
        <v/>
      </c>
      <c r="CV7" s="7" t="str">
        <f>IF(AND(ISNUMBER($C7),ISNUMBER($D7),CV$1&lt;=$D7,CV$1+6&gt;=$C7),1,"")</f>
        <v/>
      </c>
      <c r="CW7" s="7" t="str">
        <f>IF(AND(ISNUMBER($C7),ISNUMBER($D7),CW$1&lt;=$D7,CW$1+6&gt;=$C7),1,"")</f>
        <v/>
      </c>
      <c r="CX7" s="7" t="str">
        <f>IF(AND(ISNUMBER($C7),ISNUMBER($D7),CX$1&lt;=$D7,CX$1+6&gt;=$C7),1,"")</f>
        <v/>
      </c>
      <c r="CY7" s="7" t="str">
        <f>IF(AND(ISNUMBER($C7),ISNUMBER($D7),CY$1&lt;=$D7,CY$1+6&gt;=$C7),1,"")</f>
        <v/>
      </c>
      <c r="CZ7" s="7" t="str">
        <f>IF(AND(ISNUMBER($C7),ISNUMBER($D7),CZ$1&lt;=$D7,CZ$1+6&gt;=$C7),1,"")</f>
        <v/>
      </c>
      <c r="DA7" s="7" t="str">
        <f>IF(AND(ISNUMBER($C7),ISNUMBER($D7),DA$1&lt;=$D7,DA$1+6&gt;=$C7),1,"")</f>
        <v/>
      </c>
      <c r="DB7" s="7" t="str">
        <f>IF(AND(ISNUMBER($C7),ISNUMBER($D7),DB$1&lt;=$D7,DB$1+6&gt;=$C7),1,"")</f>
        <v/>
      </c>
      <c r="DC7" s="7" t="str">
        <f>IF(AND(ISNUMBER($C7),ISNUMBER($D7),DC$1&lt;=$D7,DC$1+6&gt;=$C7),1,"")</f>
        <v/>
      </c>
      <c r="DD7" s="7" t="str">
        <f>IF(AND(ISNUMBER($C7),ISNUMBER($D7),DD$1&lt;=$D7,DD$1+6&gt;=$C7),1,"")</f>
        <v/>
      </c>
    </row>
    <row r="8" spans="1:108" x14ac:dyDescent="0.35">
      <c r="A8" s="6" t="str">
        <f>Schedule!B8</f>
        <v>One usable frontend stack</v>
      </c>
      <c r="B8" s="6" t="str">
        <f>Schedule!C8</f>
        <v>Core</v>
      </c>
      <c r="C8" s="4">
        <f>IF(Schedule!P8="","",Schedule!P8)</f>
        <v>46442</v>
      </c>
      <c r="D8" s="4">
        <f>IF(Schedule!Q8="","",Schedule!Q8)</f>
        <v>46471</v>
      </c>
      <c r="E8" s="7" t="str">
        <f>IF(AND(ISNUMBER($C8),ISNUMBER($D8),E$1&lt;=$D8,E$1+6&gt;=$C8),1,"")</f>
        <v/>
      </c>
      <c r="F8" s="7" t="str">
        <f>IF(AND(ISNUMBER($C8),ISNUMBER($D8),F$1&lt;=$D8,F$1+6&gt;=$C8),1,"")</f>
        <v/>
      </c>
      <c r="G8" s="7" t="str">
        <f>IF(AND(ISNUMBER($C8),ISNUMBER($D8),G$1&lt;=$D8,G$1+6&gt;=$C8),1,"")</f>
        <v/>
      </c>
      <c r="H8" s="7" t="str">
        <f>IF(AND(ISNUMBER($C8),ISNUMBER($D8),H$1&lt;=$D8,H$1+6&gt;=$C8),1,"")</f>
        <v/>
      </c>
      <c r="I8" s="7" t="str">
        <f>IF(AND(ISNUMBER($C8),ISNUMBER($D8),I$1&lt;=$D8,I$1+6&gt;=$C8),1,"")</f>
        <v/>
      </c>
      <c r="J8" s="7" t="str">
        <f>IF(AND(ISNUMBER($C8),ISNUMBER($D8),J$1&lt;=$D8,J$1+6&gt;=$C8),1,"")</f>
        <v/>
      </c>
      <c r="K8" s="7" t="str">
        <f>IF(AND(ISNUMBER($C8),ISNUMBER($D8),K$1&lt;=$D8,K$1+6&gt;=$C8),1,"")</f>
        <v/>
      </c>
      <c r="L8" s="7" t="str">
        <f>IF(AND(ISNUMBER($C8),ISNUMBER($D8),L$1&lt;=$D8,L$1+6&gt;=$C8),1,"")</f>
        <v/>
      </c>
      <c r="M8" s="7" t="str">
        <f>IF(AND(ISNUMBER($C8),ISNUMBER($D8),M$1&lt;=$D8,M$1+6&gt;=$C8),1,"")</f>
        <v/>
      </c>
      <c r="N8" s="7" t="str">
        <f>IF(AND(ISNUMBER($C8),ISNUMBER($D8),N$1&lt;=$D8,N$1+6&gt;=$C8),1,"")</f>
        <v/>
      </c>
      <c r="O8" s="7" t="str">
        <f>IF(AND(ISNUMBER($C8),ISNUMBER($D8),O$1&lt;=$D8,O$1+6&gt;=$C8),1,"")</f>
        <v/>
      </c>
      <c r="P8" s="7" t="str">
        <f>IF(AND(ISNUMBER($C8),ISNUMBER($D8),P$1&lt;=$D8,P$1+6&gt;=$C8),1,"")</f>
        <v/>
      </c>
      <c r="Q8" s="7" t="str">
        <f>IF(AND(ISNUMBER($C8),ISNUMBER($D8),Q$1&lt;=$D8,Q$1+6&gt;=$C8),1,"")</f>
        <v/>
      </c>
      <c r="R8" s="7" t="str">
        <f>IF(AND(ISNUMBER($C8),ISNUMBER($D8),R$1&lt;=$D8,R$1+6&gt;=$C8),1,"")</f>
        <v/>
      </c>
      <c r="S8" s="7" t="str">
        <f>IF(AND(ISNUMBER($C8),ISNUMBER($D8),S$1&lt;=$D8,S$1+6&gt;=$C8),1,"")</f>
        <v/>
      </c>
      <c r="T8" s="7" t="str">
        <f>IF(AND(ISNUMBER($C8),ISNUMBER($D8),T$1&lt;=$D8,T$1+6&gt;=$C8),1,"")</f>
        <v/>
      </c>
      <c r="U8" s="7" t="str">
        <f>IF(AND(ISNUMBER($C8),ISNUMBER($D8),U$1&lt;=$D8,U$1+6&gt;=$C8),1,"")</f>
        <v/>
      </c>
      <c r="V8" s="7">
        <f>IF(AND(ISNUMBER($C8),ISNUMBER($D8),V$1&lt;=$D8,V$1+6&gt;=$C8),1,"")</f>
        <v>1</v>
      </c>
      <c r="W8" s="7">
        <f>IF(AND(ISNUMBER($C8),ISNUMBER($D8),W$1&lt;=$D8,W$1+6&gt;=$C8),1,"")</f>
        <v>1</v>
      </c>
      <c r="X8" s="7">
        <f>IF(AND(ISNUMBER($C8),ISNUMBER($D8),X$1&lt;=$D8,X$1+6&gt;=$C8),1,"")</f>
        <v>1</v>
      </c>
      <c r="Y8" s="7">
        <f>IF(AND(ISNUMBER($C8),ISNUMBER($D8),Y$1&lt;=$D8,Y$1+6&gt;=$C8),1,"")</f>
        <v>1</v>
      </c>
      <c r="Z8" s="7">
        <f>IF(AND(ISNUMBER($C8),ISNUMBER($D8),Z$1&lt;=$D8,Z$1+6&gt;=$C8),1,"")</f>
        <v>1</v>
      </c>
      <c r="AA8" s="7" t="str">
        <f>IF(AND(ISNUMBER($C8),ISNUMBER($D8),AA$1&lt;=$D8,AA$1+6&gt;=$C8),1,"")</f>
        <v/>
      </c>
      <c r="AB8" s="7" t="str">
        <f>IF(AND(ISNUMBER($C8),ISNUMBER($D8),AB$1&lt;=$D8,AB$1+6&gt;=$C8),1,"")</f>
        <v/>
      </c>
      <c r="AC8" s="7" t="str">
        <f>IF(AND(ISNUMBER($C8),ISNUMBER($D8),AC$1&lt;=$D8,AC$1+6&gt;=$C8),1,"")</f>
        <v/>
      </c>
      <c r="AD8" s="7" t="str">
        <f>IF(AND(ISNUMBER($C8),ISNUMBER($D8),AD$1&lt;=$D8,AD$1+6&gt;=$C8),1,"")</f>
        <v/>
      </c>
      <c r="AE8" s="7" t="str">
        <f>IF(AND(ISNUMBER($C8),ISNUMBER($D8),AE$1&lt;=$D8,AE$1+6&gt;=$C8),1,"")</f>
        <v/>
      </c>
      <c r="AF8" s="7" t="str">
        <f>IF(AND(ISNUMBER($C8),ISNUMBER($D8),AF$1&lt;=$D8,AF$1+6&gt;=$C8),1,"")</f>
        <v/>
      </c>
      <c r="AG8" s="7" t="str">
        <f>IF(AND(ISNUMBER($C8),ISNUMBER($D8),AG$1&lt;=$D8,AG$1+6&gt;=$C8),1,"")</f>
        <v/>
      </c>
      <c r="AH8" s="7" t="str">
        <f>IF(AND(ISNUMBER($C8),ISNUMBER($D8),AH$1&lt;=$D8,AH$1+6&gt;=$C8),1,"")</f>
        <v/>
      </c>
      <c r="AI8" s="7" t="str">
        <f>IF(AND(ISNUMBER($C8),ISNUMBER($D8),AI$1&lt;=$D8,AI$1+6&gt;=$C8),1,"")</f>
        <v/>
      </c>
      <c r="AJ8" s="7" t="str">
        <f>IF(AND(ISNUMBER($C8),ISNUMBER($D8),AJ$1&lt;=$D8,AJ$1+6&gt;=$C8),1,"")</f>
        <v/>
      </c>
      <c r="AK8" s="7" t="str">
        <f>IF(AND(ISNUMBER($C8),ISNUMBER($D8),AK$1&lt;=$D8,AK$1+6&gt;=$C8),1,"")</f>
        <v/>
      </c>
      <c r="AL8" s="7" t="str">
        <f>IF(AND(ISNUMBER($C8),ISNUMBER($D8),AL$1&lt;=$D8,AL$1+6&gt;=$C8),1,"")</f>
        <v/>
      </c>
      <c r="AM8" s="7" t="str">
        <f>IF(AND(ISNUMBER($C8),ISNUMBER($D8),AM$1&lt;=$D8,AM$1+6&gt;=$C8),1,"")</f>
        <v/>
      </c>
      <c r="AN8" s="7" t="str">
        <f>IF(AND(ISNUMBER($C8),ISNUMBER($D8),AN$1&lt;=$D8,AN$1+6&gt;=$C8),1,"")</f>
        <v/>
      </c>
      <c r="AO8" s="7" t="str">
        <f>IF(AND(ISNUMBER($C8),ISNUMBER($D8),AO$1&lt;=$D8,AO$1+6&gt;=$C8),1,"")</f>
        <v/>
      </c>
      <c r="AP8" s="7" t="str">
        <f>IF(AND(ISNUMBER($C8),ISNUMBER($D8),AP$1&lt;=$D8,AP$1+6&gt;=$C8),1,"")</f>
        <v/>
      </c>
      <c r="AQ8" s="7" t="str">
        <f>IF(AND(ISNUMBER($C8),ISNUMBER($D8),AQ$1&lt;=$D8,AQ$1+6&gt;=$C8),1,"")</f>
        <v/>
      </c>
      <c r="AR8" s="7" t="str">
        <f>IF(AND(ISNUMBER($C8),ISNUMBER($D8),AR$1&lt;=$D8,AR$1+6&gt;=$C8),1,"")</f>
        <v/>
      </c>
      <c r="AS8" s="7" t="str">
        <f>IF(AND(ISNUMBER($C8),ISNUMBER($D8),AS$1&lt;=$D8,AS$1+6&gt;=$C8),1,"")</f>
        <v/>
      </c>
      <c r="AT8" s="7" t="str">
        <f>IF(AND(ISNUMBER($C8),ISNUMBER($D8),AT$1&lt;=$D8,AT$1+6&gt;=$C8),1,"")</f>
        <v/>
      </c>
      <c r="AU8" s="7" t="str">
        <f>IF(AND(ISNUMBER($C8),ISNUMBER($D8),AU$1&lt;=$D8,AU$1+6&gt;=$C8),1,"")</f>
        <v/>
      </c>
      <c r="AV8" s="7" t="str">
        <f>IF(AND(ISNUMBER($C8),ISNUMBER($D8),AV$1&lt;=$D8,AV$1+6&gt;=$C8),1,"")</f>
        <v/>
      </c>
      <c r="AW8" s="7" t="str">
        <f>IF(AND(ISNUMBER($C8),ISNUMBER($D8),AW$1&lt;=$D8,AW$1+6&gt;=$C8),1,"")</f>
        <v/>
      </c>
      <c r="AX8" s="7" t="str">
        <f>IF(AND(ISNUMBER($C8),ISNUMBER($D8),AX$1&lt;=$D8,AX$1+6&gt;=$C8),1,"")</f>
        <v/>
      </c>
      <c r="AY8" s="7" t="str">
        <f>IF(AND(ISNUMBER($C8),ISNUMBER($D8),AY$1&lt;=$D8,AY$1+6&gt;=$C8),1,"")</f>
        <v/>
      </c>
      <c r="AZ8" s="7" t="str">
        <f>IF(AND(ISNUMBER($C8),ISNUMBER($D8),AZ$1&lt;=$D8,AZ$1+6&gt;=$C8),1,"")</f>
        <v/>
      </c>
      <c r="BA8" s="7" t="str">
        <f>IF(AND(ISNUMBER($C8),ISNUMBER($D8),BA$1&lt;=$D8,BA$1+6&gt;=$C8),1,"")</f>
        <v/>
      </c>
      <c r="BB8" s="7" t="str">
        <f>IF(AND(ISNUMBER($C8),ISNUMBER($D8),BB$1&lt;=$D8,BB$1+6&gt;=$C8),1,"")</f>
        <v/>
      </c>
      <c r="BC8" s="7" t="str">
        <f>IF(AND(ISNUMBER($C8),ISNUMBER($D8),BC$1&lt;=$D8,BC$1+6&gt;=$C8),1,"")</f>
        <v/>
      </c>
      <c r="BD8" s="7" t="str">
        <f>IF(AND(ISNUMBER($C8),ISNUMBER($D8),BD$1&lt;=$D8,BD$1+6&gt;=$C8),1,"")</f>
        <v/>
      </c>
      <c r="BE8" s="7" t="str">
        <f>IF(AND(ISNUMBER($C8),ISNUMBER($D8),BE$1&lt;=$D8,BE$1+6&gt;=$C8),1,"")</f>
        <v/>
      </c>
      <c r="BF8" s="7" t="str">
        <f>IF(AND(ISNUMBER($C8),ISNUMBER($D8),BF$1&lt;=$D8,BF$1+6&gt;=$C8),1,"")</f>
        <v/>
      </c>
      <c r="BG8" s="7" t="str">
        <f>IF(AND(ISNUMBER($C8),ISNUMBER($D8),BG$1&lt;=$D8,BG$1+6&gt;=$C8),1,"")</f>
        <v/>
      </c>
      <c r="BH8" s="7" t="str">
        <f>IF(AND(ISNUMBER($C8),ISNUMBER($D8),BH$1&lt;=$D8,BH$1+6&gt;=$C8),1,"")</f>
        <v/>
      </c>
      <c r="BI8" s="7" t="str">
        <f>IF(AND(ISNUMBER($C8),ISNUMBER($D8),BI$1&lt;=$D8,BI$1+6&gt;=$C8),1,"")</f>
        <v/>
      </c>
      <c r="BJ8" s="7" t="str">
        <f>IF(AND(ISNUMBER($C8),ISNUMBER($D8),BJ$1&lt;=$D8,BJ$1+6&gt;=$C8),1,"")</f>
        <v/>
      </c>
      <c r="BK8" s="7" t="str">
        <f>IF(AND(ISNUMBER($C8),ISNUMBER($D8),BK$1&lt;=$D8,BK$1+6&gt;=$C8),1,"")</f>
        <v/>
      </c>
      <c r="BL8" s="7" t="str">
        <f>IF(AND(ISNUMBER($C8),ISNUMBER($D8),BL$1&lt;=$D8,BL$1+6&gt;=$C8),1,"")</f>
        <v/>
      </c>
      <c r="BM8" s="7" t="str">
        <f>IF(AND(ISNUMBER($C8),ISNUMBER($D8),BM$1&lt;=$D8,BM$1+6&gt;=$C8),1,"")</f>
        <v/>
      </c>
      <c r="BN8" s="7" t="str">
        <f>IF(AND(ISNUMBER($C8),ISNUMBER($D8),BN$1&lt;=$D8,BN$1+6&gt;=$C8),1,"")</f>
        <v/>
      </c>
      <c r="BO8" s="7" t="str">
        <f>IF(AND(ISNUMBER($C8),ISNUMBER($D8),BO$1&lt;=$D8,BO$1+6&gt;=$C8),1,"")</f>
        <v/>
      </c>
      <c r="BP8" s="7" t="str">
        <f>IF(AND(ISNUMBER($C8),ISNUMBER($D8),BP$1&lt;=$D8,BP$1+6&gt;=$C8),1,"")</f>
        <v/>
      </c>
      <c r="BQ8" s="7" t="str">
        <f>IF(AND(ISNUMBER($C8),ISNUMBER($D8),BQ$1&lt;=$D8,BQ$1+6&gt;=$C8),1,"")</f>
        <v/>
      </c>
      <c r="BR8" s="7" t="str">
        <f>IF(AND(ISNUMBER($C8),ISNUMBER($D8),BR$1&lt;=$D8,BR$1+6&gt;=$C8),1,"")</f>
        <v/>
      </c>
      <c r="BS8" s="7" t="str">
        <f>IF(AND(ISNUMBER($C8),ISNUMBER($D8),BS$1&lt;=$D8,BS$1+6&gt;=$C8),1,"")</f>
        <v/>
      </c>
      <c r="BT8" s="7" t="str">
        <f>IF(AND(ISNUMBER($C8),ISNUMBER($D8),BT$1&lt;=$D8,BT$1+6&gt;=$C8),1,"")</f>
        <v/>
      </c>
      <c r="BU8" s="7" t="str">
        <f>IF(AND(ISNUMBER($C8),ISNUMBER($D8),BU$1&lt;=$D8,BU$1+6&gt;=$C8),1,"")</f>
        <v/>
      </c>
      <c r="BV8" s="7" t="str">
        <f>IF(AND(ISNUMBER($C8),ISNUMBER($D8),BV$1&lt;=$D8,BV$1+6&gt;=$C8),1,"")</f>
        <v/>
      </c>
      <c r="BW8" s="7" t="str">
        <f>IF(AND(ISNUMBER($C8),ISNUMBER($D8),BW$1&lt;=$D8,BW$1+6&gt;=$C8),1,"")</f>
        <v/>
      </c>
      <c r="BX8" s="7" t="str">
        <f>IF(AND(ISNUMBER($C8),ISNUMBER($D8),BX$1&lt;=$D8,BX$1+6&gt;=$C8),1,"")</f>
        <v/>
      </c>
      <c r="BY8" s="7" t="str">
        <f>IF(AND(ISNUMBER($C8),ISNUMBER($D8),BY$1&lt;=$D8,BY$1+6&gt;=$C8),1,"")</f>
        <v/>
      </c>
      <c r="BZ8" s="7" t="str">
        <f>IF(AND(ISNUMBER($C8),ISNUMBER($D8),BZ$1&lt;=$D8,BZ$1+6&gt;=$C8),1,"")</f>
        <v/>
      </c>
      <c r="CA8" s="7" t="str">
        <f>IF(AND(ISNUMBER($C8),ISNUMBER($D8),CA$1&lt;=$D8,CA$1+6&gt;=$C8),1,"")</f>
        <v/>
      </c>
      <c r="CB8" s="7" t="str">
        <f>IF(AND(ISNUMBER($C8),ISNUMBER($D8),CB$1&lt;=$D8,CB$1+6&gt;=$C8),1,"")</f>
        <v/>
      </c>
      <c r="CC8" s="7" t="str">
        <f>IF(AND(ISNUMBER($C8),ISNUMBER($D8),CC$1&lt;=$D8,CC$1+6&gt;=$C8),1,"")</f>
        <v/>
      </c>
      <c r="CD8" s="7" t="str">
        <f>IF(AND(ISNUMBER($C8),ISNUMBER($D8),CD$1&lt;=$D8,CD$1+6&gt;=$C8),1,"")</f>
        <v/>
      </c>
      <c r="CE8" s="7" t="str">
        <f>IF(AND(ISNUMBER($C8),ISNUMBER($D8),CE$1&lt;=$D8,CE$1+6&gt;=$C8),1,"")</f>
        <v/>
      </c>
      <c r="CF8" s="7" t="str">
        <f>IF(AND(ISNUMBER($C8),ISNUMBER($D8),CF$1&lt;=$D8,CF$1+6&gt;=$C8),1,"")</f>
        <v/>
      </c>
      <c r="CG8" s="7" t="str">
        <f>IF(AND(ISNUMBER($C8),ISNUMBER($D8),CG$1&lt;=$D8,CG$1+6&gt;=$C8),1,"")</f>
        <v/>
      </c>
      <c r="CH8" s="7" t="str">
        <f>IF(AND(ISNUMBER($C8),ISNUMBER($D8),CH$1&lt;=$D8,CH$1+6&gt;=$C8),1,"")</f>
        <v/>
      </c>
      <c r="CI8" s="7" t="str">
        <f>IF(AND(ISNUMBER($C8),ISNUMBER($D8),CI$1&lt;=$D8,CI$1+6&gt;=$C8),1,"")</f>
        <v/>
      </c>
      <c r="CJ8" s="7" t="str">
        <f>IF(AND(ISNUMBER($C8),ISNUMBER($D8),CJ$1&lt;=$D8,CJ$1+6&gt;=$C8),1,"")</f>
        <v/>
      </c>
      <c r="CK8" s="7" t="str">
        <f>IF(AND(ISNUMBER($C8),ISNUMBER($D8),CK$1&lt;=$D8,CK$1+6&gt;=$C8),1,"")</f>
        <v/>
      </c>
      <c r="CL8" s="7" t="str">
        <f>IF(AND(ISNUMBER($C8),ISNUMBER($D8),CL$1&lt;=$D8,CL$1+6&gt;=$C8),1,"")</f>
        <v/>
      </c>
      <c r="CM8" s="7" t="str">
        <f>IF(AND(ISNUMBER($C8),ISNUMBER($D8),CM$1&lt;=$D8,CM$1+6&gt;=$C8),1,"")</f>
        <v/>
      </c>
      <c r="CN8" s="7" t="str">
        <f>IF(AND(ISNUMBER($C8),ISNUMBER($D8),CN$1&lt;=$D8,CN$1+6&gt;=$C8),1,"")</f>
        <v/>
      </c>
      <c r="CO8" s="7" t="str">
        <f>IF(AND(ISNUMBER($C8),ISNUMBER($D8),CO$1&lt;=$D8,CO$1+6&gt;=$C8),1,"")</f>
        <v/>
      </c>
      <c r="CP8" s="7" t="str">
        <f>IF(AND(ISNUMBER($C8),ISNUMBER($D8),CP$1&lt;=$D8,CP$1+6&gt;=$C8),1,"")</f>
        <v/>
      </c>
      <c r="CQ8" s="7" t="str">
        <f>IF(AND(ISNUMBER($C8),ISNUMBER($D8),CQ$1&lt;=$D8,CQ$1+6&gt;=$C8),1,"")</f>
        <v/>
      </c>
      <c r="CR8" s="7" t="str">
        <f>IF(AND(ISNUMBER($C8),ISNUMBER($D8),CR$1&lt;=$D8,CR$1+6&gt;=$C8),1,"")</f>
        <v/>
      </c>
      <c r="CS8" s="7" t="str">
        <f>IF(AND(ISNUMBER($C8),ISNUMBER($D8),CS$1&lt;=$D8,CS$1+6&gt;=$C8),1,"")</f>
        <v/>
      </c>
      <c r="CT8" s="7" t="str">
        <f>IF(AND(ISNUMBER($C8),ISNUMBER($D8),CT$1&lt;=$D8,CT$1+6&gt;=$C8),1,"")</f>
        <v/>
      </c>
      <c r="CU8" s="7" t="str">
        <f>IF(AND(ISNUMBER($C8),ISNUMBER($D8),CU$1&lt;=$D8,CU$1+6&gt;=$C8),1,"")</f>
        <v/>
      </c>
      <c r="CV8" s="7" t="str">
        <f>IF(AND(ISNUMBER($C8),ISNUMBER($D8),CV$1&lt;=$D8,CV$1+6&gt;=$C8),1,"")</f>
        <v/>
      </c>
      <c r="CW8" s="7" t="str">
        <f>IF(AND(ISNUMBER($C8),ISNUMBER($D8),CW$1&lt;=$D8,CW$1+6&gt;=$C8),1,"")</f>
        <v/>
      </c>
      <c r="CX8" s="7" t="str">
        <f>IF(AND(ISNUMBER($C8),ISNUMBER($D8),CX$1&lt;=$D8,CX$1+6&gt;=$C8),1,"")</f>
        <v/>
      </c>
      <c r="CY8" s="7" t="str">
        <f>IF(AND(ISNUMBER($C8),ISNUMBER($D8),CY$1&lt;=$D8,CY$1+6&gt;=$C8),1,"")</f>
        <v/>
      </c>
      <c r="CZ8" s="7" t="str">
        <f>IF(AND(ISNUMBER($C8),ISNUMBER($D8),CZ$1&lt;=$D8,CZ$1+6&gt;=$C8),1,"")</f>
        <v/>
      </c>
      <c r="DA8" s="7" t="str">
        <f>IF(AND(ISNUMBER($C8),ISNUMBER($D8),DA$1&lt;=$D8,DA$1+6&gt;=$C8),1,"")</f>
        <v/>
      </c>
      <c r="DB8" s="7" t="str">
        <f>IF(AND(ISNUMBER($C8),ISNUMBER($D8),DB$1&lt;=$D8,DB$1+6&gt;=$C8),1,"")</f>
        <v/>
      </c>
      <c r="DC8" s="7" t="str">
        <f>IF(AND(ISNUMBER($C8),ISNUMBER($D8),DC$1&lt;=$D8,DC$1+6&gt;=$C8),1,"")</f>
        <v/>
      </c>
      <c r="DD8" s="7" t="str">
        <f>IF(AND(ISNUMBER($C8),ISNUMBER($D8),DD$1&lt;=$D8,DD$1+6&gt;=$C8),1,"")</f>
        <v/>
      </c>
    </row>
    <row r="9" spans="1:108" x14ac:dyDescent="0.35">
      <c r="A9" s="6" t="str">
        <f>Schedule!B9</f>
        <v>Data lifecycle pipelines and quality</v>
      </c>
      <c r="B9" s="6" t="str">
        <f>Schedule!C9</f>
        <v>Core</v>
      </c>
      <c r="C9" s="4">
        <f>IF(Schedule!P9="","",Schedule!P9)</f>
        <v>46471</v>
      </c>
      <c r="D9" s="4">
        <f>IF(Schedule!Q9="","",Schedule!Q9)</f>
        <v>46497</v>
      </c>
      <c r="E9" s="7" t="str">
        <f>IF(AND(ISNUMBER($C9),ISNUMBER($D9),E$1&lt;=$D9,E$1+6&gt;=$C9),1,"")</f>
        <v/>
      </c>
      <c r="F9" s="7" t="str">
        <f>IF(AND(ISNUMBER($C9),ISNUMBER($D9),F$1&lt;=$D9,F$1+6&gt;=$C9),1,"")</f>
        <v/>
      </c>
      <c r="G9" s="7" t="str">
        <f>IF(AND(ISNUMBER($C9),ISNUMBER($D9),G$1&lt;=$D9,G$1+6&gt;=$C9),1,"")</f>
        <v/>
      </c>
      <c r="H9" s="7" t="str">
        <f>IF(AND(ISNUMBER($C9),ISNUMBER($D9),H$1&lt;=$D9,H$1+6&gt;=$C9),1,"")</f>
        <v/>
      </c>
      <c r="I9" s="7" t="str">
        <f>IF(AND(ISNUMBER($C9),ISNUMBER($D9),I$1&lt;=$D9,I$1+6&gt;=$C9),1,"")</f>
        <v/>
      </c>
      <c r="J9" s="7" t="str">
        <f>IF(AND(ISNUMBER($C9),ISNUMBER($D9),J$1&lt;=$D9,J$1+6&gt;=$C9),1,"")</f>
        <v/>
      </c>
      <c r="K9" s="7" t="str">
        <f>IF(AND(ISNUMBER($C9),ISNUMBER($D9),K$1&lt;=$D9,K$1+6&gt;=$C9),1,"")</f>
        <v/>
      </c>
      <c r="L9" s="7" t="str">
        <f>IF(AND(ISNUMBER($C9),ISNUMBER($D9),L$1&lt;=$D9,L$1+6&gt;=$C9),1,"")</f>
        <v/>
      </c>
      <c r="M9" s="7" t="str">
        <f>IF(AND(ISNUMBER($C9),ISNUMBER($D9),M$1&lt;=$D9,M$1+6&gt;=$C9),1,"")</f>
        <v/>
      </c>
      <c r="N9" s="7" t="str">
        <f>IF(AND(ISNUMBER($C9),ISNUMBER($D9),N$1&lt;=$D9,N$1+6&gt;=$C9),1,"")</f>
        <v/>
      </c>
      <c r="O9" s="7" t="str">
        <f>IF(AND(ISNUMBER($C9),ISNUMBER($D9),O$1&lt;=$D9,O$1+6&gt;=$C9),1,"")</f>
        <v/>
      </c>
      <c r="P9" s="7" t="str">
        <f>IF(AND(ISNUMBER($C9),ISNUMBER($D9),P$1&lt;=$D9,P$1+6&gt;=$C9),1,"")</f>
        <v/>
      </c>
      <c r="Q9" s="7" t="str">
        <f>IF(AND(ISNUMBER($C9),ISNUMBER($D9),Q$1&lt;=$D9,Q$1+6&gt;=$C9),1,"")</f>
        <v/>
      </c>
      <c r="R9" s="7" t="str">
        <f>IF(AND(ISNUMBER($C9),ISNUMBER($D9),R$1&lt;=$D9,R$1+6&gt;=$C9),1,"")</f>
        <v/>
      </c>
      <c r="S9" s="7" t="str">
        <f>IF(AND(ISNUMBER($C9),ISNUMBER($D9),S$1&lt;=$D9,S$1+6&gt;=$C9),1,"")</f>
        <v/>
      </c>
      <c r="T9" s="7" t="str">
        <f>IF(AND(ISNUMBER($C9),ISNUMBER($D9),T$1&lt;=$D9,T$1+6&gt;=$C9),1,"")</f>
        <v/>
      </c>
      <c r="U9" s="7" t="str">
        <f>IF(AND(ISNUMBER($C9),ISNUMBER($D9),U$1&lt;=$D9,U$1+6&gt;=$C9),1,"")</f>
        <v/>
      </c>
      <c r="V9" s="7" t="str">
        <f>IF(AND(ISNUMBER($C9),ISNUMBER($D9),V$1&lt;=$D9,V$1+6&gt;=$C9),1,"")</f>
        <v/>
      </c>
      <c r="W9" s="7" t="str">
        <f>IF(AND(ISNUMBER($C9),ISNUMBER($D9),W$1&lt;=$D9,W$1+6&gt;=$C9),1,"")</f>
        <v/>
      </c>
      <c r="X9" s="7" t="str">
        <f>IF(AND(ISNUMBER($C9),ISNUMBER($D9),X$1&lt;=$D9,X$1+6&gt;=$C9),1,"")</f>
        <v/>
      </c>
      <c r="Y9" s="7" t="str">
        <f>IF(AND(ISNUMBER($C9),ISNUMBER($D9),Y$1&lt;=$D9,Y$1+6&gt;=$C9),1,"")</f>
        <v/>
      </c>
      <c r="Z9" s="7">
        <f>IF(AND(ISNUMBER($C9),ISNUMBER($D9),Z$1&lt;=$D9,Z$1+6&gt;=$C9),1,"")</f>
        <v>1</v>
      </c>
      <c r="AA9" s="7">
        <f>IF(AND(ISNUMBER($C9),ISNUMBER($D9),AA$1&lt;=$D9,AA$1+6&gt;=$C9),1,"")</f>
        <v>1</v>
      </c>
      <c r="AB9" s="7">
        <f>IF(AND(ISNUMBER($C9),ISNUMBER($D9),AB$1&lt;=$D9,AB$1+6&gt;=$C9),1,"")</f>
        <v>1</v>
      </c>
      <c r="AC9" s="7">
        <f>IF(AND(ISNUMBER($C9),ISNUMBER($D9),AC$1&lt;=$D9,AC$1+6&gt;=$C9),1,"")</f>
        <v>1</v>
      </c>
      <c r="AD9" s="7">
        <f>IF(AND(ISNUMBER($C9),ISNUMBER($D9),AD$1&lt;=$D9,AD$1+6&gt;=$C9),1,"")</f>
        <v>1</v>
      </c>
      <c r="AE9" s="7" t="str">
        <f>IF(AND(ISNUMBER($C9),ISNUMBER($D9),AE$1&lt;=$D9,AE$1+6&gt;=$C9),1,"")</f>
        <v/>
      </c>
      <c r="AF9" s="7" t="str">
        <f>IF(AND(ISNUMBER($C9),ISNUMBER($D9),AF$1&lt;=$D9,AF$1+6&gt;=$C9),1,"")</f>
        <v/>
      </c>
      <c r="AG9" s="7" t="str">
        <f>IF(AND(ISNUMBER($C9),ISNUMBER($D9),AG$1&lt;=$D9,AG$1+6&gt;=$C9),1,"")</f>
        <v/>
      </c>
      <c r="AH9" s="7" t="str">
        <f>IF(AND(ISNUMBER($C9),ISNUMBER($D9),AH$1&lt;=$D9,AH$1+6&gt;=$C9),1,"")</f>
        <v/>
      </c>
      <c r="AI9" s="7" t="str">
        <f>IF(AND(ISNUMBER($C9),ISNUMBER($D9),AI$1&lt;=$D9,AI$1+6&gt;=$C9),1,"")</f>
        <v/>
      </c>
      <c r="AJ9" s="7" t="str">
        <f>IF(AND(ISNUMBER($C9),ISNUMBER($D9),AJ$1&lt;=$D9,AJ$1+6&gt;=$C9),1,"")</f>
        <v/>
      </c>
      <c r="AK9" s="7" t="str">
        <f>IF(AND(ISNUMBER($C9),ISNUMBER($D9),AK$1&lt;=$D9,AK$1+6&gt;=$C9),1,"")</f>
        <v/>
      </c>
      <c r="AL9" s="7" t="str">
        <f>IF(AND(ISNUMBER($C9),ISNUMBER($D9),AL$1&lt;=$D9,AL$1+6&gt;=$C9),1,"")</f>
        <v/>
      </c>
      <c r="AM9" s="7" t="str">
        <f>IF(AND(ISNUMBER($C9),ISNUMBER($D9),AM$1&lt;=$D9,AM$1+6&gt;=$C9),1,"")</f>
        <v/>
      </c>
      <c r="AN9" s="7" t="str">
        <f>IF(AND(ISNUMBER($C9),ISNUMBER($D9),AN$1&lt;=$D9,AN$1+6&gt;=$C9),1,"")</f>
        <v/>
      </c>
      <c r="AO9" s="7" t="str">
        <f>IF(AND(ISNUMBER($C9),ISNUMBER($D9),AO$1&lt;=$D9,AO$1+6&gt;=$C9),1,"")</f>
        <v/>
      </c>
      <c r="AP9" s="7" t="str">
        <f>IF(AND(ISNUMBER($C9),ISNUMBER($D9),AP$1&lt;=$D9,AP$1+6&gt;=$C9),1,"")</f>
        <v/>
      </c>
      <c r="AQ9" s="7" t="str">
        <f>IF(AND(ISNUMBER($C9),ISNUMBER($D9),AQ$1&lt;=$D9,AQ$1+6&gt;=$C9),1,"")</f>
        <v/>
      </c>
      <c r="AR9" s="7" t="str">
        <f>IF(AND(ISNUMBER($C9),ISNUMBER($D9),AR$1&lt;=$D9,AR$1+6&gt;=$C9),1,"")</f>
        <v/>
      </c>
      <c r="AS9" s="7" t="str">
        <f>IF(AND(ISNUMBER($C9),ISNUMBER($D9),AS$1&lt;=$D9,AS$1+6&gt;=$C9),1,"")</f>
        <v/>
      </c>
      <c r="AT9" s="7" t="str">
        <f>IF(AND(ISNUMBER($C9),ISNUMBER($D9),AT$1&lt;=$D9,AT$1+6&gt;=$C9),1,"")</f>
        <v/>
      </c>
      <c r="AU9" s="7" t="str">
        <f>IF(AND(ISNUMBER($C9),ISNUMBER($D9),AU$1&lt;=$D9,AU$1+6&gt;=$C9),1,"")</f>
        <v/>
      </c>
      <c r="AV9" s="7" t="str">
        <f>IF(AND(ISNUMBER($C9),ISNUMBER($D9),AV$1&lt;=$D9,AV$1+6&gt;=$C9),1,"")</f>
        <v/>
      </c>
      <c r="AW9" s="7" t="str">
        <f>IF(AND(ISNUMBER($C9),ISNUMBER($D9),AW$1&lt;=$D9,AW$1+6&gt;=$C9),1,"")</f>
        <v/>
      </c>
      <c r="AX9" s="7" t="str">
        <f>IF(AND(ISNUMBER($C9),ISNUMBER($D9),AX$1&lt;=$D9,AX$1+6&gt;=$C9),1,"")</f>
        <v/>
      </c>
      <c r="AY9" s="7" t="str">
        <f>IF(AND(ISNUMBER($C9),ISNUMBER($D9),AY$1&lt;=$D9,AY$1+6&gt;=$C9),1,"")</f>
        <v/>
      </c>
      <c r="AZ9" s="7" t="str">
        <f>IF(AND(ISNUMBER($C9),ISNUMBER($D9),AZ$1&lt;=$D9,AZ$1+6&gt;=$C9),1,"")</f>
        <v/>
      </c>
      <c r="BA9" s="7" t="str">
        <f>IF(AND(ISNUMBER($C9),ISNUMBER($D9),BA$1&lt;=$D9,BA$1+6&gt;=$C9),1,"")</f>
        <v/>
      </c>
      <c r="BB9" s="7" t="str">
        <f>IF(AND(ISNUMBER($C9),ISNUMBER($D9),BB$1&lt;=$D9,BB$1+6&gt;=$C9),1,"")</f>
        <v/>
      </c>
      <c r="BC9" s="7" t="str">
        <f>IF(AND(ISNUMBER($C9),ISNUMBER($D9),BC$1&lt;=$D9,BC$1+6&gt;=$C9),1,"")</f>
        <v/>
      </c>
      <c r="BD9" s="7" t="str">
        <f>IF(AND(ISNUMBER($C9),ISNUMBER($D9),BD$1&lt;=$D9,BD$1+6&gt;=$C9),1,"")</f>
        <v/>
      </c>
      <c r="BE9" s="7" t="str">
        <f>IF(AND(ISNUMBER($C9),ISNUMBER($D9),BE$1&lt;=$D9,BE$1+6&gt;=$C9),1,"")</f>
        <v/>
      </c>
      <c r="BF9" s="7" t="str">
        <f>IF(AND(ISNUMBER($C9),ISNUMBER($D9),BF$1&lt;=$D9,BF$1+6&gt;=$C9),1,"")</f>
        <v/>
      </c>
      <c r="BG9" s="7" t="str">
        <f>IF(AND(ISNUMBER($C9),ISNUMBER($D9),BG$1&lt;=$D9,BG$1+6&gt;=$C9),1,"")</f>
        <v/>
      </c>
      <c r="BH9" s="7" t="str">
        <f>IF(AND(ISNUMBER($C9),ISNUMBER($D9),BH$1&lt;=$D9,BH$1+6&gt;=$C9),1,"")</f>
        <v/>
      </c>
      <c r="BI9" s="7" t="str">
        <f>IF(AND(ISNUMBER($C9),ISNUMBER($D9),BI$1&lt;=$D9,BI$1+6&gt;=$C9),1,"")</f>
        <v/>
      </c>
      <c r="BJ9" s="7" t="str">
        <f>IF(AND(ISNUMBER($C9),ISNUMBER($D9),BJ$1&lt;=$D9,BJ$1+6&gt;=$C9),1,"")</f>
        <v/>
      </c>
      <c r="BK9" s="7" t="str">
        <f>IF(AND(ISNUMBER($C9),ISNUMBER($D9),BK$1&lt;=$D9,BK$1+6&gt;=$C9),1,"")</f>
        <v/>
      </c>
      <c r="BL9" s="7" t="str">
        <f>IF(AND(ISNUMBER($C9),ISNUMBER($D9),BL$1&lt;=$D9,BL$1+6&gt;=$C9),1,"")</f>
        <v/>
      </c>
      <c r="BM9" s="7" t="str">
        <f>IF(AND(ISNUMBER($C9),ISNUMBER($D9),BM$1&lt;=$D9,BM$1+6&gt;=$C9),1,"")</f>
        <v/>
      </c>
      <c r="BN9" s="7" t="str">
        <f>IF(AND(ISNUMBER($C9),ISNUMBER($D9),BN$1&lt;=$D9,BN$1+6&gt;=$C9),1,"")</f>
        <v/>
      </c>
      <c r="BO9" s="7" t="str">
        <f>IF(AND(ISNUMBER($C9),ISNUMBER($D9),BO$1&lt;=$D9,BO$1+6&gt;=$C9),1,"")</f>
        <v/>
      </c>
      <c r="BP9" s="7" t="str">
        <f>IF(AND(ISNUMBER($C9),ISNUMBER($D9),BP$1&lt;=$D9,BP$1+6&gt;=$C9),1,"")</f>
        <v/>
      </c>
      <c r="BQ9" s="7" t="str">
        <f>IF(AND(ISNUMBER($C9),ISNUMBER($D9),BQ$1&lt;=$D9,BQ$1+6&gt;=$C9),1,"")</f>
        <v/>
      </c>
      <c r="BR9" s="7" t="str">
        <f>IF(AND(ISNUMBER($C9),ISNUMBER($D9),BR$1&lt;=$D9,BR$1+6&gt;=$C9),1,"")</f>
        <v/>
      </c>
      <c r="BS9" s="7" t="str">
        <f>IF(AND(ISNUMBER($C9),ISNUMBER($D9),BS$1&lt;=$D9,BS$1+6&gt;=$C9),1,"")</f>
        <v/>
      </c>
      <c r="BT9" s="7" t="str">
        <f>IF(AND(ISNUMBER($C9),ISNUMBER($D9),BT$1&lt;=$D9,BT$1+6&gt;=$C9),1,"")</f>
        <v/>
      </c>
      <c r="BU9" s="7" t="str">
        <f>IF(AND(ISNUMBER($C9),ISNUMBER($D9),BU$1&lt;=$D9,BU$1+6&gt;=$C9),1,"")</f>
        <v/>
      </c>
      <c r="BV9" s="7" t="str">
        <f>IF(AND(ISNUMBER($C9),ISNUMBER($D9),BV$1&lt;=$D9,BV$1+6&gt;=$C9),1,"")</f>
        <v/>
      </c>
      <c r="BW9" s="7" t="str">
        <f>IF(AND(ISNUMBER($C9),ISNUMBER($D9),BW$1&lt;=$D9,BW$1+6&gt;=$C9),1,"")</f>
        <v/>
      </c>
      <c r="BX9" s="7" t="str">
        <f>IF(AND(ISNUMBER($C9),ISNUMBER($D9),BX$1&lt;=$D9,BX$1+6&gt;=$C9),1,"")</f>
        <v/>
      </c>
      <c r="BY9" s="7" t="str">
        <f>IF(AND(ISNUMBER($C9),ISNUMBER($D9),BY$1&lt;=$D9,BY$1+6&gt;=$C9),1,"")</f>
        <v/>
      </c>
      <c r="BZ9" s="7" t="str">
        <f>IF(AND(ISNUMBER($C9),ISNUMBER($D9),BZ$1&lt;=$D9,BZ$1+6&gt;=$C9),1,"")</f>
        <v/>
      </c>
      <c r="CA9" s="7" t="str">
        <f>IF(AND(ISNUMBER($C9),ISNUMBER($D9),CA$1&lt;=$D9,CA$1+6&gt;=$C9),1,"")</f>
        <v/>
      </c>
      <c r="CB9" s="7" t="str">
        <f>IF(AND(ISNUMBER($C9),ISNUMBER($D9),CB$1&lt;=$D9,CB$1+6&gt;=$C9),1,"")</f>
        <v/>
      </c>
      <c r="CC9" s="7" t="str">
        <f>IF(AND(ISNUMBER($C9),ISNUMBER($D9),CC$1&lt;=$D9,CC$1+6&gt;=$C9),1,"")</f>
        <v/>
      </c>
      <c r="CD9" s="7" t="str">
        <f>IF(AND(ISNUMBER($C9),ISNUMBER($D9),CD$1&lt;=$D9,CD$1+6&gt;=$C9),1,"")</f>
        <v/>
      </c>
      <c r="CE9" s="7" t="str">
        <f>IF(AND(ISNUMBER($C9),ISNUMBER($D9),CE$1&lt;=$D9,CE$1+6&gt;=$C9),1,"")</f>
        <v/>
      </c>
      <c r="CF9" s="7" t="str">
        <f>IF(AND(ISNUMBER($C9),ISNUMBER($D9),CF$1&lt;=$D9,CF$1+6&gt;=$C9),1,"")</f>
        <v/>
      </c>
      <c r="CG9" s="7" t="str">
        <f>IF(AND(ISNUMBER($C9),ISNUMBER($D9),CG$1&lt;=$D9,CG$1+6&gt;=$C9),1,"")</f>
        <v/>
      </c>
      <c r="CH9" s="7" t="str">
        <f>IF(AND(ISNUMBER($C9),ISNUMBER($D9),CH$1&lt;=$D9,CH$1+6&gt;=$C9),1,"")</f>
        <v/>
      </c>
      <c r="CI9" s="7" t="str">
        <f>IF(AND(ISNUMBER($C9),ISNUMBER($D9),CI$1&lt;=$D9,CI$1+6&gt;=$C9),1,"")</f>
        <v/>
      </c>
      <c r="CJ9" s="7" t="str">
        <f>IF(AND(ISNUMBER($C9),ISNUMBER($D9),CJ$1&lt;=$D9,CJ$1+6&gt;=$C9),1,"")</f>
        <v/>
      </c>
      <c r="CK9" s="7" t="str">
        <f>IF(AND(ISNUMBER($C9),ISNUMBER($D9),CK$1&lt;=$D9,CK$1+6&gt;=$C9),1,"")</f>
        <v/>
      </c>
      <c r="CL9" s="7" t="str">
        <f>IF(AND(ISNUMBER($C9),ISNUMBER($D9),CL$1&lt;=$D9,CL$1+6&gt;=$C9),1,"")</f>
        <v/>
      </c>
      <c r="CM9" s="7" t="str">
        <f>IF(AND(ISNUMBER($C9),ISNUMBER($D9),CM$1&lt;=$D9,CM$1+6&gt;=$C9),1,"")</f>
        <v/>
      </c>
      <c r="CN9" s="7" t="str">
        <f>IF(AND(ISNUMBER($C9),ISNUMBER($D9),CN$1&lt;=$D9,CN$1+6&gt;=$C9),1,"")</f>
        <v/>
      </c>
      <c r="CO9" s="7" t="str">
        <f>IF(AND(ISNUMBER($C9),ISNUMBER($D9),CO$1&lt;=$D9,CO$1+6&gt;=$C9),1,"")</f>
        <v/>
      </c>
      <c r="CP9" s="7" t="str">
        <f>IF(AND(ISNUMBER($C9),ISNUMBER($D9),CP$1&lt;=$D9,CP$1+6&gt;=$C9),1,"")</f>
        <v/>
      </c>
      <c r="CQ9" s="7" t="str">
        <f>IF(AND(ISNUMBER($C9),ISNUMBER($D9),CQ$1&lt;=$D9,CQ$1+6&gt;=$C9),1,"")</f>
        <v/>
      </c>
      <c r="CR9" s="7" t="str">
        <f>IF(AND(ISNUMBER($C9),ISNUMBER($D9),CR$1&lt;=$D9,CR$1+6&gt;=$C9),1,"")</f>
        <v/>
      </c>
      <c r="CS9" s="7" t="str">
        <f>IF(AND(ISNUMBER($C9),ISNUMBER($D9),CS$1&lt;=$D9,CS$1+6&gt;=$C9),1,"")</f>
        <v/>
      </c>
      <c r="CT9" s="7" t="str">
        <f>IF(AND(ISNUMBER($C9),ISNUMBER($D9),CT$1&lt;=$D9,CT$1+6&gt;=$C9),1,"")</f>
        <v/>
      </c>
      <c r="CU9" s="7" t="str">
        <f>IF(AND(ISNUMBER($C9),ISNUMBER($D9),CU$1&lt;=$D9,CU$1+6&gt;=$C9),1,"")</f>
        <v/>
      </c>
      <c r="CV9" s="7" t="str">
        <f>IF(AND(ISNUMBER($C9),ISNUMBER($D9),CV$1&lt;=$D9,CV$1+6&gt;=$C9),1,"")</f>
        <v/>
      </c>
      <c r="CW9" s="7" t="str">
        <f>IF(AND(ISNUMBER($C9),ISNUMBER($D9),CW$1&lt;=$D9,CW$1+6&gt;=$C9),1,"")</f>
        <v/>
      </c>
      <c r="CX9" s="7" t="str">
        <f>IF(AND(ISNUMBER($C9),ISNUMBER($D9),CX$1&lt;=$D9,CX$1+6&gt;=$C9),1,"")</f>
        <v/>
      </c>
      <c r="CY9" s="7" t="str">
        <f>IF(AND(ISNUMBER($C9),ISNUMBER($D9),CY$1&lt;=$D9,CY$1+6&gt;=$C9),1,"")</f>
        <v/>
      </c>
      <c r="CZ9" s="7" t="str">
        <f>IF(AND(ISNUMBER($C9),ISNUMBER($D9),CZ$1&lt;=$D9,CZ$1+6&gt;=$C9),1,"")</f>
        <v/>
      </c>
      <c r="DA9" s="7" t="str">
        <f>IF(AND(ISNUMBER($C9),ISNUMBER($D9),DA$1&lt;=$D9,DA$1+6&gt;=$C9),1,"")</f>
        <v/>
      </c>
      <c r="DB9" s="7" t="str">
        <f>IF(AND(ISNUMBER($C9),ISNUMBER($D9),DB$1&lt;=$D9,DB$1+6&gt;=$C9),1,"")</f>
        <v/>
      </c>
      <c r="DC9" s="7" t="str">
        <f>IF(AND(ISNUMBER($C9),ISNUMBER($D9),DC$1&lt;=$D9,DC$1+6&gt;=$C9),1,"")</f>
        <v/>
      </c>
      <c r="DD9" s="7" t="str">
        <f>IF(AND(ISNUMBER($C9),ISNUMBER($D9),DD$1&lt;=$D9,DD$1+6&gt;=$C9),1,"")</f>
        <v/>
      </c>
    </row>
    <row r="10" spans="1:108" x14ac:dyDescent="0.35">
      <c r="A10" s="6" t="str">
        <f>Schedule!B10</f>
        <v>Linear algebra and numerical reasoning bridge</v>
      </c>
      <c r="B10" s="6" t="str">
        <f>Schedule!C10</f>
        <v>Core</v>
      </c>
      <c r="C10" s="4">
        <f>IF(Schedule!P10="","",Schedule!P10)</f>
        <v>46497</v>
      </c>
      <c r="D10" s="4">
        <f>IF(Schedule!Q10="","",Schedule!Q10)</f>
        <v>46513</v>
      </c>
      <c r="E10" s="7" t="str">
        <f>IF(AND(ISNUMBER($C10),ISNUMBER($D10),E$1&lt;=$D10,E$1+6&gt;=$C10),1,"")</f>
        <v/>
      </c>
      <c r="F10" s="7" t="str">
        <f>IF(AND(ISNUMBER($C10),ISNUMBER($D10),F$1&lt;=$D10,F$1+6&gt;=$C10),1,"")</f>
        <v/>
      </c>
      <c r="G10" s="7" t="str">
        <f>IF(AND(ISNUMBER($C10),ISNUMBER($D10),G$1&lt;=$D10,G$1+6&gt;=$C10),1,"")</f>
        <v/>
      </c>
      <c r="H10" s="7" t="str">
        <f>IF(AND(ISNUMBER($C10),ISNUMBER($D10),H$1&lt;=$D10,H$1+6&gt;=$C10),1,"")</f>
        <v/>
      </c>
      <c r="I10" s="7" t="str">
        <f>IF(AND(ISNUMBER($C10),ISNUMBER($D10),I$1&lt;=$D10,I$1+6&gt;=$C10),1,"")</f>
        <v/>
      </c>
      <c r="J10" s="7" t="str">
        <f>IF(AND(ISNUMBER($C10),ISNUMBER($D10),J$1&lt;=$D10,J$1+6&gt;=$C10),1,"")</f>
        <v/>
      </c>
      <c r="K10" s="7" t="str">
        <f>IF(AND(ISNUMBER($C10),ISNUMBER($D10),K$1&lt;=$D10,K$1+6&gt;=$C10),1,"")</f>
        <v/>
      </c>
      <c r="L10" s="7" t="str">
        <f>IF(AND(ISNUMBER($C10),ISNUMBER($D10),L$1&lt;=$D10,L$1+6&gt;=$C10),1,"")</f>
        <v/>
      </c>
      <c r="M10" s="7" t="str">
        <f>IF(AND(ISNUMBER($C10),ISNUMBER($D10),M$1&lt;=$D10,M$1+6&gt;=$C10),1,"")</f>
        <v/>
      </c>
      <c r="N10" s="7" t="str">
        <f>IF(AND(ISNUMBER($C10),ISNUMBER($D10),N$1&lt;=$D10,N$1+6&gt;=$C10),1,"")</f>
        <v/>
      </c>
      <c r="O10" s="7" t="str">
        <f>IF(AND(ISNUMBER($C10),ISNUMBER($D10),O$1&lt;=$D10,O$1+6&gt;=$C10),1,"")</f>
        <v/>
      </c>
      <c r="P10" s="7" t="str">
        <f>IF(AND(ISNUMBER($C10),ISNUMBER($D10),P$1&lt;=$D10,P$1+6&gt;=$C10),1,"")</f>
        <v/>
      </c>
      <c r="Q10" s="7" t="str">
        <f>IF(AND(ISNUMBER($C10),ISNUMBER($D10),Q$1&lt;=$D10,Q$1+6&gt;=$C10),1,"")</f>
        <v/>
      </c>
      <c r="R10" s="7" t="str">
        <f>IF(AND(ISNUMBER($C10),ISNUMBER($D10),R$1&lt;=$D10,R$1+6&gt;=$C10),1,"")</f>
        <v/>
      </c>
      <c r="S10" s="7" t="str">
        <f>IF(AND(ISNUMBER($C10),ISNUMBER($D10),S$1&lt;=$D10,S$1+6&gt;=$C10),1,"")</f>
        <v/>
      </c>
      <c r="T10" s="7" t="str">
        <f>IF(AND(ISNUMBER($C10),ISNUMBER($D10),T$1&lt;=$D10,T$1+6&gt;=$C10),1,"")</f>
        <v/>
      </c>
      <c r="U10" s="7" t="str">
        <f>IF(AND(ISNUMBER($C10),ISNUMBER($D10),U$1&lt;=$D10,U$1+6&gt;=$C10),1,"")</f>
        <v/>
      </c>
      <c r="V10" s="7" t="str">
        <f>IF(AND(ISNUMBER($C10),ISNUMBER($D10),V$1&lt;=$D10,V$1+6&gt;=$C10),1,"")</f>
        <v/>
      </c>
      <c r="W10" s="7" t="str">
        <f>IF(AND(ISNUMBER($C10),ISNUMBER($D10),W$1&lt;=$D10,W$1+6&gt;=$C10),1,"")</f>
        <v/>
      </c>
      <c r="X10" s="7" t="str">
        <f>IF(AND(ISNUMBER($C10),ISNUMBER($D10),X$1&lt;=$D10,X$1+6&gt;=$C10),1,"")</f>
        <v/>
      </c>
      <c r="Y10" s="7" t="str">
        <f>IF(AND(ISNUMBER($C10),ISNUMBER($D10),Y$1&lt;=$D10,Y$1+6&gt;=$C10),1,"")</f>
        <v/>
      </c>
      <c r="Z10" s="7" t="str">
        <f>IF(AND(ISNUMBER($C10),ISNUMBER($D10),Z$1&lt;=$D10,Z$1+6&gt;=$C10),1,"")</f>
        <v/>
      </c>
      <c r="AA10" s="7" t="str">
        <f>IF(AND(ISNUMBER($C10),ISNUMBER($D10),AA$1&lt;=$D10,AA$1+6&gt;=$C10),1,"")</f>
        <v/>
      </c>
      <c r="AB10" s="7" t="str">
        <f>IF(AND(ISNUMBER($C10),ISNUMBER($D10),AB$1&lt;=$D10,AB$1+6&gt;=$C10),1,"")</f>
        <v/>
      </c>
      <c r="AC10" s="7" t="str">
        <f>IF(AND(ISNUMBER($C10),ISNUMBER($D10),AC$1&lt;=$D10,AC$1+6&gt;=$C10),1,"")</f>
        <v/>
      </c>
      <c r="AD10" s="7">
        <f>IF(AND(ISNUMBER($C10),ISNUMBER($D10),AD$1&lt;=$D10,AD$1+6&gt;=$C10),1,"")</f>
        <v>1</v>
      </c>
      <c r="AE10" s="7">
        <f>IF(AND(ISNUMBER($C10),ISNUMBER($D10),AE$1&lt;=$D10,AE$1+6&gt;=$C10),1,"")</f>
        <v>1</v>
      </c>
      <c r="AF10" s="7">
        <f>IF(AND(ISNUMBER($C10),ISNUMBER($D10),AF$1&lt;=$D10,AF$1+6&gt;=$C10),1,"")</f>
        <v>1</v>
      </c>
      <c r="AG10" s="7" t="str">
        <f>IF(AND(ISNUMBER($C10),ISNUMBER($D10),AG$1&lt;=$D10,AG$1+6&gt;=$C10),1,"")</f>
        <v/>
      </c>
      <c r="AH10" s="7" t="str">
        <f>IF(AND(ISNUMBER($C10),ISNUMBER($D10),AH$1&lt;=$D10,AH$1+6&gt;=$C10),1,"")</f>
        <v/>
      </c>
      <c r="AI10" s="7" t="str">
        <f>IF(AND(ISNUMBER($C10),ISNUMBER($D10),AI$1&lt;=$D10,AI$1+6&gt;=$C10),1,"")</f>
        <v/>
      </c>
      <c r="AJ10" s="7" t="str">
        <f>IF(AND(ISNUMBER($C10),ISNUMBER($D10),AJ$1&lt;=$D10,AJ$1+6&gt;=$C10),1,"")</f>
        <v/>
      </c>
      <c r="AK10" s="7" t="str">
        <f>IF(AND(ISNUMBER($C10),ISNUMBER($D10),AK$1&lt;=$D10,AK$1+6&gt;=$C10),1,"")</f>
        <v/>
      </c>
      <c r="AL10" s="7" t="str">
        <f>IF(AND(ISNUMBER($C10),ISNUMBER($D10),AL$1&lt;=$D10,AL$1+6&gt;=$C10),1,"")</f>
        <v/>
      </c>
      <c r="AM10" s="7" t="str">
        <f>IF(AND(ISNUMBER($C10),ISNUMBER($D10),AM$1&lt;=$D10,AM$1+6&gt;=$C10),1,"")</f>
        <v/>
      </c>
      <c r="AN10" s="7" t="str">
        <f>IF(AND(ISNUMBER($C10),ISNUMBER($D10),AN$1&lt;=$D10,AN$1+6&gt;=$C10),1,"")</f>
        <v/>
      </c>
      <c r="AO10" s="7" t="str">
        <f>IF(AND(ISNUMBER($C10),ISNUMBER($D10),AO$1&lt;=$D10,AO$1+6&gt;=$C10),1,"")</f>
        <v/>
      </c>
      <c r="AP10" s="7" t="str">
        <f>IF(AND(ISNUMBER($C10),ISNUMBER($D10),AP$1&lt;=$D10,AP$1+6&gt;=$C10),1,"")</f>
        <v/>
      </c>
      <c r="AQ10" s="7" t="str">
        <f>IF(AND(ISNUMBER($C10),ISNUMBER($D10),AQ$1&lt;=$D10,AQ$1+6&gt;=$C10),1,"")</f>
        <v/>
      </c>
      <c r="AR10" s="7" t="str">
        <f>IF(AND(ISNUMBER($C10),ISNUMBER($D10),AR$1&lt;=$D10,AR$1+6&gt;=$C10),1,"")</f>
        <v/>
      </c>
      <c r="AS10" s="7" t="str">
        <f>IF(AND(ISNUMBER($C10),ISNUMBER($D10),AS$1&lt;=$D10,AS$1+6&gt;=$C10),1,"")</f>
        <v/>
      </c>
      <c r="AT10" s="7" t="str">
        <f>IF(AND(ISNUMBER($C10),ISNUMBER($D10),AT$1&lt;=$D10,AT$1+6&gt;=$C10),1,"")</f>
        <v/>
      </c>
      <c r="AU10" s="7" t="str">
        <f>IF(AND(ISNUMBER($C10),ISNUMBER($D10),AU$1&lt;=$D10,AU$1+6&gt;=$C10),1,"")</f>
        <v/>
      </c>
      <c r="AV10" s="7" t="str">
        <f>IF(AND(ISNUMBER($C10),ISNUMBER($D10),AV$1&lt;=$D10,AV$1+6&gt;=$C10),1,"")</f>
        <v/>
      </c>
      <c r="AW10" s="7" t="str">
        <f>IF(AND(ISNUMBER($C10),ISNUMBER($D10),AW$1&lt;=$D10,AW$1+6&gt;=$C10),1,"")</f>
        <v/>
      </c>
      <c r="AX10" s="7" t="str">
        <f>IF(AND(ISNUMBER($C10),ISNUMBER($D10),AX$1&lt;=$D10,AX$1+6&gt;=$C10),1,"")</f>
        <v/>
      </c>
      <c r="AY10" s="7" t="str">
        <f>IF(AND(ISNUMBER($C10),ISNUMBER($D10),AY$1&lt;=$D10,AY$1+6&gt;=$C10),1,"")</f>
        <v/>
      </c>
      <c r="AZ10" s="7" t="str">
        <f>IF(AND(ISNUMBER($C10),ISNUMBER($D10),AZ$1&lt;=$D10,AZ$1+6&gt;=$C10),1,"")</f>
        <v/>
      </c>
      <c r="BA10" s="7" t="str">
        <f>IF(AND(ISNUMBER($C10),ISNUMBER($D10),BA$1&lt;=$D10,BA$1+6&gt;=$C10),1,"")</f>
        <v/>
      </c>
      <c r="BB10" s="7" t="str">
        <f>IF(AND(ISNUMBER($C10),ISNUMBER($D10),BB$1&lt;=$D10,BB$1+6&gt;=$C10),1,"")</f>
        <v/>
      </c>
      <c r="BC10" s="7" t="str">
        <f>IF(AND(ISNUMBER($C10),ISNUMBER($D10),BC$1&lt;=$D10,BC$1+6&gt;=$C10),1,"")</f>
        <v/>
      </c>
      <c r="BD10" s="7" t="str">
        <f>IF(AND(ISNUMBER($C10),ISNUMBER($D10),BD$1&lt;=$D10,BD$1+6&gt;=$C10),1,"")</f>
        <v/>
      </c>
      <c r="BE10" s="7" t="str">
        <f>IF(AND(ISNUMBER($C10),ISNUMBER($D10),BE$1&lt;=$D10,BE$1+6&gt;=$C10),1,"")</f>
        <v/>
      </c>
      <c r="BF10" s="7" t="str">
        <f>IF(AND(ISNUMBER($C10),ISNUMBER($D10),BF$1&lt;=$D10,BF$1+6&gt;=$C10),1,"")</f>
        <v/>
      </c>
      <c r="BG10" s="7" t="str">
        <f>IF(AND(ISNUMBER($C10),ISNUMBER($D10),BG$1&lt;=$D10,BG$1+6&gt;=$C10),1,"")</f>
        <v/>
      </c>
      <c r="BH10" s="7" t="str">
        <f>IF(AND(ISNUMBER($C10),ISNUMBER($D10),BH$1&lt;=$D10,BH$1+6&gt;=$C10),1,"")</f>
        <v/>
      </c>
      <c r="BI10" s="7" t="str">
        <f>IF(AND(ISNUMBER($C10),ISNUMBER($D10),BI$1&lt;=$D10,BI$1+6&gt;=$C10),1,"")</f>
        <v/>
      </c>
      <c r="BJ10" s="7" t="str">
        <f>IF(AND(ISNUMBER($C10),ISNUMBER($D10),BJ$1&lt;=$D10,BJ$1+6&gt;=$C10),1,"")</f>
        <v/>
      </c>
      <c r="BK10" s="7" t="str">
        <f>IF(AND(ISNUMBER($C10),ISNUMBER($D10),BK$1&lt;=$D10,BK$1+6&gt;=$C10),1,"")</f>
        <v/>
      </c>
      <c r="BL10" s="7" t="str">
        <f>IF(AND(ISNUMBER($C10),ISNUMBER($D10),BL$1&lt;=$D10,BL$1+6&gt;=$C10),1,"")</f>
        <v/>
      </c>
      <c r="BM10" s="7" t="str">
        <f>IF(AND(ISNUMBER($C10),ISNUMBER($D10),BM$1&lt;=$D10,BM$1+6&gt;=$C10),1,"")</f>
        <v/>
      </c>
      <c r="BN10" s="7" t="str">
        <f>IF(AND(ISNUMBER($C10),ISNUMBER($D10),BN$1&lt;=$D10,BN$1+6&gt;=$C10),1,"")</f>
        <v/>
      </c>
      <c r="BO10" s="7" t="str">
        <f>IF(AND(ISNUMBER($C10),ISNUMBER($D10),BO$1&lt;=$D10,BO$1+6&gt;=$C10),1,"")</f>
        <v/>
      </c>
      <c r="BP10" s="7" t="str">
        <f>IF(AND(ISNUMBER($C10),ISNUMBER($D10),BP$1&lt;=$D10,BP$1+6&gt;=$C10),1,"")</f>
        <v/>
      </c>
      <c r="BQ10" s="7" t="str">
        <f>IF(AND(ISNUMBER($C10),ISNUMBER($D10),BQ$1&lt;=$D10,BQ$1+6&gt;=$C10),1,"")</f>
        <v/>
      </c>
      <c r="BR10" s="7" t="str">
        <f>IF(AND(ISNUMBER($C10),ISNUMBER($D10),BR$1&lt;=$D10,BR$1+6&gt;=$C10),1,"")</f>
        <v/>
      </c>
      <c r="BS10" s="7" t="str">
        <f>IF(AND(ISNUMBER($C10),ISNUMBER($D10),BS$1&lt;=$D10,BS$1+6&gt;=$C10),1,"")</f>
        <v/>
      </c>
      <c r="BT10" s="7" t="str">
        <f>IF(AND(ISNUMBER($C10),ISNUMBER($D10),BT$1&lt;=$D10,BT$1+6&gt;=$C10),1,"")</f>
        <v/>
      </c>
      <c r="BU10" s="7" t="str">
        <f>IF(AND(ISNUMBER($C10),ISNUMBER($D10),BU$1&lt;=$D10,BU$1+6&gt;=$C10),1,"")</f>
        <v/>
      </c>
      <c r="BV10" s="7" t="str">
        <f>IF(AND(ISNUMBER($C10),ISNUMBER($D10),BV$1&lt;=$D10,BV$1+6&gt;=$C10),1,"")</f>
        <v/>
      </c>
      <c r="BW10" s="7" t="str">
        <f>IF(AND(ISNUMBER($C10),ISNUMBER($D10),BW$1&lt;=$D10,BW$1+6&gt;=$C10),1,"")</f>
        <v/>
      </c>
      <c r="BX10" s="7" t="str">
        <f>IF(AND(ISNUMBER($C10),ISNUMBER($D10),BX$1&lt;=$D10,BX$1+6&gt;=$C10),1,"")</f>
        <v/>
      </c>
      <c r="BY10" s="7" t="str">
        <f>IF(AND(ISNUMBER($C10),ISNUMBER($D10),BY$1&lt;=$D10,BY$1+6&gt;=$C10),1,"")</f>
        <v/>
      </c>
      <c r="BZ10" s="7" t="str">
        <f>IF(AND(ISNUMBER($C10),ISNUMBER($D10),BZ$1&lt;=$D10,BZ$1+6&gt;=$C10),1,"")</f>
        <v/>
      </c>
      <c r="CA10" s="7" t="str">
        <f>IF(AND(ISNUMBER($C10),ISNUMBER($D10),CA$1&lt;=$D10,CA$1+6&gt;=$C10),1,"")</f>
        <v/>
      </c>
      <c r="CB10" s="7" t="str">
        <f>IF(AND(ISNUMBER($C10),ISNUMBER($D10),CB$1&lt;=$D10,CB$1+6&gt;=$C10),1,"")</f>
        <v/>
      </c>
      <c r="CC10" s="7" t="str">
        <f>IF(AND(ISNUMBER($C10),ISNUMBER($D10),CC$1&lt;=$D10,CC$1+6&gt;=$C10),1,"")</f>
        <v/>
      </c>
      <c r="CD10" s="7" t="str">
        <f>IF(AND(ISNUMBER($C10),ISNUMBER($D10),CD$1&lt;=$D10,CD$1+6&gt;=$C10),1,"")</f>
        <v/>
      </c>
      <c r="CE10" s="7" t="str">
        <f>IF(AND(ISNUMBER($C10),ISNUMBER($D10),CE$1&lt;=$D10,CE$1+6&gt;=$C10),1,"")</f>
        <v/>
      </c>
      <c r="CF10" s="7" t="str">
        <f>IF(AND(ISNUMBER($C10),ISNUMBER($D10),CF$1&lt;=$D10,CF$1+6&gt;=$C10),1,"")</f>
        <v/>
      </c>
      <c r="CG10" s="7" t="str">
        <f>IF(AND(ISNUMBER($C10),ISNUMBER($D10),CG$1&lt;=$D10,CG$1+6&gt;=$C10),1,"")</f>
        <v/>
      </c>
      <c r="CH10" s="7" t="str">
        <f>IF(AND(ISNUMBER($C10),ISNUMBER($D10),CH$1&lt;=$D10,CH$1+6&gt;=$C10),1,"")</f>
        <v/>
      </c>
      <c r="CI10" s="7" t="str">
        <f>IF(AND(ISNUMBER($C10),ISNUMBER($D10),CI$1&lt;=$D10,CI$1+6&gt;=$C10),1,"")</f>
        <v/>
      </c>
      <c r="CJ10" s="7" t="str">
        <f>IF(AND(ISNUMBER($C10),ISNUMBER($D10),CJ$1&lt;=$D10,CJ$1+6&gt;=$C10),1,"")</f>
        <v/>
      </c>
      <c r="CK10" s="7" t="str">
        <f>IF(AND(ISNUMBER($C10),ISNUMBER($D10),CK$1&lt;=$D10,CK$1+6&gt;=$C10),1,"")</f>
        <v/>
      </c>
      <c r="CL10" s="7" t="str">
        <f>IF(AND(ISNUMBER($C10),ISNUMBER($D10),CL$1&lt;=$D10,CL$1+6&gt;=$C10),1,"")</f>
        <v/>
      </c>
      <c r="CM10" s="7" t="str">
        <f>IF(AND(ISNUMBER($C10),ISNUMBER($D10),CM$1&lt;=$D10,CM$1+6&gt;=$C10),1,"")</f>
        <v/>
      </c>
      <c r="CN10" s="7" t="str">
        <f>IF(AND(ISNUMBER($C10),ISNUMBER($D10),CN$1&lt;=$D10,CN$1+6&gt;=$C10),1,"")</f>
        <v/>
      </c>
      <c r="CO10" s="7" t="str">
        <f>IF(AND(ISNUMBER($C10),ISNUMBER($D10),CO$1&lt;=$D10,CO$1+6&gt;=$C10),1,"")</f>
        <v/>
      </c>
      <c r="CP10" s="7" t="str">
        <f>IF(AND(ISNUMBER($C10),ISNUMBER($D10),CP$1&lt;=$D10,CP$1+6&gt;=$C10),1,"")</f>
        <v/>
      </c>
      <c r="CQ10" s="7" t="str">
        <f>IF(AND(ISNUMBER($C10),ISNUMBER($D10),CQ$1&lt;=$D10,CQ$1+6&gt;=$C10),1,"")</f>
        <v/>
      </c>
      <c r="CR10" s="7" t="str">
        <f>IF(AND(ISNUMBER($C10),ISNUMBER($D10),CR$1&lt;=$D10,CR$1+6&gt;=$C10),1,"")</f>
        <v/>
      </c>
      <c r="CS10" s="7" t="str">
        <f>IF(AND(ISNUMBER($C10),ISNUMBER($D10),CS$1&lt;=$D10,CS$1+6&gt;=$C10),1,"")</f>
        <v/>
      </c>
      <c r="CT10" s="7" t="str">
        <f>IF(AND(ISNUMBER($C10),ISNUMBER($D10),CT$1&lt;=$D10,CT$1+6&gt;=$C10),1,"")</f>
        <v/>
      </c>
      <c r="CU10" s="7" t="str">
        <f>IF(AND(ISNUMBER($C10),ISNUMBER($D10),CU$1&lt;=$D10,CU$1+6&gt;=$C10),1,"")</f>
        <v/>
      </c>
      <c r="CV10" s="7" t="str">
        <f>IF(AND(ISNUMBER($C10),ISNUMBER($D10),CV$1&lt;=$D10,CV$1+6&gt;=$C10),1,"")</f>
        <v/>
      </c>
      <c r="CW10" s="7" t="str">
        <f>IF(AND(ISNUMBER($C10),ISNUMBER($D10),CW$1&lt;=$D10,CW$1+6&gt;=$C10),1,"")</f>
        <v/>
      </c>
      <c r="CX10" s="7" t="str">
        <f>IF(AND(ISNUMBER($C10),ISNUMBER($D10),CX$1&lt;=$D10,CX$1+6&gt;=$C10),1,"")</f>
        <v/>
      </c>
      <c r="CY10" s="7" t="str">
        <f>IF(AND(ISNUMBER($C10),ISNUMBER($D10),CY$1&lt;=$D10,CY$1+6&gt;=$C10),1,"")</f>
        <v/>
      </c>
      <c r="CZ10" s="7" t="str">
        <f>IF(AND(ISNUMBER($C10),ISNUMBER($D10),CZ$1&lt;=$D10,CZ$1+6&gt;=$C10),1,"")</f>
        <v/>
      </c>
      <c r="DA10" s="7" t="str">
        <f>IF(AND(ISNUMBER($C10),ISNUMBER($D10),DA$1&lt;=$D10,DA$1+6&gt;=$C10),1,"")</f>
        <v/>
      </c>
      <c r="DB10" s="7" t="str">
        <f>IF(AND(ISNUMBER($C10),ISNUMBER($D10),DB$1&lt;=$D10,DB$1+6&gt;=$C10),1,"")</f>
        <v/>
      </c>
      <c r="DC10" s="7" t="str">
        <f>IF(AND(ISNUMBER($C10),ISNUMBER($D10),DC$1&lt;=$D10,DC$1+6&gt;=$C10),1,"")</f>
        <v/>
      </c>
      <c r="DD10" s="7" t="str">
        <f>IF(AND(ISNUMBER($C10),ISNUMBER($D10),DD$1&lt;=$D10,DD$1+6&gt;=$C10),1,"")</f>
        <v/>
      </c>
    </row>
    <row r="11" spans="1:108" x14ac:dyDescent="0.35">
      <c r="A11" s="6" t="str">
        <f>Schedule!B11</f>
        <v>Probability statistics and uncertainty bridge</v>
      </c>
      <c r="B11" s="6" t="str">
        <f>Schedule!C11</f>
        <v>Core</v>
      </c>
      <c r="C11" s="4">
        <f>IF(Schedule!P11="","",Schedule!P11)</f>
        <v>46513</v>
      </c>
      <c r="D11" s="4">
        <f>IF(Schedule!Q11="","",Schedule!Q11)</f>
        <v>46532</v>
      </c>
      <c r="E11" s="7" t="str">
        <f>IF(AND(ISNUMBER($C11),ISNUMBER($D11),E$1&lt;=$D11,E$1+6&gt;=$C11),1,"")</f>
        <v/>
      </c>
      <c r="F11" s="7" t="str">
        <f>IF(AND(ISNUMBER($C11),ISNUMBER($D11),F$1&lt;=$D11,F$1+6&gt;=$C11),1,"")</f>
        <v/>
      </c>
      <c r="G11" s="7" t="str">
        <f>IF(AND(ISNUMBER($C11),ISNUMBER($D11),G$1&lt;=$D11,G$1+6&gt;=$C11),1,"")</f>
        <v/>
      </c>
      <c r="H11" s="7" t="str">
        <f>IF(AND(ISNUMBER($C11),ISNUMBER($D11),H$1&lt;=$D11,H$1+6&gt;=$C11),1,"")</f>
        <v/>
      </c>
      <c r="I11" s="7" t="str">
        <f>IF(AND(ISNUMBER($C11),ISNUMBER($D11),I$1&lt;=$D11,I$1+6&gt;=$C11),1,"")</f>
        <v/>
      </c>
      <c r="J11" s="7" t="str">
        <f>IF(AND(ISNUMBER($C11),ISNUMBER($D11),J$1&lt;=$D11,J$1+6&gt;=$C11),1,"")</f>
        <v/>
      </c>
      <c r="K11" s="7" t="str">
        <f>IF(AND(ISNUMBER($C11),ISNUMBER($D11),K$1&lt;=$D11,K$1+6&gt;=$C11),1,"")</f>
        <v/>
      </c>
      <c r="L11" s="7" t="str">
        <f>IF(AND(ISNUMBER($C11),ISNUMBER($D11),L$1&lt;=$D11,L$1+6&gt;=$C11),1,"")</f>
        <v/>
      </c>
      <c r="M11" s="7" t="str">
        <f>IF(AND(ISNUMBER($C11),ISNUMBER($D11),M$1&lt;=$D11,M$1+6&gt;=$C11),1,"")</f>
        <v/>
      </c>
      <c r="N11" s="7" t="str">
        <f>IF(AND(ISNUMBER($C11),ISNUMBER($D11),N$1&lt;=$D11,N$1+6&gt;=$C11),1,"")</f>
        <v/>
      </c>
      <c r="O11" s="7" t="str">
        <f>IF(AND(ISNUMBER($C11),ISNUMBER($D11),O$1&lt;=$D11,O$1+6&gt;=$C11),1,"")</f>
        <v/>
      </c>
      <c r="P11" s="7" t="str">
        <f>IF(AND(ISNUMBER($C11),ISNUMBER($D11),P$1&lt;=$D11,P$1+6&gt;=$C11),1,"")</f>
        <v/>
      </c>
      <c r="Q11" s="7" t="str">
        <f>IF(AND(ISNUMBER($C11),ISNUMBER($D11),Q$1&lt;=$D11,Q$1+6&gt;=$C11),1,"")</f>
        <v/>
      </c>
      <c r="R11" s="7" t="str">
        <f>IF(AND(ISNUMBER($C11),ISNUMBER($D11),R$1&lt;=$D11,R$1+6&gt;=$C11),1,"")</f>
        <v/>
      </c>
      <c r="S11" s="7" t="str">
        <f>IF(AND(ISNUMBER($C11),ISNUMBER($D11),S$1&lt;=$D11,S$1+6&gt;=$C11),1,"")</f>
        <v/>
      </c>
      <c r="T11" s="7" t="str">
        <f>IF(AND(ISNUMBER($C11),ISNUMBER($D11),T$1&lt;=$D11,T$1+6&gt;=$C11),1,"")</f>
        <v/>
      </c>
      <c r="U11" s="7" t="str">
        <f>IF(AND(ISNUMBER($C11),ISNUMBER($D11),U$1&lt;=$D11,U$1+6&gt;=$C11),1,"")</f>
        <v/>
      </c>
      <c r="V11" s="7" t="str">
        <f>IF(AND(ISNUMBER($C11),ISNUMBER($D11),V$1&lt;=$D11,V$1+6&gt;=$C11),1,"")</f>
        <v/>
      </c>
      <c r="W11" s="7" t="str">
        <f>IF(AND(ISNUMBER($C11),ISNUMBER($D11),W$1&lt;=$D11,W$1+6&gt;=$C11),1,"")</f>
        <v/>
      </c>
      <c r="X11" s="7" t="str">
        <f>IF(AND(ISNUMBER($C11),ISNUMBER($D11),X$1&lt;=$D11,X$1+6&gt;=$C11),1,"")</f>
        <v/>
      </c>
      <c r="Y11" s="7" t="str">
        <f>IF(AND(ISNUMBER($C11),ISNUMBER($D11),Y$1&lt;=$D11,Y$1+6&gt;=$C11),1,"")</f>
        <v/>
      </c>
      <c r="Z11" s="7" t="str">
        <f>IF(AND(ISNUMBER($C11),ISNUMBER($D11),Z$1&lt;=$D11,Z$1+6&gt;=$C11),1,"")</f>
        <v/>
      </c>
      <c r="AA11" s="7" t="str">
        <f>IF(AND(ISNUMBER($C11),ISNUMBER($D11),AA$1&lt;=$D11,AA$1+6&gt;=$C11),1,"")</f>
        <v/>
      </c>
      <c r="AB11" s="7" t="str">
        <f>IF(AND(ISNUMBER($C11),ISNUMBER($D11),AB$1&lt;=$D11,AB$1+6&gt;=$C11),1,"")</f>
        <v/>
      </c>
      <c r="AC11" s="7" t="str">
        <f>IF(AND(ISNUMBER($C11),ISNUMBER($D11),AC$1&lt;=$D11,AC$1+6&gt;=$C11),1,"")</f>
        <v/>
      </c>
      <c r="AD11" s="7" t="str">
        <f>IF(AND(ISNUMBER($C11),ISNUMBER($D11),AD$1&lt;=$D11,AD$1+6&gt;=$C11),1,"")</f>
        <v/>
      </c>
      <c r="AE11" s="7" t="str">
        <f>IF(AND(ISNUMBER($C11),ISNUMBER($D11),AE$1&lt;=$D11,AE$1+6&gt;=$C11),1,"")</f>
        <v/>
      </c>
      <c r="AF11" s="7">
        <f>IF(AND(ISNUMBER($C11),ISNUMBER($D11),AF$1&lt;=$D11,AF$1+6&gt;=$C11),1,"")</f>
        <v>1</v>
      </c>
      <c r="AG11" s="7">
        <f>IF(AND(ISNUMBER($C11),ISNUMBER($D11),AG$1&lt;=$D11,AG$1+6&gt;=$C11),1,"")</f>
        <v>1</v>
      </c>
      <c r="AH11" s="7">
        <f>IF(AND(ISNUMBER($C11),ISNUMBER($D11),AH$1&lt;=$D11,AH$1+6&gt;=$C11),1,"")</f>
        <v>1</v>
      </c>
      <c r="AI11" s="7">
        <f>IF(AND(ISNUMBER($C11),ISNUMBER($D11),AI$1&lt;=$D11,AI$1+6&gt;=$C11),1,"")</f>
        <v>1</v>
      </c>
      <c r="AJ11" s="7" t="str">
        <f>IF(AND(ISNUMBER($C11),ISNUMBER($D11),AJ$1&lt;=$D11,AJ$1+6&gt;=$C11),1,"")</f>
        <v/>
      </c>
      <c r="AK11" s="7" t="str">
        <f>IF(AND(ISNUMBER($C11),ISNUMBER($D11),AK$1&lt;=$D11,AK$1+6&gt;=$C11),1,"")</f>
        <v/>
      </c>
      <c r="AL11" s="7" t="str">
        <f>IF(AND(ISNUMBER($C11),ISNUMBER($D11),AL$1&lt;=$D11,AL$1+6&gt;=$C11),1,"")</f>
        <v/>
      </c>
      <c r="AM11" s="7" t="str">
        <f>IF(AND(ISNUMBER($C11),ISNUMBER($D11),AM$1&lt;=$D11,AM$1+6&gt;=$C11),1,"")</f>
        <v/>
      </c>
      <c r="AN11" s="7" t="str">
        <f>IF(AND(ISNUMBER($C11),ISNUMBER($D11),AN$1&lt;=$D11,AN$1+6&gt;=$C11),1,"")</f>
        <v/>
      </c>
      <c r="AO11" s="7" t="str">
        <f>IF(AND(ISNUMBER($C11),ISNUMBER($D11),AO$1&lt;=$D11,AO$1+6&gt;=$C11),1,"")</f>
        <v/>
      </c>
      <c r="AP11" s="7" t="str">
        <f>IF(AND(ISNUMBER($C11),ISNUMBER($D11),AP$1&lt;=$D11,AP$1+6&gt;=$C11),1,"")</f>
        <v/>
      </c>
      <c r="AQ11" s="7" t="str">
        <f>IF(AND(ISNUMBER($C11),ISNUMBER($D11),AQ$1&lt;=$D11,AQ$1+6&gt;=$C11),1,"")</f>
        <v/>
      </c>
      <c r="AR11" s="7" t="str">
        <f>IF(AND(ISNUMBER($C11),ISNUMBER($D11),AR$1&lt;=$D11,AR$1+6&gt;=$C11),1,"")</f>
        <v/>
      </c>
      <c r="AS11" s="7" t="str">
        <f>IF(AND(ISNUMBER($C11),ISNUMBER($D11),AS$1&lt;=$D11,AS$1+6&gt;=$C11),1,"")</f>
        <v/>
      </c>
      <c r="AT11" s="7" t="str">
        <f>IF(AND(ISNUMBER($C11),ISNUMBER($D11),AT$1&lt;=$D11,AT$1+6&gt;=$C11),1,"")</f>
        <v/>
      </c>
      <c r="AU11" s="7" t="str">
        <f>IF(AND(ISNUMBER($C11),ISNUMBER($D11),AU$1&lt;=$D11,AU$1+6&gt;=$C11),1,"")</f>
        <v/>
      </c>
      <c r="AV11" s="7" t="str">
        <f>IF(AND(ISNUMBER($C11),ISNUMBER($D11),AV$1&lt;=$D11,AV$1+6&gt;=$C11),1,"")</f>
        <v/>
      </c>
      <c r="AW11" s="7" t="str">
        <f>IF(AND(ISNUMBER($C11),ISNUMBER($D11),AW$1&lt;=$D11,AW$1+6&gt;=$C11),1,"")</f>
        <v/>
      </c>
      <c r="AX11" s="7" t="str">
        <f>IF(AND(ISNUMBER($C11),ISNUMBER($D11),AX$1&lt;=$D11,AX$1+6&gt;=$C11),1,"")</f>
        <v/>
      </c>
      <c r="AY11" s="7" t="str">
        <f>IF(AND(ISNUMBER($C11),ISNUMBER($D11),AY$1&lt;=$D11,AY$1+6&gt;=$C11),1,"")</f>
        <v/>
      </c>
      <c r="AZ11" s="7" t="str">
        <f>IF(AND(ISNUMBER($C11),ISNUMBER($D11),AZ$1&lt;=$D11,AZ$1+6&gt;=$C11),1,"")</f>
        <v/>
      </c>
      <c r="BA11" s="7" t="str">
        <f>IF(AND(ISNUMBER($C11),ISNUMBER($D11),BA$1&lt;=$D11,BA$1+6&gt;=$C11),1,"")</f>
        <v/>
      </c>
      <c r="BB11" s="7" t="str">
        <f>IF(AND(ISNUMBER($C11),ISNUMBER($D11),BB$1&lt;=$D11,BB$1+6&gt;=$C11),1,"")</f>
        <v/>
      </c>
      <c r="BC11" s="7" t="str">
        <f>IF(AND(ISNUMBER($C11),ISNUMBER($D11),BC$1&lt;=$D11,BC$1+6&gt;=$C11),1,"")</f>
        <v/>
      </c>
      <c r="BD11" s="7" t="str">
        <f>IF(AND(ISNUMBER($C11),ISNUMBER($D11),BD$1&lt;=$D11,BD$1+6&gt;=$C11),1,"")</f>
        <v/>
      </c>
      <c r="BE11" s="7" t="str">
        <f>IF(AND(ISNUMBER($C11),ISNUMBER($D11),BE$1&lt;=$D11,BE$1+6&gt;=$C11),1,"")</f>
        <v/>
      </c>
      <c r="BF11" s="7" t="str">
        <f>IF(AND(ISNUMBER($C11),ISNUMBER($D11),BF$1&lt;=$D11,BF$1+6&gt;=$C11),1,"")</f>
        <v/>
      </c>
      <c r="BG11" s="7" t="str">
        <f>IF(AND(ISNUMBER($C11),ISNUMBER($D11),BG$1&lt;=$D11,BG$1+6&gt;=$C11),1,"")</f>
        <v/>
      </c>
      <c r="BH11" s="7" t="str">
        <f>IF(AND(ISNUMBER($C11),ISNUMBER($D11),BH$1&lt;=$D11,BH$1+6&gt;=$C11),1,"")</f>
        <v/>
      </c>
      <c r="BI11" s="7" t="str">
        <f>IF(AND(ISNUMBER($C11),ISNUMBER($D11),BI$1&lt;=$D11,BI$1+6&gt;=$C11),1,"")</f>
        <v/>
      </c>
      <c r="BJ11" s="7" t="str">
        <f>IF(AND(ISNUMBER($C11),ISNUMBER($D11),BJ$1&lt;=$D11,BJ$1+6&gt;=$C11),1,"")</f>
        <v/>
      </c>
      <c r="BK11" s="7" t="str">
        <f>IF(AND(ISNUMBER($C11),ISNUMBER($D11),BK$1&lt;=$D11,BK$1+6&gt;=$C11),1,"")</f>
        <v/>
      </c>
      <c r="BL11" s="7" t="str">
        <f>IF(AND(ISNUMBER($C11),ISNUMBER($D11),BL$1&lt;=$D11,BL$1+6&gt;=$C11),1,"")</f>
        <v/>
      </c>
      <c r="BM11" s="7" t="str">
        <f>IF(AND(ISNUMBER($C11),ISNUMBER($D11),BM$1&lt;=$D11,BM$1+6&gt;=$C11),1,"")</f>
        <v/>
      </c>
      <c r="BN11" s="7" t="str">
        <f>IF(AND(ISNUMBER($C11),ISNUMBER($D11),BN$1&lt;=$D11,BN$1+6&gt;=$C11),1,"")</f>
        <v/>
      </c>
      <c r="BO11" s="7" t="str">
        <f>IF(AND(ISNUMBER($C11),ISNUMBER($D11),BO$1&lt;=$D11,BO$1+6&gt;=$C11),1,"")</f>
        <v/>
      </c>
      <c r="BP11" s="7" t="str">
        <f>IF(AND(ISNUMBER($C11),ISNUMBER($D11),BP$1&lt;=$D11,BP$1+6&gt;=$C11),1,"")</f>
        <v/>
      </c>
      <c r="BQ11" s="7" t="str">
        <f>IF(AND(ISNUMBER($C11),ISNUMBER($D11),BQ$1&lt;=$D11,BQ$1+6&gt;=$C11),1,"")</f>
        <v/>
      </c>
      <c r="BR11" s="7" t="str">
        <f>IF(AND(ISNUMBER($C11),ISNUMBER($D11),BR$1&lt;=$D11,BR$1+6&gt;=$C11),1,"")</f>
        <v/>
      </c>
      <c r="BS11" s="7" t="str">
        <f>IF(AND(ISNUMBER($C11),ISNUMBER($D11),BS$1&lt;=$D11,BS$1+6&gt;=$C11),1,"")</f>
        <v/>
      </c>
      <c r="BT11" s="7" t="str">
        <f>IF(AND(ISNUMBER($C11),ISNUMBER($D11),BT$1&lt;=$D11,BT$1+6&gt;=$C11),1,"")</f>
        <v/>
      </c>
      <c r="BU11" s="7" t="str">
        <f>IF(AND(ISNUMBER($C11),ISNUMBER($D11),BU$1&lt;=$D11,BU$1+6&gt;=$C11),1,"")</f>
        <v/>
      </c>
      <c r="BV11" s="7" t="str">
        <f>IF(AND(ISNUMBER($C11),ISNUMBER($D11),BV$1&lt;=$D11,BV$1+6&gt;=$C11),1,"")</f>
        <v/>
      </c>
      <c r="BW11" s="7" t="str">
        <f>IF(AND(ISNUMBER($C11),ISNUMBER($D11),BW$1&lt;=$D11,BW$1+6&gt;=$C11),1,"")</f>
        <v/>
      </c>
      <c r="BX11" s="7" t="str">
        <f>IF(AND(ISNUMBER($C11),ISNUMBER($D11),BX$1&lt;=$D11,BX$1+6&gt;=$C11),1,"")</f>
        <v/>
      </c>
      <c r="BY11" s="7" t="str">
        <f>IF(AND(ISNUMBER($C11),ISNUMBER($D11),BY$1&lt;=$D11,BY$1+6&gt;=$C11),1,"")</f>
        <v/>
      </c>
      <c r="BZ11" s="7" t="str">
        <f>IF(AND(ISNUMBER($C11),ISNUMBER($D11),BZ$1&lt;=$D11,BZ$1+6&gt;=$C11),1,"")</f>
        <v/>
      </c>
      <c r="CA11" s="7" t="str">
        <f>IF(AND(ISNUMBER($C11),ISNUMBER($D11),CA$1&lt;=$D11,CA$1+6&gt;=$C11),1,"")</f>
        <v/>
      </c>
      <c r="CB11" s="7" t="str">
        <f>IF(AND(ISNUMBER($C11),ISNUMBER($D11),CB$1&lt;=$D11,CB$1+6&gt;=$C11),1,"")</f>
        <v/>
      </c>
      <c r="CC11" s="7" t="str">
        <f>IF(AND(ISNUMBER($C11),ISNUMBER($D11),CC$1&lt;=$D11,CC$1+6&gt;=$C11),1,"")</f>
        <v/>
      </c>
      <c r="CD11" s="7" t="str">
        <f>IF(AND(ISNUMBER($C11),ISNUMBER($D11),CD$1&lt;=$D11,CD$1+6&gt;=$C11),1,"")</f>
        <v/>
      </c>
      <c r="CE11" s="7" t="str">
        <f>IF(AND(ISNUMBER($C11),ISNUMBER($D11),CE$1&lt;=$D11,CE$1+6&gt;=$C11),1,"")</f>
        <v/>
      </c>
      <c r="CF11" s="7" t="str">
        <f>IF(AND(ISNUMBER($C11),ISNUMBER($D11),CF$1&lt;=$D11,CF$1+6&gt;=$C11),1,"")</f>
        <v/>
      </c>
      <c r="CG11" s="7" t="str">
        <f>IF(AND(ISNUMBER($C11),ISNUMBER($D11),CG$1&lt;=$D11,CG$1+6&gt;=$C11),1,"")</f>
        <v/>
      </c>
      <c r="CH11" s="7" t="str">
        <f>IF(AND(ISNUMBER($C11),ISNUMBER($D11),CH$1&lt;=$D11,CH$1+6&gt;=$C11),1,"")</f>
        <v/>
      </c>
      <c r="CI11" s="7" t="str">
        <f>IF(AND(ISNUMBER($C11),ISNUMBER($D11),CI$1&lt;=$D11,CI$1+6&gt;=$C11),1,"")</f>
        <v/>
      </c>
      <c r="CJ11" s="7" t="str">
        <f>IF(AND(ISNUMBER($C11),ISNUMBER($D11),CJ$1&lt;=$D11,CJ$1+6&gt;=$C11),1,"")</f>
        <v/>
      </c>
      <c r="CK11" s="7" t="str">
        <f>IF(AND(ISNUMBER($C11),ISNUMBER($D11),CK$1&lt;=$D11,CK$1+6&gt;=$C11),1,"")</f>
        <v/>
      </c>
      <c r="CL11" s="7" t="str">
        <f>IF(AND(ISNUMBER($C11),ISNUMBER($D11),CL$1&lt;=$D11,CL$1+6&gt;=$C11),1,"")</f>
        <v/>
      </c>
      <c r="CM11" s="7" t="str">
        <f>IF(AND(ISNUMBER($C11),ISNUMBER($D11),CM$1&lt;=$D11,CM$1+6&gt;=$C11),1,"")</f>
        <v/>
      </c>
      <c r="CN11" s="7" t="str">
        <f>IF(AND(ISNUMBER($C11),ISNUMBER($D11),CN$1&lt;=$D11,CN$1+6&gt;=$C11),1,"")</f>
        <v/>
      </c>
      <c r="CO11" s="7" t="str">
        <f>IF(AND(ISNUMBER($C11),ISNUMBER($D11),CO$1&lt;=$D11,CO$1+6&gt;=$C11),1,"")</f>
        <v/>
      </c>
      <c r="CP11" s="7" t="str">
        <f>IF(AND(ISNUMBER($C11),ISNUMBER($D11),CP$1&lt;=$D11,CP$1+6&gt;=$C11),1,"")</f>
        <v/>
      </c>
      <c r="CQ11" s="7" t="str">
        <f>IF(AND(ISNUMBER($C11),ISNUMBER($D11),CQ$1&lt;=$D11,CQ$1+6&gt;=$C11),1,"")</f>
        <v/>
      </c>
      <c r="CR11" s="7" t="str">
        <f>IF(AND(ISNUMBER($C11),ISNUMBER($D11),CR$1&lt;=$D11,CR$1+6&gt;=$C11),1,"")</f>
        <v/>
      </c>
      <c r="CS11" s="7" t="str">
        <f>IF(AND(ISNUMBER($C11),ISNUMBER($D11),CS$1&lt;=$D11,CS$1+6&gt;=$C11),1,"")</f>
        <v/>
      </c>
      <c r="CT11" s="7" t="str">
        <f>IF(AND(ISNUMBER($C11),ISNUMBER($D11),CT$1&lt;=$D11,CT$1+6&gt;=$C11),1,"")</f>
        <v/>
      </c>
      <c r="CU11" s="7" t="str">
        <f>IF(AND(ISNUMBER($C11),ISNUMBER($D11),CU$1&lt;=$D11,CU$1+6&gt;=$C11),1,"")</f>
        <v/>
      </c>
      <c r="CV11" s="7" t="str">
        <f>IF(AND(ISNUMBER($C11),ISNUMBER($D11),CV$1&lt;=$D11,CV$1+6&gt;=$C11),1,"")</f>
        <v/>
      </c>
      <c r="CW11" s="7" t="str">
        <f>IF(AND(ISNUMBER($C11),ISNUMBER($D11),CW$1&lt;=$D11,CW$1+6&gt;=$C11),1,"")</f>
        <v/>
      </c>
      <c r="CX11" s="7" t="str">
        <f>IF(AND(ISNUMBER($C11),ISNUMBER($D11),CX$1&lt;=$D11,CX$1+6&gt;=$C11),1,"")</f>
        <v/>
      </c>
      <c r="CY11" s="7" t="str">
        <f>IF(AND(ISNUMBER($C11),ISNUMBER($D11),CY$1&lt;=$D11,CY$1+6&gt;=$C11),1,"")</f>
        <v/>
      </c>
      <c r="CZ11" s="7" t="str">
        <f>IF(AND(ISNUMBER($C11),ISNUMBER($D11),CZ$1&lt;=$D11,CZ$1+6&gt;=$C11),1,"")</f>
        <v/>
      </c>
      <c r="DA11" s="7" t="str">
        <f>IF(AND(ISNUMBER($C11),ISNUMBER($D11),DA$1&lt;=$D11,DA$1+6&gt;=$C11),1,"")</f>
        <v/>
      </c>
      <c r="DB11" s="7" t="str">
        <f>IF(AND(ISNUMBER($C11),ISNUMBER($D11),DB$1&lt;=$D11,DB$1+6&gt;=$C11),1,"")</f>
        <v/>
      </c>
      <c r="DC11" s="7" t="str">
        <f>IF(AND(ISNUMBER($C11),ISNUMBER($D11),DC$1&lt;=$D11,DC$1+6&gt;=$C11),1,"")</f>
        <v/>
      </c>
      <c r="DD11" s="7" t="str">
        <f>IF(AND(ISNUMBER($C11),ISNUMBER($D11),DD$1&lt;=$D11,DD$1+6&gt;=$C11),1,"")</f>
        <v/>
      </c>
    </row>
    <row r="12" spans="1:108" x14ac:dyDescent="0.35">
      <c r="A12" s="6" t="str">
        <f>Schedule!B12</f>
        <v>NumPy pandas and data manipulation bridge</v>
      </c>
      <c r="B12" s="6" t="str">
        <f>Schedule!C12</f>
        <v>Core</v>
      </c>
      <c r="C12" s="4">
        <f>IF(Schedule!P12="","",Schedule!P12)</f>
        <v>46532</v>
      </c>
      <c r="D12" s="4">
        <f>IF(Schedule!Q12="","",Schedule!Q12)</f>
        <v>46548</v>
      </c>
      <c r="E12" s="7" t="str">
        <f>IF(AND(ISNUMBER($C12),ISNUMBER($D12),E$1&lt;=$D12,E$1+6&gt;=$C12),1,"")</f>
        <v/>
      </c>
      <c r="F12" s="7" t="str">
        <f>IF(AND(ISNUMBER($C12),ISNUMBER($D12),F$1&lt;=$D12,F$1+6&gt;=$C12),1,"")</f>
        <v/>
      </c>
      <c r="G12" s="7" t="str">
        <f>IF(AND(ISNUMBER($C12),ISNUMBER($D12),G$1&lt;=$D12,G$1+6&gt;=$C12),1,"")</f>
        <v/>
      </c>
      <c r="H12" s="7" t="str">
        <f>IF(AND(ISNUMBER($C12),ISNUMBER($D12),H$1&lt;=$D12,H$1+6&gt;=$C12),1,"")</f>
        <v/>
      </c>
      <c r="I12" s="7" t="str">
        <f>IF(AND(ISNUMBER($C12),ISNUMBER($D12),I$1&lt;=$D12,I$1+6&gt;=$C12),1,"")</f>
        <v/>
      </c>
      <c r="J12" s="7" t="str">
        <f>IF(AND(ISNUMBER($C12),ISNUMBER($D12),J$1&lt;=$D12,J$1+6&gt;=$C12),1,"")</f>
        <v/>
      </c>
      <c r="K12" s="7" t="str">
        <f>IF(AND(ISNUMBER($C12),ISNUMBER($D12),K$1&lt;=$D12,K$1+6&gt;=$C12),1,"")</f>
        <v/>
      </c>
      <c r="L12" s="7" t="str">
        <f>IF(AND(ISNUMBER($C12),ISNUMBER($D12),L$1&lt;=$D12,L$1+6&gt;=$C12),1,"")</f>
        <v/>
      </c>
      <c r="M12" s="7" t="str">
        <f>IF(AND(ISNUMBER($C12),ISNUMBER($D12),M$1&lt;=$D12,M$1+6&gt;=$C12),1,"")</f>
        <v/>
      </c>
      <c r="N12" s="7" t="str">
        <f>IF(AND(ISNUMBER($C12),ISNUMBER($D12),N$1&lt;=$D12,N$1+6&gt;=$C12),1,"")</f>
        <v/>
      </c>
      <c r="O12" s="7" t="str">
        <f>IF(AND(ISNUMBER($C12),ISNUMBER($D12),O$1&lt;=$D12,O$1+6&gt;=$C12),1,"")</f>
        <v/>
      </c>
      <c r="P12" s="7" t="str">
        <f>IF(AND(ISNUMBER($C12),ISNUMBER($D12),P$1&lt;=$D12,P$1+6&gt;=$C12),1,"")</f>
        <v/>
      </c>
      <c r="Q12" s="7" t="str">
        <f>IF(AND(ISNUMBER($C12),ISNUMBER($D12),Q$1&lt;=$D12,Q$1+6&gt;=$C12),1,"")</f>
        <v/>
      </c>
      <c r="R12" s="7" t="str">
        <f>IF(AND(ISNUMBER($C12),ISNUMBER($D12),R$1&lt;=$D12,R$1+6&gt;=$C12),1,"")</f>
        <v/>
      </c>
      <c r="S12" s="7" t="str">
        <f>IF(AND(ISNUMBER($C12),ISNUMBER($D12),S$1&lt;=$D12,S$1+6&gt;=$C12),1,"")</f>
        <v/>
      </c>
      <c r="T12" s="7" t="str">
        <f>IF(AND(ISNUMBER($C12),ISNUMBER($D12),T$1&lt;=$D12,T$1+6&gt;=$C12),1,"")</f>
        <v/>
      </c>
      <c r="U12" s="7" t="str">
        <f>IF(AND(ISNUMBER($C12),ISNUMBER($D12),U$1&lt;=$D12,U$1+6&gt;=$C12),1,"")</f>
        <v/>
      </c>
      <c r="V12" s="7" t="str">
        <f>IF(AND(ISNUMBER($C12),ISNUMBER($D12),V$1&lt;=$D12,V$1+6&gt;=$C12),1,"")</f>
        <v/>
      </c>
      <c r="W12" s="7" t="str">
        <f>IF(AND(ISNUMBER($C12),ISNUMBER($D12),W$1&lt;=$D12,W$1+6&gt;=$C12),1,"")</f>
        <v/>
      </c>
      <c r="X12" s="7" t="str">
        <f>IF(AND(ISNUMBER($C12),ISNUMBER($D12),X$1&lt;=$D12,X$1+6&gt;=$C12),1,"")</f>
        <v/>
      </c>
      <c r="Y12" s="7" t="str">
        <f>IF(AND(ISNUMBER($C12),ISNUMBER($D12),Y$1&lt;=$D12,Y$1+6&gt;=$C12),1,"")</f>
        <v/>
      </c>
      <c r="Z12" s="7" t="str">
        <f>IF(AND(ISNUMBER($C12),ISNUMBER($D12),Z$1&lt;=$D12,Z$1+6&gt;=$C12),1,"")</f>
        <v/>
      </c>
      <c r="AA12" s="7" t="str">
        <f>IF(AND(ISNUMBER($C12),ISNUMBER($D12),AA$1&lt;=$D12,AA$1+6&gt;=$C12),1,"")</f>
        <v/>
      </c>
      <c r="AB12" s="7" t="str">
        <f>IF(AND(ISNUMBER($C12),ISNUMBER($D12),AB$1&lt;=$D12,AB$1+6&gt;=$C12),1,"")</f>
        <v/>
      </c>
      <c r="AC12" s="7" t="str">
        <f>IF(AND(ISNUMBER($C12),ISNUMBER($D12),AC$1&lt;=$D12,AC$1+6&gt;=$C12),1,"")</f>
        <v/>
      </c>
      <c r="AD12" s="7" t="str">
        <f>IF(AND(ISNUMBER($C12),ISNUMBER($D12),AD$1&lt;=$D12,AD$1+6&gt;=$C12),1,"")</f>
        <v/>
      </c>
      <c r="AE12" s="7" t="str">
        <f>IF(AND(ISNUMBER($C12),ISNUMBER($D12),AE$1&lt;=$D12,AE$1+6&gt;=$C12),1,"")</f>
        <v/>
      </c>
      <c r="AF12" s="7" t="str">
        <f>IF(AND(ISNUMBER($C12),ISNUMBER($D12),AF$1&lt;=$D12,AF$1+6&gt;=$C12),1,"")</f>
        <v/>
      </c>
      <c r="AG12" s="7" t="str">
        <f>IF(AND(ISNUMBER($C12),ISNUMBER($D12),AG$1&lt;=$D12,AG$1+6&gt;=$C12),1,"")</f>
        <v/>
      </c>
      <c r="AH12" s="7" t="str">
        <f>IF(AND(ISNUMBER($C12),ISNUMBER($D12),AH$1&lt;=$D12,AH$1+6&gt;=$C12),1,"")</f>
        <v/>
      </c>
      <c r="AI12" s="7">
        <f>IF(AND(ISNUMBER($C12),ISNUMBER($D12),AI$1&lt;=$D12,AI$1+6&gt;=$C12),1,"")</f>
        <v>1</v>
      </c>
      <c r="AJ12" s="7">
        <f>IF(AND(ISNUMBER($C12),ISNUMBER($D12),AJ$1&lt;=$D12,AJ$1+6&gt;=$C12),1,"")</f>
        <v>1</v>
      </c>
      <c r="AK12" s="7">
        <f>IF(AND(ISNUMBER($C12),ISNUMBER($D12),AK$1&lt;=$D12,AK$1+6&gt;=$C12),1,"")</f>
        <v>1</v>
      </c>
      <c r="AL12" s="7" t="str">
        <f>IF(AND(ISNUMBER($C12),ISNUMBER($D12),AL$1&lt;=$D12,AL$1+6&gt;=$C12),1,"")</f>
        <v/>
      </c>
      <c r="AM12" s="7" t="str">
        <f>IF(AND(ISNUMBER($C12),ISNUMBER($D12),AM$1&lt;=$D12,AM$1+6&gt;=$C12),1,"")</f>
        <v/>
      </c>
      <c r="AN12" s="7" t="str">
        <f>IF(AND(ISNUMBER($C12),ISNUMBER($D12),AN$1&lt;=$D12,AN$1+6&gt;=$C12),1,"")</f>
        <v/>
      </c>
      <c r="AO12" s="7" t="str">
        <f>IF(AND(ISNUMBER($C12),ISNUMBER($D12),AO$1&lt;=$D12,AO$1+6&gt;=$C12),1,"")</f>
        <v/>
      </c>
      <c r="AP12" s="7" t="str">
        <f>IF(AND(ISNUMBER($C12),ISNUMBER($D12),AP$1&lt;=$D12,AP$1+6&gt;=$C12),1,"")</f>
        <v/>
      </c>
      <c r="AQ12" s="7" t="str">
        <f>IF(AND(ISNUMBER($C12),ISNUMBER($D12),AQ$1&lt;=$D12,AQ$1+6&gt;=$C12),1,"")</f>
        <v/>
      </c>
      <c r="AR12" s="7" t="str">
        <f>IF(AND(ISNUMBER($C12),ISNUMBER($D12),AR$1&lt;=$D12,AR$1+6&gt;=$C12),1,"")</f>
        <v/>
      </c>
      <c r="AS12" s="7" t="str">
        <f>IF(AND(ISNUMBER($C12),ISNUMBER($D12),AS$1&lt;=$D12,AS$1+6&gt;=$C12),1,"")</f>
        <v/>
      </c>
      <c r="AT12" s="7" t="str">
        <f>IF(AND(ISNUMBER($C12),ISNUMBER($D12),AT$1&lt;=$D12,AT$1+6&gt;=$C12),1,"")</f>
        <v/>
      </c>
      <c r="AU12" s="7" t="str">
        <f>IF(AND(ISNUMBER($C12),ISNUMBER($D12),AU$1&lt;=$D12,AU$1+6&gt;=$C12),1,"")</f>
        <v/>
      </c>
      <c r="AV12" s="7" t="str">
        <f>IF(AND(ISNUMBER($C12),ISNUMBER($D12),AV$1&lt;=$D12,AV$1+6&gt;=$C12),1,"")</f>
        <v/>
      </c>
      <c r="AW12" s="7" t="str">
        <f>IF(AND(ISNUMBER($C12),ISNUMBER($D12),AW$1&lt;=$D12,AW$1+6&gt;=$C12),1,"")</f>
        <v/>
      </c>
      <c r="AX12" s="7" t="str">
        <f>IF(AND(ISNUMBER($C12),ISNUMBER($D12),AX$1&lt;=$D12,AX$1+6&gt;=$C12),1,"")</f>
        <v/>
      </c>
      <c r="AY12" s="7" t="str">
        <f>IF(AND(ISNUMBER($C12),ISNUMBER($D12),AY$1&lt;=$D12,AY$1+6&gt;=$C12),1,"")</f>
        <v/>
      </c>
      <c r="AZ12" s="7" t="str">
        <f>IF(AND(ISNUMBER($C12),ISNUMBER($D12),AZ$1&lt;=$D12,AZ$1+6&gt;=$C12),1,"")</f>
        <v/>
      </c>
      <c r="BA12" s="7" t="str">
        <f>IF(AND(ISNUMBER($C12),ISNUMBER($D12),BA$1&lt;=$D12,BA$1+6&gt;=$C12),1,"")</f>
        <v/>
      </c>
      <c r="BB12" s="7" t="str">
        <f>IF(AND(ISNUMBER($C12),ISNUMBER($D12),BB$1&lt;=$D12,BB$1+6&gt;=$C12),1,"")</f>
        <v/>
      </c>
      <c r="BC12" s="7" t="str">
        <f>IF(AND(ISNUMBER($C12),ISNUMBER($D12),BC$1&lt;=$D12,BC$1+6&gt;=$C12),1,"")</f>
        <v/>
      </c>
      <c r="BD12" s="7" t="str">
        <f>IF(AND(ISNUMBER($C12),ISNUMBER($D12),BD$1&lt;=$D12,BD$1+6&gt;=$C12),1,"")</f>
        <v/>
      </c>
      <c r="BE12" s="7" t="str">
        <f>IF(AND(ISNUMBER($C12),ISNUMBER($D12),BE$1&lt;=$D12,BE$1+6&gt;=$C12),1,"")</f>
        <v/>
      </c>
      <c r="BF12" s="7" t="str">
        <f>IF(AND(ISNUMBER($C12),ISNUMBER($D12),BF$1&lt;=$D12,BF$1+6&gt;=$C12),1,"")</f>
        <v/>
      </c>
      <c r="BG12" s="7" t="str">
        <f>IF(AND(ISNUMBER($C12),ISNUMBER($D12),BG$1&lt;=$D12,BG$1+6&gt;=$C12),1,"")</f>
        <v/>
      </c>
      <c r="BH12" s="7" t="str">
        <f>IF(AND(ISNUMBER($C12),ISNUMBER($D12),BH$1&lt;=$D12,BH$1+6&gt;=$C12),1,"")</f>
        <v/>
      </c>
      <c r="BI12" s="7" t="str">
        <f>IF(AND(ISNUMBER($C12),ISNUMBER($D12),BI$1&lt;=$D12,BI$1+6&gt;=$C12),1,"")</f>
        <v/>
      </c>
      <c r="BJ12" s="7" t="str">
        <f>IF(AND(ISNUMBER($C12),ISNUMBER($D12),BJ$1&lt;=$D12,BJ$1+6&gt;=$C12),1,"")</f>
        <v/>
      </c>
      <c r="BK12" s="7" t="str">
        <f>IF(AND(ISNUMBER($C12),ISNUMBER($D12),BK$1&lt;=$D12,BK$1+6&gt;=$C12),1,"")</f>
        <v/>
      </c>
      <c r="BL12" s="7" t="str">
        <f>IF(AND(ISNUMBER($C12),ISNUMBER($D12),BL$1&lt;=$D12,BL$1+6&gt;=$C12),1,"")</f>
        <v/>
      </c>
      <c r="BM12" s="7" t="str">
        <f>IF(AND(ISNUMBER($C12),ISNUMBER($D12),BM$1&lt;=$D12,BM$1+6&gt;=$C12),1,"")</f>
        <v/>
      </c>
      <c r="BN12" s="7" t="str">
        <f>IF(AND(ISNUMBER($C12),ISNUMBER($D12),BN$1&lt;=$D12,BN$1+6&gt;=$C12),1,"")</f>
        <v/>
      </c>
      <c r="BO12" s="7" t="str">
        <f>IF(AND(ISNUMBER($C12),ISNUMBER($D12),BO$1&lt;=$D12,BO$1+6&gt;=$C12),1,"")</f>
        <v/>
      </c>
      <c r="BP12" s="7" t="str">
        <f>IF(AND(ISNUMBER($C12),ISNUMBER($D12),BP$1&lt;=$D12,BP$1+6&gt;=$C12),1,"")</f>
        <v/>
      </c>
      <c r="BQ12" s="7" t="str">
        <f>IF(AND(ISNUMBER($C12),ISNUMBER($D12),BQ$1&lt;=$D12,BQ$1+6&gt;=$C12),1,"")</f>
        <v/>
      </c>
      <c r="BR12" s="7" t="str">
        <f>IF(AND(ISNUMBER($C12),ISNUMBER($D12),BR$1&lt;=$D12,BR$1+6&gt;=$C12),1,"")</f>
        <v/>
      </c>
      <c r="BS12" s="7" t="str">
        <f>IF(AND(ISNUMBER($C12),ISNUMBER($D12),BS$1&lt;=$D12,BS$1+6&gt;=$C12),1,"")</f>
        <v/>
      </c>
      <c r="BT12" s="7" t="str">
        <f>IF(AND(ISNUMBER($C12),ISNUMBER($D12),BT$1&lt;=$D12,BT$1+6&gt;=$C12),1,"")</f>
        <v/>
      </c>
      <c r="BU12" s="7" t="str">
        <f>IF(AND(ISNUMBER($C12),ISNUMBER($D12),BU$1&lt;=$D12,BU$1+6&gt;=$C12),1,"")</f>
        <v/>
      </c>
      <c r="BV12" s="7" t="str">
        <f>IF(AND(ISNUMBER($C12),ISNUMBER($D12),BV$1&lt;=$D12,BV$1+6&gt;=$C12),1,"")</f>
        <v/>
      </c>
      <c r="BW12" s="7" t="str">
        <f>IF(AND(ISNUMBER($C12),ISNUMBER($D12),BW$1&lt;=$D12,BW$1+6&gt;=$C12),1,"")</f>
        <v/>
      </c>
      <c r="BX12" s="7" t="str">
        <f>IF(AND(ISNUMBER($C12),ISNUMBER($D12),BX$1&lt;=$D12,BX$1+6&gt;=$C12),1,"")</f>
        <v/>
      </c>
      <c r="BY12" s="7" t="str">
        <f>IF(AND(ISNUMBER($C12),ISNUMBER($D12),BY$1&lt;=$D12,BY$1+6&gt;=$C12),1,"")</f>
        <v/>
      </c>
      <c r="BZ12" s="7" t="str">
        <f>IF(AND(ISNUMBER($C12),ISNUMBER($D12),BZ$1&lt;=$D12,BZ$1+6&gt;=$C12),1,"")</f>
        <v/>
      </c>
      <c r="CA12" s="7" t="str">
        <f>IF(AND(ISNUMBER($C12),ISNUMBER($D12),CA$1&lt;=$D12,CA$1+6&gt;=$C12),1,"")</f>
        <v/>
      </c>
      <c r="CB12" s="7" t="str">
        <f>IF(AND(ISNUMBER($C12),ISNUMBER($D12),CB$1&lt;=$D12,CB$1+6&gt;=$C12),1,"")</f>
        <v/>
      </c>
      <c r="CC12" s="7" t="str">
        <f>IF(AND(ISNUMBER($C12),ISNUMBER($D12),CC$1&lt;=$D12,CC$1+6&gt;=$C12),1,"")</f>
        <v/>
      </c>
      <c r="CD12" s="7" t="str">
        <f>IF(AND(ISNUMBER($C12),ISNUMBER($D12),CD$1&lt;=$D12,CD$1+6&gt;=$C12),1,"")</f>
        <v/>
      </c>
      <c r="CE12" s="7" t="str">
        <f>IF(AND(ISNUMBER($C12),ISNUMBER($D12),CE$1&lt;=$D12,CE$1+6&gt;=$C12),1,"")</f>
        <v/>
      </c>
      <c r="CF12" s="7" t="str">
        <f>IF(AND(ISNUMBER($C12),ISNUMBER($D12),CF$1&lt;=$D12,CF$1+6&gt;=$C12),1,"")</f>
        <v/>
      </c>
      <c r="CG12" s="7" t="str">
        <f>IF(AND(ISNUMBER($C12),ISNUMBER($D12),CG$1&lt;=$D12,CG$1+6&gt;=$C12),1,"")</f>
        <v/>
      </c>
      <c r="CH12" s="7" t="str">
        <f>IF(AND(ISNUMBER($C12),ISNUMBER($D12),CH$1&lt;=$D12,CH$1+6&gt;=$C12),1,"")</f>
        <v/>
      </c>
      <c r="CI12" s="7" t="str">
        <f>IF(AND(ISNUMBER($C12),ISNUMBER($D12),CI$1&lt;=$D12,CI$1+6&gt;=$C12),1,"")</f>
        <v/>
      </c>
      <c r="CJ12" s="7" t="str">
        <f>IF(AND(ISNUMBER($C12),ISNUMBER($D12),CJ$1&lt;=$D12,CJ$1+6&gt;=$C12),1,"")</f>
        <v/>
      </c>
      <c r="CK12" s="7" t="str">
        <f>IF(AND(ISNUMBER($C12),ISNUMBER($D12),CK$1&lt;=$D12,CK$1+6&gt;=$C12),1,"")</f>
        <v/>
      </c>
      <c r="CL12" s="7" t="str">
        <f>IF(AND(ISNUMBER($C12),ISNUMBER($D12),CL$1&lt;=$D12,CL$1+6&gt;=$C12),1,"")</f>
        <v/>
      </c>
      <c r="CM12" s="7" t="str">
        <f>IF(AND(ISNUMBER($C12),ISNUMBER($D12),CM$1&lt;=$D12,CM$1+6&gt;=$C12),1,"")</f>
        <v/>
      </c>
      <c r="CN12" s="7" t="str">
        <f>IF(AND(ISNUMBER($C12),ISNUMBER($D12),CN$1&lt;=$D12,CN$1+6&gt;=$C12),1,"")</f>
        <v/>
      </c>
      <c r="CO12" s="7" t="str">
        <f>IF(AND(ISNUMBER($C12),ISNUMBER($D12),CO$1&lt;=$D12,CO$1+6&gt;=$C12),1,"")</f>
        <v/>
      </c>
      <c r="CP12" s="7" t="str">
        <f>IF(AND(ISNUMBER($C12),ISNUMBER($D12),CP$1&lt;=$D12,CP$1+6&gt;=$C12),1,"")</f>
        <v/>
      </c>
      <c r="CQ12" s="7" t="str">
        <f>IF(AND(ISNUMBER($C12),ISNUMBER($D12),CQ$1&lt;=$D12,CQ$1+6&gt;=$C12),1,"")</f>
        <v/>
      </c>
      <c r="CR12" s="7" t="str">
        <f>IF(AND(ISNUMBER($C12),ISNUMBER($D12),CR$1&lt;=$D12,CR$1+6&gt;=$C12),1,"")</f>
        <v/>
      </c>
      <c r="CS12" s="7" t="str">
        <f>IF(AND(ISNUMBER($C12),ISNUMBER($D12),CS$1&lt;=$D12,CS$1+6&gt;=$C12),1,"")</f>
        <v/>
      </c>
      <c r="CT12" s="7" t="str">
        <f>IF(AND(ISNUMBER($C12),ISNUMBER($D12),CT$1&lt;=$D12,CT$1+6&gt;=$C12),1,"")</f>
        <v/>
      </c>
      <c r="CU12" s="7" t="str">
        <f>IF(AND(ISNUMBER($C12),ISNUMBER($D12),CU$1&lt;=$D12,CU$1+6&gt;=$C12),1,"")</f>
        <v/>
      </c>
      <c r="CV12" s="7" t="str">
        <f>IF(AND(ISNUMBER($C12),ISNUMBER($D12),CV$1&lt;=$D12,CV$1+6&gt;=$C12),1,"")</f>
        <v/>
      </c>
      <c r="CW12" s="7" t="str">
        <f>IF(AND(ISNUMBER($C12),ISNUMBER($D12),CW$1&lt;=$D12,CW$1+6&gt;=$C12),1,"")</f>
        <v/>
      </c>
      <c r="CX12" s="7" t="str">
        <f>IF(AND(ISNUMBER($C12),ISNUMBER($D12),CX$1&lt;=$D12,CX$1+6&gt;=$C12),1,"")</f>
        <v/>
      </c>
      <c r="CY12" s="7" t="str">
        <f>IF(AND(ISNUMBER($C12),ISNUMBER($D12),CY$1&lt;=$D12,CY$1+6&gt;=$C12),1,"")</f>
        <v/>
      </c>
      <c r="CZ12" s="7" t="str">
        <f>IF(AND(ISNUMBER($C12),ISNUMBER($D12),CZ$1&lt;=$D12,CZ$1+6&gt;=$C12),1,"")</f>
        <v/>
      </c>
      <c r="DA12" s="7" t="str">
        <f>IF(AND(ISNUMBER($C12),ISNUMBER($D12),DA$1&lt;=$D12,DA$1+6&gt;=$C12),1,"")</f>
        <v/>
      </c>
      <c r="DB12" s="7" t="str">
        <f>IF(AND(ISNUMBER($C12),ISNUMBER($D12),DB$1&lt;=$D12,DB$1+6&gt;=$C12),1,"")</f>
        <v/>
      </c>
      <c r="DC12" s="7" t="str">
        <f>IF(AND(ISNUMBER($C12),ISNUMBER($D12),DC$1&lt;=$D12,DC$1+6&gt;=$C12),1,"")</f>
        <v/>
      </c>
      <c r="DD12" s="7" t="str">
        <f>IF(AND(ISNUMBER($C12),ISNUMBER($D12),DD$1&lt;=$D12,DD$1+6&gt;=$C12),1,"")</f>
        <v/>
      </c>
    </row>
    <row r="13" spans="1:108" x14ac:dyDescent="0.35">
      <c r="A13" s="6" t="str">
        <f>Schedule!B13</f>
        <v>Calculus gradients and optimization bridge</v>
      </c>
      <c r="B13" s="6" t="str">
        <f>Schedule!C13</f>
        <v>Core</v>
      </c>
      <c r="C13" s="4">
        <f>IF(Schedule!P13="","",Schedule!P13)</f>
        <v>46548</v>
      </c>
      <c r="D13" s="4">
        <f>IF(Schedule!Q13="","",Schedule!Q13)</f>
        <v>46560</v>
      </c>
      <c r="E13" s="7" t="str">
        <f>IF(AND(ISNUMBER($C13),ISNUMBER($D13),E$1&lt;=$D13,E$1+6&gt;=$C13),1,"")</f>
        <v/>
      </c>
      <c r="F13" s="7" t="str">
        <f>IF(AND(ISNUMBER($C13),ISNUMBER($D13),F$1&lt;=$D13,F$1+6&gt;=$C13),1,"")</f>
        <v/>
      </c>
      <c r="G13" s="7" t="str">
        <f>IF(AND(ISNUMBER($C13),ISNUMBER($D13),G$1&lt;=$D13,G$1+6&gt;=$C13),1,"")</f>
        <v/>
      </c>
      <c r="H13" s="7" t="str">
        <f>IF(AND(ISNUMBER($C13),ISNUMBER($D13),H$1&lt;=$D13,H$1+6&gt;=$C13),1,"")</f>
        <v/>
      </c>
      <c r="I13" s="7" t="str">
        <f>IF(AND(ISNUMBER($C13),ISNUMBER($D13),I$1&lt;=$D13,I$1+6&gt;=$C13),1,"")</f>
        <v/>
      </c>
      <c r="J13" s="7" t="str">
        <f>IF(AND(ISNUMBER($C13),ISNUMBER($D13),J$1&lt;=$D13,J$1+6&gt;=$C13),1,"")</f>
        <v/>
      </c>
      <c r="K13" s="7" t="str">
        <f>IF(AND(ISNUMBER($C13),ISNUMBER($D13),K$1&lt;=$D13,K$1+6&gt;=$C13),1,"")</f>
        <v/>
      </c>
      <c r="L13" s="7" t="str">
        <f>IF(AND(ISNUMBER($C13),ISNUMBER($D13),L$1&lt;=$D13,L$1+6&gt;=$C13),1,"")</f>
        <v/>
      </c>
      <c r="M13" s="7" t="str">
        <f>IF(AND(ISNUMBER($C13),ISNUMBER($D13),M$1&lt;=$D13,M$1+6&gt;=$C13),1,"")</f>
        <v/>
      </c>
      <c r="N13" s="7" t="str">
        <f>IF(AND(ISNUMBER($C13),ISNUMBER($D13),N$1&lt;=$D13,N$1+6&gt;=$C13),1,"")</f>
        <v/>
      </c>
      <c r="O13" s="7" t="str">
        <f>IF(AND(ISNUMBER($C13),ISNUMBER($D13),O$1&lt;=$D13,O$1+6&gt;=$C13),1,"")</f>
        <v/>
      </c>
      <c r="P13" s="7" t="str">
        <f>IF(AND(ISNUMBER($C13),ISNUMBER($D13),P$1&lt;=$D13,P$1+6&gt;=$C13),1,"")</f>
        <v/>
      </c>
      <c r="Q13" s="7" t="str">
        <f>IF(AND(ISNUMBER($C13),ISNUMBER($D13),Q$1&lt;=$D13,Q$1+6&gt;=$C13),1,"")</f>
        <v/>
      </c>
      <c r="R13" s="7" t="str">
        <f>IF(AND(ISNUMBER($C13),ISNUMBER($D13),R$1&lt;=$D13,R$1+6&gt;=$C13),1,"")</f>
        <v/>
      </c>
      <c r="S13" s="7" t="str">
        <f>IF(AND(ISNUMBER($C13),ISNUMBER($D13),S$1&lt;=$D13,S$1+6&gt;=$C13),1,"")</f>
        <v/>
      </c>
      <c r="T13" s="7" t="str">
        <f>IF(AND(ISNUMBER($C13),ISNUMBER($D13),T$1&lt;=$D13,T$1+6&gt;=$C13),1,"")</f>
        <v/>
      </c>
      <c r="U13" s="7" t="str">
        <f>IF(AND(ISNUMBER($C13),ISNUMBER($D13),U$1&lt;=$D13,U$1+6&gt;=$C13),1,"")</f>
        <v/>
      </c>
      <c r="V13" s="7" t="str">
        <f>IF(AND(ISNUMBER($C13),ISNUMBER($D13),V$1&lt;=$D13,V$1+6&gt;=$C13),1,"")</f>
        <v/>
      </c>
      <c r="W13" s="7" t="str">
        <f>IF(AND(ISNUMBER($C13),ISNUMBER($D13),W$1&lt;=$D13,W$1+6&gt;=$C13),1,"")</f>
        <v/>
      </c>
      <c r="X13" s="7" t="str">
        <f>IF(AND(ISNUMBER($C13),ISNUMBER($D13),X$1&lt;=$D13,X$1+6&gt;=$C13),1,"")</f>
        <v/>
      </c>
      <c r="Y13" s="7" t="str">
        <f>IF(AND(ISNUMBER($C13),ISNUMBER($D13),Y$1&lt;=$D13,Y$1+6&gt;=$C13),1,"")</f>
        <v/>
      </c>
      <c r="Z13" s="7" t="str">
        <f>IF(AND(ISNUMBER($C13),ISNUMBER($D13),Z$1&lt;=$D13,Z$1+6&gt;=$C13),1,"")</f>
        <v/>
      </c>
      <c r="AA13" s="7" t="str">
        <f>IF(AND(ISNUMBER($C13),ISNUMBER($D13),AA$1&lt;=$D13,AA$1+6&gt;=$C13),1,"")</f>
        <v/>
      </c>
      <c r="AB13" s="7" t="str">
        <f>IF(AND(ISNUMBER($C13),ISNUMBER($D13),AB$1&lt;=$D13,AB$1+6&gt;=$C13),1,"")</f>
        <v/>
      </c>
      <c r="AC13" s="7" t="str">
        <f>IF(AND(ISNUMBER($C13),ISNUMBER($D13),AC$1&lt;=$D13,AC$1+6&gt;=$C13),1,"")</f>
        <v/>
      </c>
      <c r="AD13" s="7" t="str">
        <f>IF(AND(ISNUMBER($C13),ISNUMBER($D13),AD$1&lt;=$D13,AD$1+6&gt;=$C13),1,"")</f>
        <v/>
      </c>
      <c r="AE13" s="7" t="str">
        <f>IF(AND(ISNUMBER($C13),ISNUMBER($D13),AE$1&lt;=$D13,AE$1+6&gt;=$C13),1,"")</f>
        <v/>
      </c>
      <c r="AF13" s="7" t="str">
        <f>IF(AND(ISNUMBER($C13),ISNUMBER($D13),AF$1&lt;=$D13,AF$1+6&gt;=$C13),1,"")</f>
        <v/>
      </c>
      <c r="AG13" s="7" t="str">
        <f>IF(AND(ISNUMBER($C13),ISNUMBER($D13),AG$1&lt;=$D13,AG$1+6&gt;=$C13),1,"")</f>
        <v/>
      </c>
      <c r="AH13" s="7" t="str">
        <f>IF(AND(ISNUMBER($C13),ISNUMBER($D13),AH$1&lt;=$D13,AH$1+6&gt;=$C13),1,"")</f>
        <v/>
      </c>
      <c r="AI13" s="7" t="str">
        <f>IF(AND(ISNUMBER($C13),ISNUMBER($D13),AI$1&lt;=$D13,AI$1+6&gt;=$C13),1,"")</f>
        <v/>
      </c>
      <c r="AJ13" s="7" t="str">
        <f>IF(AND(ISNUMBER($C13),ISNUMBER($D13),AJ$1&lt;=$D13,AJ$1+6&gt;=$C13),1,"")</f>
        <v/>
      </c>
      <c r="AK13" s="7">
        <f>IF(AND(ISNUMBER($C13),ISNUMBER($D13),AK$1&lt;=$D13,AK$1+6&gt;=$C13),1,"")</f>
        <v>1</v>
      </c>
      <c r="AL13" s="7">
        <f>IF(AND(ISNUMBER($C13),ISNUMBER($D13),AL$1&lt;=$D13,AL$1+6&gt;=$C13),1,"")</f>
        <v>1</v>
      </c>
      <c r="AM13" s="7">
        <f>IF(AND(ISNUMBER($C13),ISNUMBER($D13),AM$1&lt;=$D13,AM$1+6&gt;=$C13),1,"")</f>
        <v>1</v>
      </c>
      <c r="AN13" s="7" t="str">
        <f>IF(AND(ISNUMBER($C13),ISNUMBER($D13),AN$1&lt;=$D13,AN$1+6&gt;=$C13),1,"")</f>
        <v/>
      </c>
      <c r="AO13" s="7" t="str">
        <f>IF(AND(ISNUMBER($C13),ISNUMBER($D13),AO$1&lt;=$D13,AO$1+6&gt;=$C13),1,"")</f>
        <v/>
      </c>
      <c r="AP13" s="7" t="str">
        <f>IF(AND(ISNUMBER($C13),ISNUMBER($D13),AP$1&lt;=$D13,AP$1+6&gt;=$C13),1,"")</f>
        <v/>
      </c>
      <c r="AQ13" s="7" t="str">
        <f>IF(AND(ISNUMBER($C13),ISNUMBER($D13),AQ$1&lt;=$D13,AQ$1+6&gt;=$C13),1,"")</f>
        <v/>
      </c>
      <c r="AR13" s="7" t="str">
        <f>IF(AND(ISNUMBER($C13),ISNUMBER($D13),AR$1&lt;=$D13,AR$1+6&gt;=$C13),1,"")</f>
        <v/>
      </c>
      <c r="AS13" s="7" t="str">
        <f>IF(AND(ISNUMBER($C13),ISNUMBER($D13),AS$1&lt;=$D13,AS$1+6&gt;=$C13),1,"")</f>
        <v/>
      </c>
      <c r="AT13" s="7" t="str">
        <f>IF(AND(ISNUMBER($C13),ISNUMBER($D13),AT$1&lt;=$D13,AT$1+6&gt;=$C13),1,"")</f>
        <v/>
      </c>
      <c r="AU13" s="7" t="str">
        <f>IF(AND(ISNUMBER($C13),ISNUMBER($D13),AU$1&lt;=$D13,AU$1+6&gt;=$C13),1,"")</f>
        <v/>
      </c>
      <c r="AV13" s="7" t="str">
        <f>IF(AND(ISNUMBER($C13),ISNUMBER($D13),AV$1&lt;=$D13,AV$1+6&gt;=$C13),1,"")</f>
        <v/>
      </c>
      <c r="AW13" s="7" t="str">
        <f>IF(AND(ISNUMBER($C13),ISNUMBER($D13),AW$1&lt;=$D13,AW$1+6&gt;=$C13),1,"")</f>
        <v/>
      </c>
      <c r="AX13" s="7" t="str">
        <f>IF(AND(ISNUMBER($C13),ISNUMBER($D13),AX$1&lt;=$D13,AX$1+6&gt;=$C13),1,"")</f>
        <v/>
      </c>
      <c r="AY13" s="7" t="str">
        <f>IF(AND(ISNUMBER($C13),ISNUMBER($D13),AY$1&lt;=$D13,AY$1+6&gt;=$C13),1,"")</f>
        <v/>
      </c>
      <c r="AZ13" s="7" t="str">
        <f>IF(AND(ISNUMBER($C13),ISNUMBER($D13),AZ$1&lt;=$D13,AZ$1+6&gt;=$C13),1,"")</f>
        <v/>
      </c>
      <c r="BA13" s="7" t="str">
        <f>IF(AND(ISNUMBER($C13),ISNUMBER($D13),BA$1&lt;=$D13,BA$1+6&gt;=$C13),1,"")</f>
        <v/>
      </c>
      <c r="BB13" s="7" t="str">
        <f>IF(AND(ISNUMBER($C13),ISNUMBER($D13),BB$1&lt;=$D13,BB$1+6&gt;=$C13),1,"")</f>
        <v/>
      </c>
      <c r="BC13" s="7" t="str">
        <f>IF(AND(ISNUMBER($C13),ISNUMBER($D13),BC$1&lt;=$D13,BC$1+6&gt;=$C13),1,"")</f>
        <v/>
      </c>
      <c r="BD13" s="7" t="str">
        <f>IF(AND(ISNUMBER($C13),ISNUMBER($D13),BD$1&lt;=$D13,BD$1+6&gt;=$C13),1,"")</f>
        <v/>
      </c>
      <c r="BE13" s="7" t="str">
        <f>IF(AND(ISNUMBER($C13),ISNUMBER($D13),BE$1&lt;=$D13,BE$1+6&gt;=$C13),1,"")</f>
        <v/>
      </c>
      <c r="BF13" s="7" t="str">
        <f>IF(AND(ISNUMBER($C13),ISNUMBER($D13),BF$1&lt;=$D13,BF$1+6&gt;=$C13),1,"")</f>
        <v/>
      </c>
      <c r="BG13" s="7" t="str">
        <f>IF(AND(ISNUMBER($C13),ISNUMBER($D13),BG$1&lt;=$D13,BG$1+6&gt;=$C13),1,"")</f>
        <v/>
      </c>
      <c r="BH13" s="7" t="str">
        <f>IF(AND(ISNUMBER($C13),ISNUMBER($D13),BH$1&lt;=$D13,BH$1+6&gt;=$C13),1,"")</f>
        <v/>
      </c>
      <c r="BI13" s="7" t="str">
        <f>IF(AND(ISNUMBER($C13),ISNUMBER($D13),BI$1&lt;=$D13,BI$1+6&gt;=$C13),1,"")</f>
        <v/>
      </c>
      <c r="BJ13" s="7" t="str">
        <f>IF(AND(ISNUMBER($C13),ISNUMBER($D13),BJ$1&lt;=$D13,BJ$1+6&gt;=$C13),1,"")</f>
        <v/>
      </c>
      <c r="BK13" s="7" t="str">
        <f>IF(AND(ISNUMBER($C13),ISNUMBER($D13),BK$1&lt;=$D13,BK$1+6&gt;=$C13),1,"")</f>
        <v/>
      </c>
      <c r="BL13" s="7" t="str">
        <f>IF(AND(ISNUMBER($C13),ISNUMBER($D13),BL$1&lt;=$D13,BL$1+6&gt;=$C13),1,"")</f>
        <v/>
      </c>
      <c r="BM13" s="7" t="str">
        <f>IF(AND(ISNUMBER($C13),ISNUMBER($D13),BM$1&lt;=$D13,BM$1+6&gt;=$C13),1,"")</f>
        <v/>
      </c>
      <c r="BN13" s="7" t="str">
        <f>IF(AND(ISNUMBER($C13),ISNUMBER($D13),BN$1&lt;=$D13,BN$1+6&gt;=$C13),1,"")</f>
        <v/>
      </c>
      <c r="BO13" s="7" t="str">
        <f>IF(AND(ISNUMBER($C13),ISNUMBER($D13),BO$1&lt;=$D13,BO$1+6&gt;=$C13),1,"")</f>
        <v/>
      </c>
      <c r="BP13" s="7" t="str">
        <f>IF(AND(ISNUMBER($C13),ISNUMBER($D13),BP$1&lt;=$D13,BP$1+6&gt;=$C13),1,"")</f>
        <v/>
      </c>
      <c r="BQ13" s="7" t="str">
        <f>IF(AND(ISNUMBER($C13),ISNUMBER($D13),BQ$1&lt;=$D13,BQ$1+6&gt;=$C13),1,"")</f>
        <v/>
      </c>
      <c r="BR13" s="7" t="str">
        <f>IF(AND(ISNUMBER($C13),ISNUMBER($D13),BR$1&lt;=$D13,BR$1+6&gt;=$C13),1,"")</f>
        <v/>
      </c>
      <c r="BS13" s="7" t="str">
        <f>IF(AND(ISNUMBER($C13),ISNUMBER($D13),BS$1&lt;=$D13,BS$1+6&gt;=$C13),1,"")</f>
        <v/>
      </c>
      <c r="BT13" s="7" t="str">
        <f>IF(AND(ISNUMBER($C13),ISNUMBER($D13),BT$1&lt;=$D13,BT$1+6&gt;=$C13),1,"")</f>
        <v/>
      </c>
      <c r="BU13" s="7" t="str">
        <f>IF(AND(ISNUMBER($C13),ISNUMBER($D13),BU$1&lt;=$D13,BU$1+6&gt;=$C13),1,"")</f>
        <v/>
      </c>
      <c r="BV13" s="7" t="str">
        <f>IF(AND(ISNUMBER($C13),ISNUMBER($D13),BV$1&lt;=$D13,BV$1+6&gt;=$C13),1,"")</f>
        <v/>
      </c>
      <c r="BW13" s="7" t="str">
        <f>IF(AND(ISNUMBER($C13),ISNUMBER($D13),BW$1&lt;=$D13,BW$1+6&gt;=$C13),1,"")</f>
        <v/>
      </c>
      <c r="BX13" s="7" t="str">
        <f>IF(AND(ISNUMBER($C13),ISNUMBER($D13),BX$1&lt;=$D13,BX$1+6&gt;=$C13),1,"")</f>
        <v/>
      </c>
      <c r="BY13" s="7" t="str">
        <f>IF(AND(ISNUMBER($C13),ISNUMBER($D13),BY$1&lt;=$D13,BY$1+6&gt;=$C13),1,"")</f>
        <v/>
      </c>
      <c r="BZ13" s="7" t="str">
        <f>IF(AND(ISNUMBER($C13),ISNUMBER($D13),BZ$1&lt;=$D13,BZ$1+6&gt;=$C13),1,"")</f>
        <v/>
      </c>
      <c r="CA13" s="7" t="str">
        <f>IF(AND(ISNUMBER($C13),ISNUMBER($D13),CA$1&lt;=$D13,CA$1+6&gt;=$C13),1,"")</f>
        <v/>
      </c>
      <c r="CB13" s="7" t="str">
        <f>IF(AND(ISNUMBER($C13),ISNUMBER($D13),CB$1&lt;=$D13,CB$1+6&gt;=$C13),1,"")</f>
        <v/>
      </c>
      <c r="CC13" s="7" t="str">
        <f>IF(AND(ISNUMBER($C13),ISNUMBER($D13),CC$1&lt;=$D13,CC$1+6&gt;=$C13),1,"")</f>
        <v/>
      </c>
      <c r="CD13" s="7" t="str">
        <f>IF(AND(ISNUMBER($C13),ISNUMBER($D13),CD$1&lt;=$D13,CD$1+6&gt;=$C13),1,"")</f>
        <v/>
      </c>
      <c r="CE13" s="7" t="str">
        <f>IF(AND(ISNUMBER($C13),ISNUMBER($D13),CE$1&lt;=$D13,CE$1+6&gt;=$C13),1,"")</f>
        <v/>
      </c>
      <c r="CF13" s="7" t="str">
        <f>IF(AND(ISNUMBER($C13),ISNUMBER($D13),CF$1&lt;=$D13,CF$1+6&gt;=$C13),1,"")</f>
        <v/>
      </c>
      <c r="CG13" s="7" t="str">
        <f>IF(AND(ISNUMBER($C13),ISNUMBER($D13),CG$1&lt;=$D13,CG$1+6&gt;=$C13),1,"")</f>
        <v/>
      </c>
      <c r="CH13" s="7" t="str">
        <f>IF(AND(ISNUMBER($C13),ISNUMBER($D13),CH$1&lt;=$D13,CH$1+6&gt;=$C13),1,"")</f>
        <v/>
      </c>
      <c r="CI13" s="7" t="str">
        <f>IF(AND(ISNUMBER($C13),ISNUMBER($D13),CI$1&lt;=$D13,CI$1+6&gt;=$C13),1,"")</f>
        <v/>
      </c>
      <c r="CJ13" s="7" t="str">
        <f>IF(AND(ISNUMBER($C13),ISNUMBER($D13),CJ$1&lt;=$D13,CJ$1+6&gt;=$C13),1,"")</f>
        <v/>
      </c>
      <c r="CK13" s="7" t="str">
        <f>IF(AND(ISNUMBER($C13),ISNUMBER($D13),CK$1&lt;=$D13,CK$1+6&gt;=$C13),1,"")</f>
        <v/>
      </c>
      <c r="CL13" s="7" t="str">
        <f>IF(AND(ISNUMBER($C13),ISNUMBER($D13),CL$1&lt;=$D13,CL$1+6&gt;=$C13),1,"")</f>
        <v/>
      </c>
      <c r="CM13" s="7" t="str">
        <f>IF(AND(ISNUMBER($C13),ISNUMBER($D13),CM$1&lt;=$D13,CM$1+6&gt;=$C13),1,"")</f>
        <v/>
      </c>
      <c r="CN13" s="7" t="str">
        <f>IF(AND(ISNUMBER($C13),ISNUMBER($D13),CN$1&lt;=$D13,CN$1+6&gt;=$C13),1,"")</f>
        <v/>
      </c>
      <c r="CO13" s="7" t="str">
        <f>IF(AND(ISNUMBER($C13),ISNUMBER($D13),CO$1&lt;=$D13,CO$1+6&gt;=$C13),1,"")</f>
        <v/>
      </c>
      <c r="CP13" s="7" t="str">
        <f>IF(AND(ISNUMBER($C13),ISNUMBER($D13),CP$1&lt;=$D13,CP$1+6&gt;=$C13),1,"")</f>
        <v/>
      </c>
      <c r="CQ13" s="7" t="str">
        <f>IF(AND(ISNUMBER($C13),ISNUMBER($D13),CQ$1&lt;=$D13,CQ$1+6&gt;=$C13),1,"")</f>
        <v/>
      </c>
      <c r="CR13" s="7" t="str">
        <f>IF(AND(ISNUMBER($C13),ISNUMBER($D13),CR$1&lt;=$D13,CR$1+6&gt;=$C13),1,"")</f>
        <v/>
      </c>
      <c r="CS13" s="7" t="str">
        <f>IF(AND(ISNUMBER($C13),ISNUMBER($D13),CS$1&lt;=$D13,CS$1+6&gt;=$C13),1,"")</f>
        <v/>
      </c>
      <c r="CT13" s="7" t="str">
        <f>IF(AND(ISNUMBER($C13),ISNUMBER($D13),CT$1&lt;=$D13,CT$1+6&gt;=$C13),1,"")</f>
        <v/>
      </c>
      <c r="CU13" s="7" t="str">
        <f>IF(AND(ISNUMBER($C13),ISNUMBER($D13),CU$1&lt;=$D13,CU$1+6&gt;=$C13),1,"")</f>
        <v/>
      </c>
      <c r="CV13" s="7" t="str">
        <f>IF(AND(ISNUMBER($C13),ISNUMBER($D13),CV$1&lt;=$D13,CV$1+6&gt;=$C13),1,"")</f>
        <v/>
      </c>
      <c r="CW13" s="7" t="str">
        <f>IF(AND(ISNUMBER($C13),ISNUMBER($D13),CW$1&lt;=$D13,CW$1+6&gt;=$C13),1,"")</f>
        <v/>
      </c>
      <c r="CX13" s="7" t="str">
        <f>IF(AND(ISNUMBER($C13),ISNUMBER($D13),CX$1&lt;=$D13,CX$1+6&gt;=$C13),1,"")</f>
        <v/>
      </c>
      <c r="CY13" s="7" t="str">
        <f>IF(AND(ISNUMBER($C13),ISNUMBER($D13),CY$1&lt;=$D13,CY$1+6&gt;=$C13),1,"")</f>
        <v/>
      </c>
      <c r="CZ13" s="7" t="str">
        <f>IF(AND(ISNUMBER($C13),ISNUMBER($D13),CZ$1&lt;=$D13,CZ$1+6&gt;=$C13),1,"")</f>
        <v/>
      </c>
      <c r="DA13" s="7" t="str">
        <f>IF(AND(ISNUMBER($C13),ISNUMBER($D13),DA$1&lt;=$D13,DA$1+6&gt;=$C13),1,"")</f>
        <v/>
      </c>
      <c r="DB13" s="7" t="str">
        <f>IF(AND(ISNUMBER($C13),ISNUMBER($D13),DB$1&lt;=$D13,DB$1+6&gt;=$C13),1,"")</f>
        <v/>
      </c>
      <c r="DC13" s="7" t="str">
        <f>IF(AND(ISNUMBER($C13),ISNUMBER($D13),DC$1&lt;=$D13,DC$1+6&gt;=$C13),1,"")</f>
        <v/>
      </c>
      <c r="DD13" s="7" t="str">
        <f>IF(AND(ISNUMBER($C13),ISNUMBER($D13),DD$1&lt;=$D13,DD$1+6&gt;=$C13),1,"")</f>
        <v/>
      </c>
    </row>
    <row r="14" spans="1:108" x14ac:dyDescent="0.35">
      <c r="A14" s="6" t="str">
        <f>Schedule!B14</f>
        <v>Classical ML baselines and leakage bridge</v>
      </c>
      <c r="B14" s="6" t="str">
        <f>Schedule!C14</f>
        <v>Core</v>
      </c>
      <c r="C14" s="4">
        <f>IF(Schedule!P14="","",Schedule!P14)</f>
        <v>46560</v>
      </c>
      <c r="D14" s="4">
        <f>IF(Schedule!Q14="","",Schedule!Q14)</f>
        <v>46583</v>
      </c>
      <c r="E14" s="7" t="str">
        <f>IF(AND(ISNUMBER($C14),ISNUMBER($D14),E$1&lt;=$D14,E$1+6&gt;=$C14),1,"")</f>
        <v/>
      </c>
      <c r="F14" s="7" t="str">
        <f>IF(AND(ISNUMBER($C14),ISNUMBER($D14),F$1&lt;=$D14,F$1+6&gt;=$C14),1,"")</f>
        <v/>
      </c>
      <c r="G14" s="7" t="str">
        <f>IF(AND(ISNUMBER($C14),ISNUMBER($D14),G$1&lt;=$D14,G$1+6&gt;=$C14),1,"")</f>
        <v/>
      </c>
      <c r="H14" s="7" t="str">
        <f>IF(AND(ISNUMBER($C14),ISNUMBER($D14),H$1&lt;=$D14,H$1+6&gt;=$C14),1,"")</f>
        <v/>
      </c>
      <c r="I14" s="7" t="str">
        <f>IF(AND(ISNUMBER($C14),ISNUMBER($D14),I$1&lt;=$D14,I$1+6&gt;=$C14),1,"")</f>
        <v/>
      </c>
      <c r="J14" s="7" t="str">
        <f>IF(AND(ISNUMBER($C14),ISNUMBER($D14),J$1&lt;=$D14,J$1+6&gt;=$C14),1,"")</f>
        <v/>
      </c>
      <c r="K14" s="7" t="str">
        <f>IF(AND(ISNUMBER($C14),ISNUMBER($D14),K$1&lt;=$D14,K$1+6&gt;=$C14),1,"")</f>
        <v/>
      </c>
      <c r="L14" s="7" t="str">
        <f>IF(AND(ISNUMBER($C14),ISNUMBER($D14),L$1&lt;=$D14,L$1+6&gt;=$C14),1,"")</f>
        <v/>
      </c>
      <c r="M14" s="7" t="str">
        <f>IF(AND(ISNUMBER($C14),ISNUMBER($D14),M$1&lt;=$D14,M$1+6&gt;=$C14),1,"")</f>
        <v/>
      </c>
      <c r="N14" s="7" t="str">
        <f>IF(AND(ISNUMBER($C14),ISNUMBER($D14),N$1&lt;=$D14,N$1+6&gt;=$C14),1,"")</f>
        <v/>
      </c>
      <c r="O14" s="7" t="str">
        <f>IF(AND(ISNUMBER($C14),ISNUMBER($D14),O$1&lt;=$D14,O$1+6&gt;=$C14),1,"")</f>
        <v/>
      </c>
      <c r="P14" s="7" t="str">
        <f>IF(AND(ISNUMBER($C14),ISNUMBER($D14),P$1&lt;=$D14,P$1+6&gt;=$C14),1,"")</f>
        <v/>
      </c>
      <c r="Q14" s="7" t="str">
        <f>IF(AND(ISNUMBER($C14),ISNUMBER($D14),Q$1&lt;=$D14,Q$1+6&gt;=$C14),1,"")</f>
        <v/>
      </c>
      <c r="R14" s="7" t="str">
        <f>IF(AND(ISNUMBER($C14),ISNUMBER($D14),R$1&lt;=$D14,R$1+6&gt;=$C14),1,"")</f>
        <v/>
      </c>
      <c r="S14" s="7" t="str">
        <f>IF(AND(ISNUMBER($C14),ISNUMBER($D14),S$1&lt;=$D14,S$1+6&gt;=$C14),1,"")</f>
        <v/>
      </c>
      <c r="T14" s="7" t="str">
        <f>IF(AND(ISNUMBER($C14),ISNUMBER($D14),T$1&lt;=$D14,T$1+6&gt;=$C14),1,"")</f>
        <v/>
      </c>
      <c r="U14" s="7" t="str">
        <f>IF(AND(ISNUMBER($C14),ISNUMBER($D14),U$1&lt;=$D14,U$1+6&gt;=$C14),1,"")</f>
        <v/>
      </c>
      <c r="V14" s="7" t="str">
        <f>IF(AND(ISNUMBER($C14),ISNUMBER($D14),V$1&lt;=$D14,V$1+6&gt;=$C14),1,"")</f>
        <v/>
      </c>
      <c r="W14" s="7" t="str">
        <f>IF(AND(ISNUMBER($C14),ISNUMBER($D14),W$1&lt;=$D14,W$1+6&gt;=$C14),1,"")</f>
        <v/>
      </c>
      <c r="X14" s="7" t="str">
        <f>IF(AND(ISNUMBER($C14),ISNUMBER($D14),X$1&lt;=$D14,X$1+6&gt;=$C14),1,"")</f>
        <v/>
      </c>
      <c r="Y14" s="7" t="str">
        <f>IF(AND(ISNUMBER($C14),ISNUMBER($D14),Y$1&lt;=$D14,Y$1+6&gt;=$C14),1,"")</f>
        <v/>
      </c>
      <c r="Z14" s="7" t="str">
        <f>IF(AND(ISNUMBER($C14),ISNUMBER($D14),Z$1&lt;=$D14,Z$1+6&gt;=$C14),1,"")</f>
        <v/>
      </c>
      <c r="AA14" s="7" t="str">
        <f>IF(AND(ISNUMBER($C14),ISNUMBER($D14),AA$1&lt;=$D14,AA$1+6&gt;=$C14),1,"")</f>
        <v/>
      </c>
      <c r="AB14" s="7" t="str">
        <f>IF(AND(ISNUMBER($C14),ISNUMBER($D14),AB$1&lt;=$D14,AB$1+6&gt;=$C14),1,"")</f>
        <v/>
      </c>
      <c r="AC14" s="7" t="str">
        <f>IF(AND(ISNUMBER($C14),ISNUMBER($D14),AC$1&lt;=$D14,AC$1+6&gt;=$C14),1,"")</f>
        <v/>
      </c>
      <c r="AD14" s="7" t="str">
        <f>IF(AND(ISNUMBER($C14),ISNUMBER($D14),AD$1&lt;=$D14,AD$1+6&gt;=$C14),1,"")</f>
        <v/>
      </c>
      <c r="AE14" s="7" t="str">
        <f>IF(AND(ISNUMBER($C14),ISNUMBER($D14),AE$1&lt;=$D14,AE$1+6&gt;=$C14),1,"")</f>
        <v/>
      </c>
      <c r="AF14" s="7" t="str">
        <f>IF(AND(ISNUMBER($C14),ISNUMBER($D14),AF$1&lt;=$D14,AF$1+6&gt;=$C14),1,"")</f>
        <v/>
      </c>
      <c r="AG14" s="7" t="str">
        <f>IF(AND(ISNUMBER($C14),ISNUMBER($D14),AG$1&lt;=$D14,AG$1+6&gt;=$C14),1,"")</f>
        <v/>
      </c>
      <c r="AH14" s="7" t="str">
        <f>IF(AND(ISNUMBER($C14),ISNUMBER($D14),AH$1&lt;=$D14,AH$1+6&gt;=$C14),1,"")</f>
        <v/>
      </c>
      <c r="AI14" s="7" t="str">
        <f>IF(AND(ISNUMBER($C14),ISNUMBER($D14),AI$1&lt;=$D14,AI$1+6&gt;=$C14),1,"")</f>
        <v/>
      </c>
      <c r="AJ14" s="7" t="str">
        <f>IF(AND(ISNUMBER($C14),ISNUMBER($D14),AJ$1&lt;=$D14,AJ$1+6&gt;=$C14),1,"")</f>
        <v/>
      </c>
      <c r="AK14" s="7" t="str">
        <f>IF(AND(ISNUMBER($C14),ISNUMBER($D14),AK$1&lt;=$D14,AK$1+6&gt;=$C14),1,"")</f>
        <v/>
      </c>
      <c r="AL14" s="7" t="str">
        <f>IF(AND(ISNUMBER($C14),ISNUMBER($D14),AL$1&lt;=$D14,AL$1+6&gt;=$C14),1,"")</f>
        <v/>
      </c>
      <c r="AM14" s="7">
        <f>IF(AND(ISNUMBER($C14),ISNUMBER($D14),AM$1&lt;=$D14,AM$1+6&gt;=$C14),1,"")</f>
        <v>1</v>
      </c>
      <c r="AN14" s="7">
        <f>IF(AND(ISNUMBER($C14),ISNUMBER($D14),AN$1&lt;=$D14,AN$1+6&gt;=$C14),1,"")</f>
        <v>1</v>
      </c>
      <c r="AO14" s="7">
        <f>IF(AND(ISNUMBER($C14),ISNUMBER($D14),AO$1&lt;=$D14,AO$1+6&gt;=$C14),1,"")</f>
        <v>1</v>
      </c>
      <c r="AP14" s="7">
        <f>IF(AND(ISNUMBER($C14),ISNUMBER($D14),AP$1&lt;=$D14,AP$1+6&gt;=$C14),1,"")</f>
        <v>1</v>
      </c>
      <c r="AQ14" s="7" t="str">
        <f>IF(AND(ISNUMBER($C14),ISNUMBER($D14),AQ$1&lt;=$D14,AQ$1+6&gt;=$C14),1,"")</f>
        <v/>
      </c>
      <c r="AR14" s="7" t="str">
        <f>IF(AND(ISNUMBER($C14),ISNUMBER($D14),AR$1&lt;=$D14,AR$1+6&gt;=$C14),1,"")</f>
        <v/>
      </c>
      <c r="AS14" s="7" t="str">
        <f>IF(AND(ISNUMBER($C14),ISNUMBER($D14),AS$1&lt;=$D14,AS$1+6&gt;=$C14),1,"")</f>
        <v/>
      </c>
      <c r="AT14" s="7" t="str">
        <f>IF(AND(ISNUMBER($C14),ISNUMBER($D14),AT$1&lt;=$D14,AT$1+6&gt;=$C14),1,"")</f>
        <v/>
      </c>
      <c r="AU14" s="7" t="str">
        <f>IF(AND(ISNUMBER($C14),ISNUMBER($D14),AU$1&lt;=$D14,AU$1+6&gt;=$C14),1,"")</f>
        <v/>
      </c>
      <c r="AV14" s="7" t="str">
        <f>IF(AND(ISNUMBER($C14),ISNUMBER($D14),AV$1&lt;=$D14,AV$1+6&gt;=$C14),1,"")</f>
        <v/>
      </c>
      <c r="AW14" s="7" t="str">
        <f>IF(AND(ISNUMBER($C14),ISNUMBER($D14),AW$1&lt;=$D14,AW$1+6&gt;=$C14),1,"")</f>
        <v/>
      </c>
      <c r="AX14" s="7" t="str">
        <f>IF(AND(ISNUMBER($C14),ISNUMBER($D14),AX$1&lt;=$D14,AX$1+6&gt;=$C14),1,"")</f>
        <v/>
      </c>
      <c r="AY14" s="7" t="str">
        <f>IF(AND(ISNUMBER($C14),ISNUMBER($D14),AY$1&lt;=$D14,AY$1+6&gt;=$C14),1,"")</f>
        <v/>
      </c>
      <c r="AZ14" s="7" t="str">
        <f>IF(AND(ISNUMBER($C14),ISNUMBER($D14),AZ$1&lt;=$D14,AZ$1+6&gt;=$C14),1,"")</f>
        <v/>
      </c>
      <c r="BA14" s="7" t="str">
        <f>IF(AND(ISNUMBER($C14),ISNUMBER($D14),BA$1&lt;=$D14,BA$1+6&gt;=$C14),1,"")</f>
        <v/>
      </c>
      <c r="BB14" s="7" t="str">
        <f>IF(AND(ISNUMBER($C14),ISNUMBER($D14),BB$1&lt;=$D14,BB$1+6&gt;=$C14),1,"")</f>
        <v/>
      </c>
      <c r="BC14" s="7" t="str">
        <f>IF(AND(ISNUMBER($C14),ISNUMBER($D14),BC$1&lt;=$D14,BC$1+6&gt;=$C14),1,"")</f>
        <v/>
      </c>
      <c r="BD14" s="7" t="str">
        <f>IF(AND(ISNUMBER($C14),ISNUMBER($D14),BD$1&lt;=$D14,BD$1+6&gt;=$C14),1,"")</f>
        <v/>
      </c>
      <c r="BE14" s="7" t="str">
        <f>IF(AND(ISNUMBER($C14),ISNUMBER($D14),BE$1&lt;=$D14,BE$1+6&gt;=$C14),1,"")</f>
        <v/>
      </c>
      <c r="BF14" s="7" t="str">
        <f>IF(AND(ISNUMBER($C14),ISNUMBER($D14),BF$1&lt;=$D14,BF$1+6&gt;=$C14),1,"")</f>
        <v/>
      </c>
      <c r="BG14" s="7" t="str">
        <f>IF(AND(ISNUMBER($C14),ISNUMBER($D14),BG$1&lt;=$D14,BG$1+6&gt;=$C14),1,"")</f>
        <v/>
      </c>
      <c r="BH14" s="7" t="str">
        <f>IF(AND(ISNUMBER($C14),ISNUMBER($D14),BH$1&lt;=$D14,BH$1+6&gt;=$C14),1,"")</f>
        <v/>
      </c>
      <c r="BI14" s="7" t="str">
        <f>IF(AND(ISNUMBER($C14),ISNUMBER($D14),BI$1&lt;=$D14,BI$1+6&gt;=$C14),1,"")</f>
        <v/>
      </c>
      <c r="BJ14" s="7" t="str">
        <f>IF(AND(ISNUMBER($C14),ISNUMBER($D14),BJ$1&lt;=$D14,BJ$1+6&gt;=$C14),1,"")</f>
        <v/>
      </c>
      <c r="BK14" s="7" t="str">
        <f>IF(AND(ISNUMBER($C14),ISNUMBER($D14),BK$1&lt;=$D14,BK$1+6&gt;=$C14),1,"")</f>
        <v/>
      </c>
      <c r="BL14" s="7" t="str">
        <f>IF(AND(ISNUMBER($C14),ISNUMBER($D14),BL$1&lt;=$D14,BL$1+6&gt;=$C14),1,"")</f>
        <v/>
      </c>
      <c r="BM14" s="7" t="str">
        <f>IF(AND(ISNUMBER($C14),ISNUMBER($D14),BM$1&lt;=$D14,BM$1+6&gt;=$C14),1,"")</f>
        <v/>
      </c>
      <c r="BN14" s="7" t="str">
        <f>IF(AND(ISNUMBER($C14),ISNUMBER($D14),BN$1&lt;=$D14,BN$1+6&gt;=$C14),1,"")</f>
        <v/>
      </c>
      <c r="BO14" s="7" t="str">
        <f>IF(AND(ISNUMBER($C14),ISNUMBER($D14),BO$1&lt;=$D14,BO$1+6&gt;=$C14),1,"")</f>
        <v/>
      </c>
      <c r="BP14" s="7" t="str">
        <f>IF(AND(ISNUMBER($C14),ISNUMBER($D14),BP$1&lt;=$D14,BP$1+6&gt;=$C14),1,"")</f>
        <v/>
      </c>
      <c r="BQ14" s="7" t="str">
        <f>IF(AND(ISNUMBER($C14),ISNUMBER($D14),BQ$1&lt;=$D14,BQ$1+6&gt;=$C14),1,"")</f>
        <v/>
      </c>
      <c r="BR14" s="7" t="str">
        <f>IF(AND(ISNUMBER($C14),ISNUMBER($D14),BR$1&lt;=$D14,BR$1+6&gt;=$C14),1,"")</f>
        <v/>
      </c>
      <c r="BS14" s="7" t="str">
        <f>IF(AND(ISNUMBER($C14),ISNUMBER($D14),BS$1&lt;=$D14,BS$1+6&gt;=$C14),1,"")</f>
        <v/>
      </c>
      <c r="BT14" s="7" t="str">
        <f>IF(AND(ISNUMBER($C14),ISNUMBER($D14),BT$1&lt;=$D14,BT$1+6&gt;=$C14),1,"")</f>
        <v/>
      </c>
      <c r="BU14" s="7" t="str">
        <f>IF(AND(ISNUMBER($C14),ISNUMBER($D14),BU$1&lt;=$D14,BU$1+6&gt;=$C14),1,"")</f>
        <v/>
      </c>
      <c r="BV14" s="7" t="str">
        <f>IF(AND(ISNUMBER($C14),ISNUMBER($D14),BV$1&lt;=$D14,BV$1+6&gt;=$C14),1,"")</f>
        <v/>
      </c>
      <c r="BW14" s="7" t="str">
        <f>IF(AND(ISNUMBER($C14),ISNUMBER($D14),BW$1&lt;=$D14,BW$1+6&gt;=$C14),1,"")</f>
        <v/>
      </c>
      <c r="BX14" s="7" t="str">
        <f>IF(AND(ISNUMBER($C14),ISNUMBER($D14),BX$1&lt;=$D14,BX$1+6&gt;=$C14),1,"")</f>
        <v/>
      </c>
      <c r="BY14" s="7" t="str">
        <f>IF(AND(ISNUMBER($C14),ISNUMBER($D14),BY$1&lt;=$D14,BY$1+6&gt;=$C14),1,"")</f>
        <v/>
      </c>
      <c r="BZ14" s="7" t="str">
        <f>IF(AND(ISNUMBER($C14),ISNUMBER($D14),BZ$1&lt;=$D14,BZ$1+6&gt;=$C14),1,"")</f>
        <v/>
      </c>
      <c r="CA14" s="7" t="str">
        <f>IF(AND(ISNUMBER($C14),ISNUMBER($D14),CA$1&lt;=$D14,CA$1+6&gt;=$C14),1,"")</f>
        <v/>
      </c>
      <c r="CB14" s="7" t="str">
        <f>IF(AND(ISNUMBER($C14),ISNUMBER($D14),CB$1&lt;=$D14,CB$1+6&gt;=$C14),1,"")</f>
        <v/>
      </c>
      <c r="CC14" s="7" t="str">
        <f>IF(AND(ISNUMBER($C14),ISNUMBER($D14),CC$1&lt;=$D14,CC$1+6&gt;=$C14),1,"")</f>
        <v/>
      </c>
      <c r="CD14" s="7" t="str">
        <f>IF(AND(ISNUMBER($C14),ISNUMBER($D14),CD$1&lt;=$D14,CD$1+6&gt;=$C14),1,"")</f>
        <v/>
      </c>
      <c r="CE14" s="7" t="str">
        <f>IF(AND(ISNUMBER($C14),ISNUMBER($D14),CE$1&lt;=$D14,CE$1+6&gt;=$C14),1,"")</f>
        <v/>
      </c>
      <c r="CF14" s="7" t="str">
        <f>IF(AND(ISNUMBER($C14),ISNUMBER($D14),CF$1&lt;=$D14,CF$1+6&gt;=$C14),1,"")</f>
        <v/>
      </c>
      <c r="CG14" s="7" t="str">
        <f>IF(AND(ISNUMBER($C14),ISNUMBER($D14),CG$1&lt;=$D14,CG$1+6&gt;=$C14),1,"")</f>
        <v/>
      </c>
      <c r="CH14" s="7" t="str">
        <f>IF(AND(ISNUMBER($C14),ISNUMBER($D14),CH$1&lt;=$D14,CH$1+6&gt;=$C14),1,"")</f>
        <v/>
      </c>
      <c r="CI14" s="7" t="str">
        <f>IF(AND(ISNUMBER($C14),ISNUMBER($D14),CI$1&lt;=$D14,CI$1+6&gt;=$C14),1,"")</f>
        <v/>
      </c>
      <c r="CJ14" s="7" t="str">
        <f>IF(AND(ISNUMBER($C14),ISNUMBER($D14),CJ$1&lt;=$D14,CJ$1+6&gt;=$C14),1,"")</f>
        <v/>
      </c>
      <c r="CK14" s="7" t="str">
        <f>IF(AND(ISNUMBER($C14),ISNUMBER($D14),CK$1&lt;=$D14,CK$1+6&gt;=$C14),1,"")</f>
        <v/>
      </c>
      <c r="CL14" s="7" t="str">
        <f>IF(AND(ISNUMBER($C14),ISNUMBER($D14),CL$1&lt;=$D14,CL$1+6&gt;=$C14),1,"")</f>
        <v/>
      </c>
      <c r="CM14" s="7" t="str">
        <f>IF(AND(ISNUMBER($C14),ISNUMBER($D14),CM$1&lt;=$D14,CM$1+6&gt;=$C14),1,"")</f>
        <v/>
      </c>
      <c r="CN14" s="7" t="str">
        <f>IF(AND(ISNUMBER($C14),ISNUMBER($D14),CN$1&lt;=$D14,CN$1+6&gt;=$C14),1,"")</f>
        <v/>
      </c>
      <c r="CO14" s="7" t="str">
        <f>IF(AND(ISNUMBER($C14),ISNUMBER($D14),CO$1&lt;=$D14,CO$1+6&gt;=$C14),1,"")</f>
        <v/>
      </c>
      <c r="CP14" s="7" t="str">
        <f>IF(AND(ISNUMBER($C14),ISNUMBER($D14),CP$1&lt;=$D14,CP$1+6&gt;=$C14),1,"")</f>
        <v/>
      </c>
      <c r="CQ14" s="7" t="str">
        <f>IF(AND(ISNUMBER($C14),ISNUMBER($D14),CQ$1&lt;=$D14,CQ$1+6&gt;=$C14),1,"")</f>
        <v/>
      </c>
      <c r="CR14" s="7" t="str">
        <f>IF(AND(ISNUMBER($C14),ISNUMBER($D14),CR$1&lt;=$D14,CR$1+6&gt;=$C14),1,"")</f>
        <v/>
      </c>
      <c r="CS14" s="7" t="str">
        <f>IF(AND(ISNUMBER($C14),ISNUMBER($D14),CS$1&lt;=$D14,CS$1+6&gt;=$C14),1,"")</f>
        <v/>
      </c>
      <c r="CT14" s="7" t="str">
        <f>IF(AND(ISNUMBER($C14),ISNUMBER($D14),CT$1&lt;=$D14,CT$1+6&gt;=$C14),1,"")</f>
        <v/>
      </c>
      <c r="CU14" s="7" t="str">
        <f>IF(AND(ISNUMBER($C14),ISNUMBER($D14),CU$1&lt;=$D14,CU$1+6&gt;=$C14),1,"")</f>
        <v/>
      </c>
      <c r="CV14" s="7" t="str">
        <f>IF(AND(ISNUMBER($C14),ISNUMBER($D14),CV$1&lt;=$D14,CV$1+6&gt;=$C14),1,"")</f>
        <v/>
      </c>
      <c r="CW14" s="7" t="str">
        <f>IF(AND(ISNUMBER($C14),ISNUMBER($D14),CW$1&lt;=$D14,CW$1+6&gt;=$C14),1,"")</f>
        <v/>
      </c>
      <c r="CX14" s="7" t="str">
        <f>IF(AND(ISNUMBER($C14),ISNUMBER($D14),CX$1&lt;=$D14,CX$1+6&gt;=$C14),1,"")</f>
        <v/>
      </c>
      <c r="CY14" s="7" t="str">
        <f>IF(AND(ISNUMBER($C14),ISNUMBER($D14),CY$1&lt;=$D14,CY$1+6&gt;=$C14),1,"")</f>
        <v/>
      </c>
      <c r="CZ14" s="7" t="str">
        <f>IF(AND(ISNUMBER($C14),ISNUMBER($D14),CZ$1&lt;=$D14,CZ$1+6&gt;=$C14),1,"")</f>
        <v/>
      </c>
      <c r="DA14" s="7" t="str">
        <f>IF(AND(ISNUMBER($C14),ISNUMBER($D14),DA$1&lt;=$D14,DA$1+6&gt;=$C14),1,"")</f>
        <v/>
      </c>
      <c r="DB14" s="7" t="str">
        <f>IF(AND(ISNUMBER($C14),ISNUMBER($D14),DB$1&lt;=$D14,DB$1+6&gt;=$C14),1,"")</f>
        <v/>
      </c>
      <c r="DC14" s="7" t="str">
        <f>IF(AND(ISNUMBER($C14),ISNUMBER($D14),DC$1&lt;=$D14,DC$1+6&gt;=$C14),1,"")</f>
        <v/>
      </c>
      <c r="DD14" s="7" t="str">
        <f>IF(AND(ISNUMBER($C14),ISNUMBER($D14),DD$1&lt;=$D14,DD$1+6&gt;=$C14),1,"")</f>
        <v/>
      </c>
    </row>
    <row r="15" spans="1:108" x14ac:dyDescent="0.35">
      <c r="A15" s="6" t="str">
        <f>Schedule!B15</f>
        <v>Metrics thresholds and experimental reasoning bridge</v>
      </c>
      <c r="B15" s="6" t="str">
        <f>Schedule!C15</f>
        <v>Core</v>
      </c>
      <c r="C15" s="4">
        <f>IF(Schedule!P15="","",Schedule!P15)</f>
        <v>46583</v>
      </c>
      <c r="D15" s="4">
        <f>IF(Schedule!Q15="","",Schedule!Q15)</f>
        <v>46602</v>
      </c>
      <c r="E15" s="7" t="str">
        <f>IF(AND(ISNUMBER($C15),ISNUMBER($D15),E$1&lt;=$D15,E$1+6&gt;=$C15),1,"")</f>
        <v/>
      </c>
      <c r="F15" s="7" t="str">
        <f>IF(AND(ISNUMBER($C15),ISNUMBER($D15),F$1&lt;=$D15,F$1+6&gt;=$C15),1,"")</f>
        <v/>
      </c>
      <c r="G15" s="7" t="str">
        <f>IF(AND(ISNUMBER($C15),ISNUMBER($D15),G$1&lt;=$D15,G$1+6&gt;=$C15),1,"")</f>
        <v/>
      </c>
      <c r="H15" s="7" t="str">
        <f>IF(AND(ISNUMBER($C15),ISNUMBER($D15),H$1&lt;=$D15,H$1+6&gt;=$C15),1,"")</f>
        <v/>
      </c>
      <c r="I15" s="7" t="str">
        <f>IF(AND(ISNUMBER($C15),ISNUMBER($D15),I$1&lt;=$D15,I$1+6&gt;=$C15),1,"")</f>
        <v/>
      </c>
      <c r="J15" s="7" t="str">
        <f>IF(AND(ISNUMBER($C15),ISNUMBER($D15),J$1&lt;=$D15,J$1+6&gt;=$C15),1,"")</f>
        <v/>
      </c>
      <c r="K15" s="7" t="str">
        <f>IF(AND(ISNUMBER($C15),ISNUMBER($D15),K$1&lt;=$D15,K$1+6&gt;=$C15),1,"")</f>
        <v/>
      </c>
      <c r="L15" s="7" t="str">
        <f>IF(AND(ISNUMBER($C15),ISNUMBER($D15),L$1&lt;=$D15,L$1+6&gt;=$C15),1,"")</f>
        <v/>
      </c>
      <c r="M15" s="7" t="str">
        <f>IF(AND(ISNUMBER($C15),ISNUMBER($D15),M$1&lt;=$D15,M$1+6&gt;=$C15),1,"")</f>
        <v/>
      </c>
      <c r="N15" s="7" t="str">
        <f>IF(AND(ISNUMBER($C15),ISNUMBER($D15),N$1&lt;=$D15,N$1+6&gt;=$C15),1,"")</f>
        <v/>
      </c>
      <c r="O15" s="7" t="str">
        <f>IF(AND(ISNUMBER($C15),ISNUMBER($D15),O$1&lt;=$D15,O$1+6&gt;=$C15),1,"")</f>
        <v/>
      </c>
      <c r="P15" s="7" t="str">
        <f>IF(AND(ISNUMBER($C15),ISNUMBER($D15),P$1&lt;=$D15,P$1+6&gt;=$C15),1,"")</f>
        <v/>
      </c>
      <c r="Q15" s="7" t="str">
        <f>IF(AND(ISNUMBER($C15),ISNUMBER($D15),Q$1&lt;=$D15,Q$1+6&gt;=$C15),1,"")</f>
        <v/>
      </c>
      <c r="R15" s="7" t="str">
        <f>IF(AND(ISNUMBER($C15),ISNUMBER($D15),R$1&lt;=$D15,R$1+6&gt;=$C15),1,"")</f>
        <v/>
      </c>
      <c r="S15" s="7" t="str">
        <f>IF(AND(ISNUMBER($C15),ISNUMBER($D15),S$1&lt;=$D15,S$1+6&gt;=$C15),1,"")</f>
        <v/>
      </c>
      <c r="T15" s="7" t="str">
        <f>IF(AND(ISNUMBER($C15),ISNUMBER($D15),T$1&lt;=$D15,T$1+6&gt;=$C15),1,"")</f>
        <v/>
      </c>
      <c r="U15" s="7" t="str">
        <f>IF(AND(ISNUMBER($C15),ISNUMBER($D15),U$1&lt;=$D15,U$1+6&gt;=$C15),1,"")</f>
        <v/>
      </c>
      <c r="V15" s="7" t="str">
        <f>IF(AND(ISNUMBER($C15),ISNUMBER($D15),V$1&lt;=$D15,V$1+6&gt;=$C15),1,"")</f>
        <v/>
      </c>
      <c r="W15" s="7" t="str">
        <f>IF(AND(ISNUMBER($C15),ISNUMBER($D15),W$1&lt;=$D15,W$1+6&gt;=$C15),1,"")</f>
        <v/>
      </c>
      <c r="X15" s="7" t="str">
        <f>IF(AND(ISNUMBER($C15),ISNUMBER($D15),X$1&lt;=$D15,X$1+6&gt;=$C15),1,"")</f>
        <v/>
      </c>
      <c r="Y15" s="7" t="str">
        <f>IF(AND(ISNUMBER($C15),ISNUMBER($D15),Y$1&lt;=$D15,Y$1+6&gt;=$C15),1,"")</f>
        <v/>
      </c>
      <c r="Z15" s="7" t="str">
        <f>IF(AND(ISNUMBER($C15),ISNUMBER($D15),Z$1&lt;=$D15,Z$1+6&gt;=$C15),1,"")</f>
        <v/>
      </c>
      <c r="AA15" s="7" t="str">
        <f>IF(AND(ISNUMBER($C15),ISNUMBER($D15),AA$1&lt;=$D15,AA$1+6&gt;=$C15),1,"")</f>
        <v/>
      </c>
      <c r="AB15" s="7" t="str">
        <f>IF(AND(ISNUMBER($C15),ISNUMBER($D15),AB$1&lt;=$D15,AB$1+6&gt;=$C15),1,"")</f>
        <v/>
      </c>
      <c r="AC15" s="7" t="str">
        <f>IF(AND(ISNUMBER($C15),ISNUMBER($D15),AC$1&lt;=$D15,AC$1+6&gt;=$C15),1,"")</f>
        <v/>
      </c>
      <c r="AD15" s="7" t="str">
        <f>IF(AND(ISNUMBER($C15),ISNUMBER($D15),AD$1&lt;=$D15,AD$1+6&gt;=$C15),1,"")</f>
        <v/>
      </c>
      <c r="AE15" s="7" t="str">
        <f>IF(AND(ISNUMBER($C15),ISNUMBER($D15),AE$1&lt;=$D15,AE$1+6&gt;=$C15),1,"")</f>
        <v/>
      </c>
      <c r="AF15" s="7" t="str">
        <f>IF(AND(ISNUMBER($C15),ISNUMBER($D15),AF$1&lt;=$D15,AF$1+6&gt;=$C15),1,"")</f>
        <v/>
      </c>
      <c r="AG15" s="7" t="str">
        <f>IF(AND(ISNUMBER($C15),ISNUMBER($D15),AG$1&lt;=$D15,AG$1+6&gt;=$C15),1,"")</f>
        <v/>
      </c>
      <c r="AH15" s="7" t="str">
        <f>IF(AND(ISNUMBER($C15),ISNUMBER($D15),AH$1&lt;=$D15,AH$1+6&gt;=$C15),1,"")</f>
        <v/>
      </c>
      <c r="AI15" s="7" t="str">
        <f>IF(AND(ISNUMBER($C15),ISNUMBER($D15),AI$1&lt;=$D15,AI$1+6&gt;=$C15),1,"")</f>
        <v/>
      </c>
      <c r="AJ15" s="7" t="str">
        <f>IF(AND(ISNUMBER($C15),ISNUMBER($D15),AJ$1&lt;=$D15,AJ$1+6&gt;=$C15),1,"")</f>
        <v/>
      </c>
      <c r="AK15" s="7" t="str">
        <f>IF(AND(ISNUMBER($C15),ISNUMBER($D15),AK$1&lt;=$D15,AK$1+6&gt;=$C15),1,"")</f>
        <v/>
      </c>
      <c r="AL15" s="7" t="str">
        <f>IF(AND(ISNUMBER($C15),ISNUMBER($D15),AL$1&lt;=$D15,AL$1+6&gt;=$C15),1,"")</f>
        <v/>
      </c>
      <c r="AM15" s="7" t="str">
        <f>IF(AND(ISNUMBER($C15),ISNUMBER($D15),AM$1&lt;=$D15,AM$1+6&gt;=$C15),1,"")</f>
        <v/>
      </c>
      <c r="AN15" s="7" t="str">
        <f>IF(AND(ISNUMBER($C15),ISNUMBER($D15),AN$1&lt;=$D15,AN$1+6&gt;=$C15),1,"")</f>
        <v/>
      </c>
      <c r="AO15" s="7" t="str">
        <f>IF(AND(ISNUMBER($C15),ISNUMBER($D15),AO$1&lt;=$D15,AO$1+6&gt;=$C15),1,"")</f>
        <v/>
      </c>
      <c r="AP15" s="7">
        <f>IF(AND(ISNUMBER($C15),ISNUMBER($D15),AP$1&lt;=$D15,AP$1+6&gt;=$C15),1,"")</f>
        <v>1</v>
      </c>
      <c r="AQ15" s="7">
        <f>IF(AND(ISNUMBER($C15),ISNUMBER($D15),AQ$1&lt;=$D15,AQ$1+6&gt;=$C15),1,"")</f>
        <v>1</v>
      </c>
      <c r="AR15" s="7">
        <f>IF(AND(ISNUMBER($C15),ISNUMBER($D15),AR$1&lt;=$D15,AR$1+6&gt;=$C15),1,"")</f>
        <v>1</v>
      </c>
      <c r="AS15" s="7">
        <f>IF(AND(ISNUMBER($C15),ISNUMBER($D15),AS$1&lt;=$D15,AS$1+6&gt;=$C15),1,"")</f>
        <v>1</v>
      </c>
      <c r="AT15" s="7" t="str">
        <f>IF(AND(ISNUMBER($C15),ISNUMBER($D15),AT$1&lt;=$D15,AT$1+6&gt;=$C15),1,"")</f>
        <v/>
      </c>
      <c r="AU15" s="7" t="str">
        <f>IF(AND(ISNUMBER($C15),ISNUMBER($D15),AU$1&lt;=$D15,AU$1+6&gt;=$C15),1,"")</f>
        <v/>
      </c>
      <c r="AV15" s="7" t="str">
        <f>IF(AND(ISNUMBER($C15),ISNUMBER($D15),AV$1&lt;=$D15,AV$1+6&gt;=$C15),1,"")</f>
        <v/>
      </c>
      <c r="AW15" s="7" t="str">
        <f>IF(AND(ISNUMBER($C15),ISNUMBER($D15),AW$1&lt;=$D15,AW$1+6&gt;=$C15),1,"")</f>
        <v/>
      </c>
      <c r="AX15" s="7" t="str">
        <f>IF(AND(ISNUMBER($C15),ISNUMBER($D15),AX$1&lt;=$D15,AX$1+6&gt;=$C15),1,"")</f>
        <v/>
      </c>
      <c r="AY15" s="7" t="str">
        <f>IF(AND(ISNUMBER($C15),ISNUMBER($D15),AY$1&lt;=$D15,AY$1+6&gt;=$C15),1,"")</f>
        <v/>
      </c>
      <c r="AZ15" s="7" t="str">
        <f>IF(AND(ISNUMBER($C15),ISNUMBER($D15),AZ$1&lt;=$D15,AZ$1+6&gt;=$C15),1,"")</f>
        <v/>
      </c>
      <c r="BA15" s="7" t="str">
        <f>IF(AND(ISNUMBER($C15),ISNUMBER($D15),BA$1&lt;=$D15,BA$1+6&gt;=$C15),1,"")</f>
        <v/>
      </c>
      <c r="BB15" s="7" t="str">
        <f>IF(AND(ISNUMBER($C15),ISNUMBER($D15),BB$1&lt;=$D15,BB$1+6&gt;=$C15),1,"")</f>
        <v/>
      </c>
      <c r="BC15" s="7" t="str">
        <f>IF(AND(ISNUMBER($C15),ISNUMBER($D15),BC$1&lt;=$D15,BC$1+6&gt;=$C15),1,"")</f>
        <v/>
      </c>
      <c r="BD15" s="7" t="str">
        <f>IF(AND(ISNUMBER($C15),ISNUMBER($D15),BD$1&lt;=$D15,BD$1+6&gt;=$C15),1,"")</f>
        <v/>
      </c>
      <c r="BE15" s="7" t="str">
        <f>IF(AND(ISNUMBER($C15),ISNUMBER($D15),BE$1&lt;=$D15,BE$1+6&gt;=$C15),1,"")</f>
        <v/>
      </c>
      <c r="BF15" s="7" t="str">
        <f>IF(AND(ISNUMBER($C15),ISNUMBER($D15),BF$1&lt;=$D15,BF$1+6&gt;=$C15),1,"")</f>
        <v/>
      </c>
      <c r="BG15" s="7" t="str">
        <f>IF(AND(ISNUMBER($C15),ISNUMBER($D15),BG$1&lt;=$D15,BG$1+6&gt;=$C15),1,"")</f>
        <v/>
      </c>
      <c r="BH15" s="7" t="str">
        <f>IF(AND(ISNUMBER($C15),ISNUMBER($D15),BH$1&lt;=$D15,BH$1+6&gt;=$C15),1,"")</f>
        <v/>
      </c>
      <c r="BI15" s="7" t="str">
        <f>IF(AND(ISNUMBER($C15),ISNUMBER($D15),BI$1&lt;=$D15,BI$1+6&gt;=$C15),1,"")</f>
        <v/>
      </c>
      <c r="BJ15" s="7" t="str">
        <f>IF(AND(ISNUMBER($C15),ISNUMBER($D15),BJ$1&lt;=$D15,BJ$1+6&gt;=$C15),1,"")</f>
        <v/>
      </c>
      <c r="BK15" s="7" t="str">
        <f>IF(AND(ISNUMBER($C15),ISNUMBER($D15),BK$1&lt;=$D15,BK$1+6&gt;=$C15),1,"")</f>
        <v/>
      </c>
      <c r="BL15" s="7" t="str">
        <f>IF(AND(ISNUMBER($C15),ISNUMBER($D15),BL$1&lt;=$D15,BL$1+6&gt;=$C15),1,"")</f>
        <v/>
      </c>
      <c r="BM15" s="7" t="str">
        <f>IF(AND(ISNUMBER($C15),ISNUMBER($D15),BM$1&lt;=$D15,BM$1+6&gt;=$C15),1,"")</f>
        <v/>
      </c>
      <c r="BN15" s="7" t="str">
        <f>IF(AND(ISNUMBER($C15),ISNUMBER($D15),BN$1&lt;=$D15,BN$1+6&gt;=$C15),1,"")</f>
        <v/>
      </c>
      <c r="BO15" s="7" t="str">
        <f>IF(AND(ISNUMBER($C15),ISNUMBER($D15),BO$1&lt;=$D15,BO$1+6&gt;=$C15),1,"")</f>
        <v/>
      </c>
      <c r="BP15" s="7" t="str">
        <f>IF(AND(ISNUMBER($C15),ISNUMBER($D15),BP$1&lt;=$D15,BP$1+6&gt;=$C15),1,"")</f>
        <v/>
      </c>
      <c r="BQ15" s="7" t="str">
        <f>IF(AND(ISNUMBER($C15),ISNUMBER($D15),BQ$1&lt;=$D15,BQ$1+6&gt;=$C15),1,"")</f>
        <v/>
      </c>
      <c r="BR15" s="7" t="str">
        <f>IF(AND(ISNUMBER($C15),ISNUMBER($D15),BR$1&lt;=$D15,BR$1+6&gt;=$C15),1,"")</f>
        <v/>
      </c>
      <c r="BS15" s="7" t="str">
        <f>IF(AND(ISNUMBER($C15),ISNUMBER($D15),BS$1&lt;=$D15,BS$1+6&gt;=$C15),1,"")</f>
        <v/>
      </c>
      <c r="BT15" s="7" t="str">
        <f>IF(AND(ISNUMBER($C15),ISNUMBER($D15),BT$1&lt;=$D15,BT$1+6&gt;=$C15),1,"")</f>
        <v/>
      </c>
      <c r="BU15" s="7" t="str">
        <f>IF(AND(ISNUMBER($C15),ISNUMBER($D15),BU$1&lt;=$D15,BU$1+6&gt;=$C15),1,"")</f>
        <v/>
      </c>
      <c r="BV15" s="7" t="str">
        <f>IF(AND(ISNUMBER($C15),ISNUMBER($D15),BV$1&lt;=$D15,BV$1+6&gt;=$C15),1,"")</f>
        <v/>
      </c>
      <c r="BW15" s="7" t="str">
        <f>IF(AND(ISNUMBER($C15),ISNUMBER($D15),BW$1&lt;=$D15,BW$1+6&gt;=$C15),1,"")</f>
        <v/>
      </c>
      <c r="BX15" s="7" t="str">
        <f>IF(AND(ISNUMBER($C15),ISNUMBER($D15),BX$1&lt;=$D15,BX$1+6&gt;=$C15),1,"")</f>
        <v/>
      </c>
      <c r="BY15" s="7" t="str">
        <f>IF(AND(ISNUMBER($C15),ISNUMBER($D15),BY$1&lt;=$D15,BY$1+6&gt;=$C15),1,"")</f>
        <v/>
      </c>
      <c r="BZ15" s="7" t="str">
        <f>IF(AND(ISNUMBER($C15),ISNUMBER($D15),BZ$1&lt;=$D15,BZ$1+6&gt;=$C15),1,"")</f>
        <v/>
      </c>
      <c r="CA15" s="7" t="str">
        <f>IF(AND(ISNUMBER($C15),ISNUMBER($D15),CA$1&lt;=$D15,CA$1+6&gt;=$C15),1,"")</f>
        <v/>
      </c>
      <c r="CB15" s="7" t="str">
        <f>IF(AND(ISNUMBER($C15),ISNUMBER($D15),CB$1&lt;=$D15,CB$1+6&gt;=$C15),1,"")</f>
        <v/>
      </c>
      <c r="CC15" s="7" t="str">
        <f>IF(AND(ISNUMBER($C15),ISNUMBER($D15),CC$1&lt;=$D15,CC$1+6&gt;=$C15),1,"")</f>
        <v/>
      </c>
      <c r="CD15" s="7" t="str">
        <f>IF(AND(ISNUMBER($C15),ISNUMBER($D15),CD$1&lt;=$D15,CD$1+6&gt;=$C15),1,"")</f>
        <v/>
      </c>
      <c r="CE15" s="7" t="str">
        <f>IF(AND(ISNUMBER($C15),ISNUMBER($D15),CE$1&lt;=$D15,CE$1+6&gt;=$C15),1,"")</f>
        <v/>
      </c>
      <c r="CF15" s="7" t="str">
        <f>IF(AND(ISNUMBER($C15),ISNUMBER($D15),CF$1&lt;=$D15,CF$1+6&gt;=$C15),1,"")</f>
        <v/>
      </c>
      <c r="CG15" s="7" t="str">
        <f>IF(AND(ISNUMBER($C15),ISNUMBER($D15),CG$1&lt;=$D15,CG$1+6&gt;=$C15),1,"")</f>
        <v/>
      </c>
      <c r="CH15" s="7" t="str">
        <f>IF(AND(ISNUMBER($C15),ISNUMBER($D15),CH$1&lt;=$D15,CH$1+6&gt;=$C15),1,"")</f>
        <v/>
      </c>
      <c r="CI15" s="7" t="str">
        <f>IF(AND(ISNUMBER($C15),ISNUMBER($D15),CI$1&lt;=$D15,CI$1+6&gt;=$C15),1,"")</f>
        <v/>
      </c>
      <c r="CJ15" s="7" t="str">
        <f>IF(AND(ISNUMBER($C15),ISNUMBER($D15),CJ$1&lt;=$D15,CJ$1+6&gt;=$C15),1,"")</f>
        <v/>
      </c>
      <c r="CK15" s="7" t="str">
        <f>IF(AND(ISNUMBER($C15),ISNUMBER($D15),CK$1&lt;=$D15,CK$1+6&gt;=$C15),1,"")</f>
        <v/>
      </c>
      <c r="CL15" s="7" t="str">
        <f>IF(AND(ISNUMBER($C15),ISNUMBER($D15),CL$1&lt;=$D15,CL$1+6&gt;=$C15),1,"")</f>
        <v/>
      </c>
      <c r="CM15" s="7" t="str">
        <f>IF(AND(ISNUMBER($C15),ISNUMBER($D15),CM$1&lt;=$D15,CM$1+6&gt;=$C15),1,"")</f>
        <v/>
      </c>
      <c r="CN15" s="7" t="str">
        <f>IF(AND(ISNUMBER($C15),ISNUMBER($D15),CN$1&lt;=$D15,CN$1+6&gt;=$C15),1,"")</f>
        <v/>
      </c>
      <c r="CO15" s="7" t="str">
        <f>IF(AND(ISNUMBER($C15),ISNUMBER($D15),CO$1&lt;=$D15,CO$1+6&gt;=$C15),1,"")</f>
        <v/>
      </c>
      <c r="CP15" s="7" t="str">
        <f>IF(AND(ISNUMBER($C15),ISNUMBER($D15),CP$1&lt;=$D15,CP$1+6&gt;=$C15),1,"")</f>
        <v/>
      </c>
      <c r="CQ15" s="7" t="str">
        <f>IF(AND(ISNUMBER($C15),ISNUMBER($D15),CQ$1&lt;=$D15,CQ$1+6&gt;=$C15),1,"")</f>
        <v/>
      </c>
      <c r="CR15" s="7" t="str">
        <f>IF(AND(ISNUMBER($C15),ISNUMBER($D15),CR$1&lt;=$D15,CR$1+6&gt;=$C15),1,"")</f>
        <v/>
      </c>
      <c r="CS15" s="7" t="str">
        <f>IF(AND(ISNUMBER($C15),ISNUMBER($D15),CS$1&lt;=$D15,CS$1+6&gt;=$C15),1,"")</f>
        <v/>
      </c>
      <c r="CT15" s="7" t="str">
        <f>IF(AND(ISNUMBER($C15),ISNUMBER($D15),CT$1&lt;=$D15,CT$1+6&gt;=$C15),1,"")</f>
        <v/>
      </c>
      <c r="CU15" s="7" t="str">
        <f>IF(AND(ISNUMBER($C15),ISNUMBER($D15),CU$1&lt;=$D15,CU$1+6&gt;=$C15),1,"")</f>
        <v/>
      </c>
      <c r="CV15" s="7" t="str">
        <f>IF(AND(ISNUMBER($C15),ISNUMBER($D15),CV$1&lt;=$D15,CV$1+6&gt;=$C15),1,"")</f>
        <v/>
      </c>
      <c r="CW15" s="7" t="str">
        <f>IF(AND(ISNUMBER($C15),ISNUMBER($D15),CW$1&lt;=$D15,CW$1+6&gt;=$C15),1,"")</f>
        <v/>
      </c>
      <c r="CX15" s="7" t="str">
        <f>IF(AND(ISNUMBER($C15),ISNUMBER($D15),CX$1&lt;=$D15,CX$1+6&gt;=$C15),1,"")</f>
        <v/>
      </c>
      <c r="CY15" s="7" t="str">
        <f>IF(AND(ISNUMBER($C15),ISNUMBER($D15),CY$1&lt;=$D15,CY$1+6&gt;=$C15),1,"")</f>
        <v/>
      </c>
      <c r="CZ15" s="7" t="str">
        <f>IF(AND(ISNUMBER($C15),ISNUMBER($D15),CZ$1&lt;=$D15,CZ$1+6&gt;=$C15),1,"")</f>
        <v/>
      </c>
      <c r="DA15" s="7" t="str">
        <f>IF(AND(ISNUMBER($C15),ISNUMBER($D15),DA$1&lt;=$D15,DA$1+6&gt;=$C15),1,"")</f>
        <v/>
      </c>
      <c r="DB15" s="7" t="str">
        <f>IF(AND(ISNUMBER($C15),ISNUMBER($D15),DB$1&lt;=$D15,DB$1+6&gt;=$C15),1,"")</f>
        <v/>
      </c>
      <c r="DC15" s="7" t="str">
        <f>IF(AND(ISNUMBER($C15),ISNUMBER($D15),DC$1&lt;=$D15,DC$1+6&gt;=$C15),1,"")</f>
        <v/>
      </c>
      <c r="DD15" s="7" t="str">
        <f>IF(AND(ISNUMBER($C15),ISNUMBER($D15),DD$1&lt;=$D15,DD$1+6&gt;=$C15),1,"")</f>
        <v/>
      </c>
    </row>
    <row r="16" spans="1:108" x14ac:dyDescent="0.35">
      <c r="A16" s="6" t="str">
        <f>Schedule!B16</f>
        <v>LLM behavior and model selection</v>
      </c>
      <c r="B16" s="6" t="str">
        <f>Schedule!C16</f>
        <v>Core</v>
      </c>
      <c r="C16" s="4">
        <f>IF(Schedule!P16="","",Schedule!P16)</f>
        <v>46602</v>
      </c>
      <c r="D16" s="4">
        <f>IF(Schedule!Q16="","",Schedule!Q16)</f>
        <v>46619</v>
      </c>
      <c r="E16" s="7" t="str">
        <f>IF(AND(ISNUMBER($C16),ISNUMBER($D16),E$1&lt;=$D16,E$1+6&gt;=$C16),1,"")</f>
        <v/>
      </c>
      <c r="F16" s="7" t="str">
        <f>IF(AND(ISNUMBER($C16),ISNUMBER($D16),F$1&lt;=$D16,F$1+6&gt;=$C16),1,"")</f>
        <v/>
      </c>
      <c r="G16" s="7" t="str">
        <f>IF(AND(ISNUMBER($C16),ISNUMBER($D16),G$1&lt;=$D16,G$1+6&gt;=$C16),1,"")</f>
        <v/>
      </c>
      <c r="H16" s="7" t="str">
        <f>IF(AND(ISNUMBER($C16),ISNUMBER($D16),H$1&lt;=$D16,H$1+6&gt;=$C16),1,"")</f>
        <v/>
      </c>
      <c r="I16" s="7" t="str">
        <f>IF(AND(ISNUMBER($C16),ISNUMBER($D16),I$1&lt;=$D16,I$1+6&gt;=$C16),1,"")</f>
        <v/>
      </c>
      <c r="J16" s="7" t="str">
        <f>IF(AND(ISNUMBER($C16),ISNUMBER($D16),J$1&lt;=$D16,J$1+6&gt;=$C16),1,"")</f>
        <v/>
      </c>
      <c r="K16" s="7" t="str">
        <f>IF(AND(ISNUMBER($C16),ISNUMBER($D16),K$1&lt;=$D16,K$1+6&gt;=$C16),1,"")</f>
        <v/>
      </c>
      <c r="L16" s="7" t="str">
        <f>IF(AND(ISNUMBER($C16),ISNUMBER($D16),L$1&lt;=$D16,L$1+6&gt;=$C16),1,"")</f>
        <v/>
      </c>
      <c r="M16" s="7" t="str">
        <f>IF(AND(ISNUMBER($C16),ISNUMBER($D16),M$1&lt;=$D16,M$1+6&gt;=$C16),1,"")</f>
        <v/>
      </c>
      <c r="N16" s="7" t="str">
        <f>IF(AND(ISNUMBER($C16),ISNUMBER($D16),N$1&lt;=$D16,N$1+6&gt;=$C16),1,"")</f>
        <v/>
      </c>
      <c r="O16" s="7" t="str">
        <f>IF(AND(ISNUMBER($C16),ISNUMBER($D16),O$1&lt;=$D16,O$1+6&gt;=$C16),1,"")</f>
        <v/>
      </c>
      <c r="P16" s="7" t="str">
        <f>IF(AND(ISNUMBER($C16),ISNUMBER($D16),P$1&lt;=$D16,P$1+6&gt;=$C16),1,"")</f>
        <v/>
      </c>
      <c r="Q16" s="7" t="str">
        <f>IF(AND(ISNUMBER($C16),ISNUMBER($D16),Q$1&lt;=$D16,Q$1+6&gt;=$C16),1,"")</f>
        <v/>
      </c>
      <c r="R16" s="7" t="str">
        <f>IF(AND(ISNUMBER($C16),ISNUMBER($D16),R$1&lt;=$D16,R$1+6&gt;=$C16),1,"")</f>
        <v/>
      </c>
      <c r="S16" s="7" t="str">
        <f>IF(AND(ISNUMBER($C16),ISNUMBER($D16),S$1&lt;=$D16,S$1+6&gt;=$C16),1,"")</f>
        <v/>
      </c>
      <c r="T16" s="7" t="str">
        <f>IF(AND(ISNUMBER($C16),ISNUMBER($D16),T$1&lt;=$D16,T$1+6&gt;=$C16),1,"")</f>
        <v/>
      </c>
      <c r="U16" s="7" t="str">
        <f>IF(AND(ISNUMBER($C16),ISNUMBER($D16),U$1&lt;=$D16,U$1+6&gt;=$C16),1,"")</f>
        <v/>
      </c>
      <c r="V16" s="7" t="str">
        <f>IF(AND(ISNUMBER($C16),ISNUMBER($D16),V$1&lt;=$D16,V$1+6&gt;=$C16),1,"")</f>
        <v/>
      </c>
      <c r="W16" s="7" t="str">
        <f>IF(AND(ISNUMBER($C16),ISNUMBER($D16),W$1&lt;=$D16,W$1+6&gt;=$C16),1,"")</f>
        <v/>
      </c>
      <c r="X16" s="7" t="str">
        <f>IF(AND(ISNUMBER($C16),ISNUMBER($D16),X$1&lt;=$D16,X$1+6&gt;=$C16),1,"")</f>
        <v/>
      </c>
      <c r="Y16" s="7" t="str">
        <f>IF(AND(ISNUMBER($C16),ISNUMBER($D16),Y$1&lt;=$D16,Y$1+6&gt;=$C16),1,"")</f>
        <v/>
      </c>
      <c r="Z16" s="7" t="str">
        <f>IF(AND(ISNUMBER($C16),ISNUMBER($D16),Z$1&lt;=$D16,Z$1+6&gt;=$C16),1,"")</f>
        <v/>
      </c>
      <c r="AA16" s="7" t="str">
        <f>IF(AND(ISNUMBER($C16),ISNUMBER($D16),AA$1&lt;=$D16,AA$1+6&gt;=$C16),1,"")</f>
        <v/>
      </c>
      <c r="AB16" s="7" t="str">
        <f>IF(AND(ISNUMBER($C16),ISNUMBER($D16),AB$1&lt;=$D16,AB$1+6&gt;=$C16),1,"")</f>
        <v/>
      </c>
      <c r="AC16" s="7" t="str">
        <f>IF(AND(ISNUMBER($C16),ISNUMBER($D16),AC$1&lt;=$D16,AC$1+6&gt;=$C16),1,"")</f>
        <v/>
      </c>
      <c r="AD16" s="7" t="str">
        <f>IF(AND(ISNUMBER($C16),ISNUMBER($D16),AD$1&lt;=$D16,AD$1+6&gt;=$C16),1,"")</f>
        <v/>
      </c>
      <c r="AE16" s="7" t="str">
        <f>IF(AND(ISNUMBER($C16),ISNUMBER($D16),AE$1&lt;=$D16,AE$1+6&gt;=$C16),1,"")</f>
        <v/>
      </c>
      <c r="AF16" s="7" t="str">
        <f>IF(AND(ISNUMBER($C16),ISNUMBER($D16),AF$1&lt;=$D16,AF$1+6&gt;=$C16),1,"")</f>
        <v/>
      </c>
      <c r="AG16" s="7" t="str">
        <f>IF(AND(ISNUMBER($C16),ISNUMBER($D16),AG$1&lt;=$D16,AG$1+6&gt;=$C16),1,"")</f>
        <v/>
      </c>
      <c r="AH16" s="7" t="str">
        <f>IF(AND(ISNUMBER($C16),ISNUMBER($D16),AH$1&lt;=$D16,AH$1+6&gt;=$C16),1,"")</f>
        <v/>
      </c>
      <c r="AI16" s="7" t="str">
        <f>IF(AND(ISNUMBER($C16),ISNUMBER($D16),AI$1&lt;=$D16,AI$1+6&gt;=$C16),1,"")</f>
        <v/>
      </c>
      <c r="AJ16" s="7" t="str">
        <f>IF(AND(ISNUMBER($C16),ISNUMBER($D16),AJ$1&lt;=$D16,AJ$1+6&gt;=$C16),1,"")</f>
        <v/>
      </c>
      <c r="AK16" s="7" t="str">
        <f>IF(AND(ISNUMBER($C16),ISNUMBER($D16),AK$1&lt;=$D16,AK$1+6&gt;=$C16),1,"")</f>
        <v/>
      </c>
      <c r="AL16" s="7" t="str">
        <f>IF(AND(ISNUMBER($C16),ISNUMBER($D16),AL$1&lt;=$D16,AL$1+6&gt;=$C16),1,"")</f>
        <v/>
      </c>
      <c r="AM16" s="7" t="str">
        <f>IF(AND(ISNUMBER($C16),ISNUMBER($D16),AM$1&lt;=$D16,AM$1+6&gt;=$C16),1,"")</f>
        <v/>
      </c>
      <c r="AN16" s="7" t="str">
        <f>IF(AND(ISNUMBER($C16),ISNUMBER($D16),AN$1&lt;=$D16,AN$1+6&gt;=$C16),1,"")</f>
        <v/>
      </c>
      <c r="AO16" s="7" t="str">
        <f>IF(AND(ISNUMBER($C16),ISNUMBER($D16),AO$1&lt;=$D16,AO$1+6&gt;=$C16),1,"")</f>
        <v/>
      </c>
      <c r="AP16" s="7" t="str">
        <f>IF(AND(ISNUMBER($C16),ISNUMBER($D16),AP$1&lt;=$D16,AP$1+6&gt;=$C16),1,"")</f>
        <v/>
      </c>
      <c r="AQ16" s="7" t="str">
        <f>IF(AND(ISNUMBER($C16),ISNUMBER($D16),AQ$1&lt;=$D16,AQ$1+6&gt;=$C16),1,"")</f>
        <v/>
      </c>
      <c r="AR16" s="7" t="str">
        <f>IF(AND(ISNUMBER($C16),ISNUMBER($D16),AR$1&lt;=$D16,AR$1+6&gt;=$C16),1,"")</f>
        <v/>
      </c>
      <c r="AS16" s="7">
        <f>IF(AND(ISNUMBER($C16),ISNUMBER($D16),AS$1&lt;=$D16,AS$1+6&gt;=$C16),1,"")</f>
        <v>1</v>
      </c>
      <c r="AT16" s="7">
        <f>IF(AND(ISNUMBER($C16),ISNUMBER($D16),AT$1&lt;=$D16,AT$1+6&gt;=$C16),1,"")</f>
        <v>1</v>
      </c>
      <c r="AU16" s="7">
        <f>IF(AND(ISNUMBER($C16),ISNUMBER($D16),AU$1&lt;=$D16,AU$1+6&gt;=$C16),1,"")</f>
        <v>1</v>
      </c>
      <c r="AV16" s="7">
        <f>IF(AND(ISNUMBER($C16),ISNUMBER($D16),AV$1&lt;=$D16,AV$1+6&gt;=$C16),1,"")</f>
        <v>1</v>
      </c>
      <c r="AW16" s="7" t="str">
        <f>IF(AND(ISNUMBER($C16),ISNUMBER($D16),AW$1&lt;=$D16,AW$1+6&gt;=$C16),1,"")</f>
        <v/>
      </c>
      <c r="AX16" s="7" t="str">
        <f>IF(AND(ISNUMBER($C16),ISNUMBER($D16),AX$1&lt;=$D16,AX$1+6&gt;=$C16),1,"")</f>
        <v/>
      </c>
      <c r="AY16" s="7" t="str">
        <f>IF(AND(ISNUMBER($C16),ISNUMBER($D16),AY$1&lt;=$D16,AY$1+6&gt;=$C16),1,"")</f>
        <v/>
      </c>
      <c r="AZ16" s="7" t="str">
        <f>IF(AND(ISNUMBER($C16),ISNUMBER($D16),AZ$1&lt;=$D16,AZ$1+6&gt;=$C16),1,"")</f>
        <v/>
      </c>
      <c r="BA16" s="7" t="str">
        <f>IF(AND(ISNUMBER($C16),ISNUMBER($D16),BA$1&lt;=$D16,BA$1+6&gt;=$C16),1,"")</f>
        <v/>
      </c>
      <c r="BB16" s="7" t="str">
        <f>IF(AND(ISNUMBER($C16),ISNUMBER($D16),BB$1&lt;=$D16,BB$1+6&gt;=$C16),1,"")</f>
        <v/>
      </c>
      <c r="BC16" s="7" t="str">
        <f>IF(AND(ISNUMBER($C16),ISNUMBER($D16),BC$1&lt;=$D16,BC$1+6&gt;=$C16),1,"")</f>
        <v/>
      </c>
      <c r="BD16" s="7" t="str">
        <f>IF(AND(ISNUMBER($C16),ISNUMBER($D16),BD$1&lt;=$D16,BD$1+6&gt;=$C16),1,"")</f>
        <v/>
      </c>
      <c r="BE16" s="7" t="str">
        <f>IF(AND(ISNUMBER($C16),ISNUMBER($D16),BE$1&lt;=$D16,BE$1+6&gt;=$C16),1,"")</f>
        <v/>
      </c>
      <c r="BF16" s="7" t="str">
        <f>IF(AND(ISNUMBER($C16),ISNUMBER($D16),BF$1&lt;=$D16,BF$1+6&gt;=$C16),1,"")</f>
        <v/>
      </c>
      <c r="BG16" s="7" t="str">
        <f>IF(AND(ISNUMBER($C16),ISNUMBER($D16),BG$1&lt;=$D16,BG$1+6&gt;=$C16),1,"")</f>
        <v/>
      </c>
      <c r="BH16" s="7" t="str">
        <f>IF(AND(ISNUMBER($C16),ISNUMBER($D16),BH$1&lt;=$D16,BH$1+6&gt;=$C16),1,"")</f>
        <v/>
      </c>
      <c r="BI16" s="7" t="str">
        <f>IF(AND(ISNUMBER($C16),ISNUMBER($D16),BI$1&lt;=$D16,BI$1+6&gt;=$C16),1,"")</f>
        <v/>
      </c>
      <c r="BJ16" s="7" t="str">
        <f>IF(AND(ISNUMBER($C16),ISNUMBER($D16),BJ$1&lt;=$D16,BJ$1+6&gt;=$C16),1,"")</f>
        <v/>
      </c>
      <c r="BK16" s="7" t="str">
        <f>IF(AND(ISNUMBER($C16),ISNUMBER($D16),BK$1&lt;=$D16,BK$1+6&gt;=$C16),1,"")</f>
        <v/>
      </c>
      <c r="BL16" s="7" t="str">
        <f>IF(AND(ISNUMBER($C16),ISNUMBER($D16),BL$1&lt;=$D16,BL$1+6&gt;=$C16),1,"")</f>
        <v/>
      </c>
      <c r="BM16" s="7" t="str">
        <f>IF(AND(ISNUMBER($C16),ISNUMBER($D16),BM$1&lt;=$D16,BM$1+6&gt;=$C16),1,"")</f>
        <v/>
      </c>
      <c r="BN16" s="7" t="str">
        <f>IF(AND(ISNUMBER($C16),ISNUMBER($D16),BN$1&lt;=$D16,BN$1+6&gt;=$C16),1,"")</f>
        <v/>
      </c>
      <c r="BO16" s="7" t="str">
        <f>IF(AND(ISNUMBER($C16),ISNUMBER($D16),BO$1&lt;=$D16,BO$1+6&gt;=$C16),1,"")</f>
        <v/>
      </c>
      <c r="BP16" s="7" t="str">
        <f>IF(AND(ISNUMBER($C16),ISNUMBER($D16),BP$1&lt;=$D16,BP$1+6&gt;=$C16),1,"")</f>
        <v/>
      </c>
      <c r="BQ16" s="7" t="str">
        <f>IF(AND(ISNUMBER($C16),ISNUMBER($D16),BQ$1&lt;=$D16,BQ$1+6&gt;=$C16),1,"")</f>
        <v/>
      </c>
      <c r="BR16" s="7" t="str">
        <f>IF(AND(ISNUMBER($C16),ISNUMBER($D16),BR$1&lt;=$D16,BR$1+6&gt;=$C16),1,"")</f>
        <v/>
      </c>
      <c r="BS16" s="7" t="str">
        <f>IF(AND(ISNUMBER($C16),ISNUMBER($D16),BS$1&lt;=$D16,BS$1+6&gt;=$C16),1,"")</f>
        <v/>
      </c>
      <c r="BT16" s="7" t="str">
        <f>IF(AND(ISNUMBER($C16),ISNUMBER($D16),BT$1&lt;=$D16,BT$1+6&gt;=$C16),1,"")</f>
        <v/>
      </c>
      <c r="BU16" s="7" t="str">
        <f>IF(AND(ISNUMBER($C16),ISNUMBER($D16),BU$1&lt;=$D16,BU$1+6&gt;=$C16),1,"")</f>
        <v/>
      </c>
      <c r="BV16" s="7" t="str">
        <f>IF(AND(ISNUMBER($C16),ISNUMBER($D16),BV$1&lt;=$D16,BV$1+6&gt;=$C16),1,"")</f>
        <v/>
      </c>
      <c r="BW16" s="7" t="str">
        <f>IF(AND(ISNUMBER($C16),ISNUMBER($D16),BW$1&lt;=$D16,BW$1+6&gt;=$C16),1,"")</f>
        <v/>
      </c>
      <c r="BX16" s="7" t="str">
        <f>IF(AND(ISNUMBER($C16),ISNUMBER($D16),BX$1&lt;=$D16,BX$1+6&gt;=$C16),1,"")</f>
        <v/>
      </c>
      <c r="BY16" s="7" t="str">
        <f>IF(AND(ISNUMBER($C16),ISNUMBER($D16),BY$1&lt;=$D16,BY$1+6&gt;=$C16),1,"")</f>
        <v/>
      </c>
      <c r="BZ16" s="7" t="str">
        <f>IF(AND(ISNUMBER($C16),ISNUMBER($D16),BZ$1&lt;=$D16,BZ$1+6&gt;=$C16),1,"")</f>
        <v/>
      </c>
      <c r="CA16" s="7" t="str">
        <f>IF(AND(ISNUMBER($C16),ISNUMBER($D16),CA$1&lt;=$D16,CA$1+6&gt;=$C16),1,"")</f>
        <v/>
      </c>
      <c r="CB16" s="7" t="str">
        <f>IF(AND(ISNUMBER($C16),ISNUMBER($D16),CB$1&lt;=$D16,CB$1+6&gt;=$C16),1,"")</f>
        <v/>
      </c>
      <c r="CC16" s="7" t="str">
        <f>IF(AND(ISNUMBER($C16),ISNUMBER($D16),CC$1&lt;=$D16,CC$1+6&gt;=$C16),1,"")</f>
        <v/>
      </c>
      <c r="CD16" s="7" t="str">
        <f>IF(AND(ISNUMBER($C16),ISNUMBER($D16),CD$1&lt;=$D16,CD$1+6&gt;=$C16),1,"")</f>
        <v/>
      </c>
      <c r="CE16" s="7" t="str">
        <f>IF(AND(ISNUMBER($C16),ISNUMBER($D16),CE$1&lt;=$D16,CE$1+6&gt;=$C16),1,"")</f>
        <v/>
      </c>
      <c r="CF16" s="7" t="str">
        <f>IF(AND(ISNUMBER($C16),ISNUMBER($D16),CF$1&lt;=$D16,CF$1+6&gt;=$C16),1,"")</f>
        <v/>
      </c>
      <c r="CG16" s="7" t="str">
        <f>IF(AND(ISNUMBER($C16),ISNUMBER($D16),CG$1&lt;=$D16,CG$1+6&gt;=$C16),1,"")</f>
        <v/>
      </c>
      <c r="CH16" s="7" t="str">
        <f>IF(AND(ISNUMBER($C16),ISNUMBER($D16),CH$1&lt;=$D16,CH$1+6&gt;=$C16),1,"")</f>
        <v/>
      </c>
      <c r="CI16" s="7" t="str">
        <f>IF(AND(ISNUMBER($C16),ISNUMBER($D16),CI$1&lt;=$D16,CI$1+6&gt;=$C16),1,"")</f>
        <v/>
      </c>
      <c r="CJ16" s="7" t="str">
        <f>IF(AND(ISNUMBER($C16),ISNUMBER($D16),CJ$1&lt;=$D16,CJ$1+6&gt;=$C16),1,"")</f>
        <v/>
      </c>
      <c r="CK16" s="7" t="str">
        <f>IF(AND(ISNUMBER($C16),ISNUMBER($D16),CK$1&lt;=$D16,CK$1+6&gt;=$C16),1,"")</f>
        <v/>
      </c>
      <c r="CL16" s="7" t="str">
        <f>IF(AND(ISNUMBER($C16),ISNUMBER($D16),CL$1&lt;=$D16,CL$1+6&gt;=$C16),1,"")</f>
        <v/>
      </c>
      <c r="CM16" s="7" t="str">
        <f>IF(AND(ISNUMBER($C16),ISNUMBER($D16),CM$1&lt;=$D16,CM$1+6&gt;=$C16),1,"")</f>
        <v/>
      </c>
      <c r="CN16" s="7" t="str">
        <f>IF(AND(ISNUMBER($C16),ISNUMBER($D16),CN$1&lt;=$D16,CN$1+6&gt;=$C16),1,"")</f>
        <v/>
      </c>
      <c r="CO16" s="7" t="str">
        <f>IF(AND(ISNUMBER($C16),ISNUMBER($D16),CO$1&lt;=$D16,CO$1+6&gt;=$C16),1,"")</f>
        <v/>
      </c>
      <c r="CP16" s="7" t="str">
        <f>IF(AND(ISNUMBER($C16),ISNUMBER($D16),CP$1&lt;=$D16,CP$1+6&gt;=$C16),1,"")</f>
        <v/>
      </c>
      <c r="CQ16" s="7" t="str">
        <f>IF(AND(ISNUMBER($C16),ISNUMBER($D16),CQ$1&lt;=$D16,CQ$1+6&gt;=$C16),1,"")</f>
        <v/>
      </c>
      <c r="CR16" s="7" t="str">
        <f>IF(AND(ISNUMBER($C16),ISNUMBER($D16),CR$1&lt;=$D16,CR$1+6&gt;=$C16),1,"")</f>
        <v/>
      </c>
      <c r="CS16" s="7" t="str">
        <f>IF(AND(ISNUMBER($C16),ISNUMBER($D16),CS$1&lt;=$D16,CS$1+6&gt;=$C16),1,"")</f>
        <v/>
      </c>
      <c r="CT16" s="7" t="str">
        <f>IF(AND(ISNUMBER($C16),ISNUMBER($D16),CT$1&lt;=$D16,CT$1+6&gt;=$C16),1,"")</f>
        <v/>
      </c>
      <c r="CU16" s="7" t="str">
        <f>IF(AND(ISNUMBER($C16),ISNUMBER($D16),CU$1&lt;=$D16,CU$1+6&gt;=$C16),1,"")</f>
        <v/>
      </c>
      <c r="CV16" s="7" t="str">
        <f>IF(AND(ISNUMBER($C16),ISNUMBER($D16),CV$1&lt;=$D16,CV$1+6&gt;=$C16),1,"")</f>
        <v/>
      </c>
      <c r="CW16" s="7" t="str">
        <f>IF(AND(ISNUMBER($C16),ISNUMBER($D16),CW$1&lt;=$D16,CW$1+6&gt;=$C16),1,"")</f>
        <v/>
      </c>
      <c r="CX16" s="7" t="str">
        <f>IF(AND(ISNUMBER($C16),ISNUMBER($D16),CX$1&lt;=$D16,CX$1+6&gt;=$C16),1,"")</f>
        <v/>
      </c>
      <c r="CY16" s="7" t="str">
        <f>IF(AND(ISNUMBER($C16),ISNUMBER($D16),CY$1&lt;=$D16,CY$1+6&gt;=$C16),1,"")</f>
        <v/>
      </c>
      <c r="CZ16" s="7" t="str">
        <f>IF(AND(ISNUMBER($C16),ISNUMBER($D16),CZ$1&lt;=$D16,CZ$1+6&gt;=$C16),1,"")</f>
        <v/>
      </c>
      <c r="DA16" s="7" t="str">
        <f>IF(AND(ISNUMBER($C16),ISNUMBER($D16),DA$1&lt;=$D16,DA$1+6&gt;=$C16),1,"")</f>
        <v/>
      </c>
      <c r="DB16" s="7" t="str">
        <f>IF(AND(ISNUMBER($C16),ISNUMBER($D16),DB$1&lt;=$D16,DB$1+6&gt;=$C16),1,"")</f>
        <v/>
      </c>
      <c r="DC16" s="7" t="str">
        <f>IF(AND(ISNUMBER($C16),ISNUMBER($D16),DC$1&lt;=$D16,DC$1+6&gt;=$C16),1,"")</f>
        <v/>
      </c>
      <c r="DD16" s="7" t="str">
        <f>IF(AND(ISNUMBER($C16),ISNUMBER($D16),DD$1&lt;=$D16,DD$1+6&gt;=$C16),1,"")</f>
        <v/>
      </c>
    </row>
    <row r="17" spans="1:108" x14ac:dyDescent="0.35">
      <c r="A17" s="6" t="str">
        <f>Schedule!B17</f>
        <v>Prompt context and prompt lifecycle</v>
      </c>
      <c r="B17" s="6" t="str">
        <f>Schedule!C17</f>
        <v>Core</v>
      </c>
      <c r="C17" s="4">
        <f>IF(Schedule!P17="","",Schedule!P17)</f>
        <v>46619</v>
      </c>
      <c r="D17" s="4">
        <f>IF(Schedule!Q17="","",Schedule!Q17)</f>
        <v>46640</v>
      </c>
      <c r="E17" s="7" t="str">
        <f>IF(AND(ISNUMBER($C17),ISNUMBER($D17),E$1&lt;=$D17,E$1+6&gt;=$C17),1,"")</f>
        <v/>
      </c>
      <c r="F17" s="7" t="str">
        <f>IF(AND(ISNUMBER($C17),ISNUMBER($D17),F$1&lt;=$D17,F$1+6&gt;=$C17),1,"")</f>
        <v/>
      </c>
      <c r="G17" s="7" t="str">
        <f>IF(AND(ISNUMBER($C17),ISNUMBER($D17),G$1&lt;=$D17,G$1+6&gt;=$C17),1,"")</f>
        <v/>
      </c>
      <c r="H17" s="7" t="str">
        <f>IF(AND(ISNUMBER($C17),ISNUMBER($D17),H$1&lt;=$D17,H$1+6&gt;=$C17),1,"")</f>
        <v/>
      </c>
      <c r="I17" s="7" t="str">
        <f>IF(AND(ISNUMBER($C17),ISNUMBER($D17),I$1&lt;=$D17,I$1+6&gt;=$C17),1,"")</f>
        <v/>
      </c>
      <c r="J17" s="7" t="str">
        <f>IF(AND(ISNUMBER($C17),ISNUMBER($D17),J$1&lt;=$D17,J$1+6&gt;=$C17),1,"")</f>
        <v/>
      </c>
      <c r="K17" s="7" t="str">
        <f>IF(AND(ISNUMBER($C17),ISNUMBER($D17),K$1&lt;=$D17,K$1+6&gt;=$C17),1,"")</f>
        <v/>
      </c>
      <c r="L17" s="7" t="str">
        <f>IF(AND(ISNUMBER($C17),ISNUMBER($D17),L$1&lt;=$D17,L$1+6&gt;=$C17),1,"")</f>
        <v/>
      </c>
      <c r="M17" s="7" t="str">
        <f>IF(AND(ISNUMBER($C17),ISNUMBER($D17),M$1&lt;=$D17,M$1+6&gt;=$C17),1,"")</f>
        <v/>
      </c>
      <c r="N17" s="7" t="str">
        <f>IF(AND(ISNUMBER($C17),ISNUMBER($D17),N$1&lt;=$D17,N$1+6&gt;=$C17),1,"")</f>
        <v/>
      </c>
      <c r="O17" s="7" t="str">
        <f>IF(AND(ISNUMBER($C17),ISNUMBER($D17),O$1&lt;=$D17,O$1+6&gt;=$C17),1,"")</f>
        <v/>
      </c>
      <c r="P17" s="7" t="str">
        <f>IF(AND(ISNUMBER($C17),ISNUMBER($D17),P$1&lt;=$D17,P$1+6&gt;=$C17),1,"")</f>
        <v/>
      </c>
      <c r="Q17" s="7" t="str">
        <f>IF(AND(ISNUMBER($C17),ISNUMBER($D17),Q$1&lt;=$D17,Q$1+6&gt;=$C17),1,"")</f>
        <v/>
      </c>
      <c r="R17" s="7" t="str">
        <f>IF(AND(ISNUMBER($C17),ISNUMBER($D17),R$1&lt;=$D17,R$1+6&gt;=$C17),1,"")</f>
        <v/>
      </c>
      <c r="S17" s="7" t="str">
        <f>IF(AND(ISNUMBER($C17),ISNUMBER($D17),S$1&lt;=$D17,S$1+6&gt;=$C17),1,"")</f>
        <v/>
      </c>
      <c r="T17" s="7" t="str">
        <f>IF(AND(ISNUMBER($C17),ISNUMBER($D17),T$1&lt;=$D17,T$1+6&gt;=$C17),1,"")</f>
        <v/>
      </c>
      <c r="U17" s="7" t="str">
        <f>IF(AND(ISNUMBER($C17),ISNUMBER($D17),U$1&lt;=$D17,U$1+6&gt;=$C17),1,"")</f>
        <v/>
      </c>
      <c r="V17" s="7" t="str">
        <f>IF(AND(ISNUMBER($C17),ISNUMBER($D17),V$1&lt;=$D17,V$1+6&gt;=$C17),1,"")</f>
        <v/>
      </c>
      <c r="W17" s="7" t="str">
        <f>IF(AND(ISNUMBER($C17),ISNUMBER($D17),W$1&lt;=$D17,W$1+6&gt;=$C17),1,"")</f>
        <v/>
      </c>
      <c r="X17" s="7" t="str">
        <f>IF(AND(ISNUMBER($C17),ISNUMBER($D17),X$1&lt;=$D17,X$1+6&gt;=$C17),1,"")</f>
        <v/>
      </c>
      <c r="Y17" s="7" t="str">
        <f>IF(AND(ISNUMBER($C17),ISNUMBER($D17),Y$1&lt;=$D17,Y$1+6&gt;=$C17),1,"")</f>
        <v/>
      </c>
      <c r="Z17" s="7" t="str">
        <f>IF(AND(ISNUMBER($C17),ISNUMBER($D17),Z$1&lt;=$D17,Z$1+6&gt;=$C17),1,"")</f>
        <v/>
      </c>
      <c r="AA17" s="7" t="str">
        <f>IF(AND(ISNUMBER($C17),ISNUMBER($D17),AA$1&lt;=$D17,AA$1+6&gt;=$C17),1,"")</f>
        <v/>
      </c>
      <c r="AB17" s="7" t="str">
        <f>IF(AND(ISNUMBER($C17),ISNUMBER($D17),AB$1&lt;=$D17,AB$1+6&gt;=$C17),1,"")</f>
        <v/>
      </c>
      <c r="AC17" s="7" t="str">
        <f>IF(AND(ISNUMBER($C17),ISNUMBER($D17),AC$1&lt;=$D17,AC$1+6&gt;=$C17),1,"")</f>
        <v/>
      </c>
      <c r="AD17" s="7" t="str">
        <f>IF(AND(ISNUMBER($C17),ISNUMBER($D17),AD$1&lt;=$D17,AD$1+6&gt;=$C17),1,"")</f>
        <v/>
      </c>
      <c r="AE17" s="7" t="str">
        <f>IF(AND(ISNUMBER($C17),ISNUMBER($D17),AE$1&lt;=$D17,AE$1+6&gt;=$C17),1,"")</f>
        <v/>
      </c>
      <c r="AF17" s="7" t="str">
        <f>IF(AND(ISNUMBER($C17),ISNUMBER($D17),AF$1&lt;=$D17,AF$1+6&gt;=$C17),1,"")</f>
        <v/>
      </c>
      <c r="AG17" s="7" t="str">
        <f>IF(AND(ISNUMBER($C17),ISNUMBER($D17),AG$1&lt;=$D17,AG$1+6&gt;=$C17),1,"")</f>
        <v/>
      </c>
      <c r="AH17" s="7" t="str">
        <f>IF(AND(ISNUMBER($C17),ISNUMBER($D17),AH$1&lt;=$D17,AH$1+6&gt;=$C17),1,"")</f>
        <v/>
      </c>
      <c r="AI17" s="7" t="str">
        <f>IF(AND(ISNUMBER($C17),ISNUMBER($D17),AI$1&lt;=$D17,AI$1+6&gt;=$C17),1,"")</f>
        <v/>
      </c>
      <c r="AJ17" s="7" t="str">
        <f>IF(AND(ISNUMBER($C17),ISNUMBER($D17),AJ$1&lt;=$D17,AJ$1+6&gt;=$C17),1,"")</f>
        <v/>
      </c>
      <c r="AK17" s="7" t="str">
        <f>IF(AND(ISNUMBER($C17),ISNUMBER($D17),AK$1&lt;=$D17,AK$1+6&gt;=$C17),1,"")</f>
        <v/>
      </c>
      <c r="AL17" s="7" t="str">
        <f>IF(AND(ISNUMBER($C17),ISNUMBER($D17),AL$1&lt;=$D17,AL$1+6&gt;=$C17),1,"")</f>
        <v/>
      </c>
      <c r="AM17" s="7" t="str">
        <f>IF(AND(ISNUMBER($C17),ISNUMBER($D17),AM$1&lt;=$D17,AM$1+6&gt;=$C17),1,"")</f>
        <v/>
      </c>
      <c r="AN17" s="7" t="str">
        <f>IF(AND(ISNUMBER($C17),ISNUMBER($D17),AN$1&lt;=$D17,AN$1+6&gt;=$C17),1,"")</f>
        <v/>
      </c>
      <c r="AO17" s="7" t="str">
        <f>IF(AND(ISNUMBER($C17),ISNUMBER($D17),AO$1&lt;=$D17,AO$1+6&gt;=$C17),1,"")</f>
        <v/>
      </c>
      <c r="AP17" s="7" t="str">
        <f>IF(AND(ISNUMBER($C17),ISNUMBER($D17),AP$1&lt;=$D17,AP$1+6&gt;=$C17),1,"")</f>
        <v/>
      </c>
      <c r="AQ17" s="7" t="str">
        <f>IF(AND(ISNUMBER($C17),ISNUMBER($D17),AQ$1&lt;=$D17,AQ$1+6&gt;=$C17),1,"")</f>
        <v/>
      </c>
      <c r="AR17" s="7" t="str">
        <f>IF(AND(ISNUMBER($C17),ISNUMBER($D17),AR$1&lt;=$D17,AR$1+6&gt;=$C17),1,"")</f>
        <v/>
      </c>
      <c r="AS17" s="7" t="str">
        <f>IF(AND(ISNUMBER($C17),ISNUMBER($D17),AS$1&lt;=$D17,AS$1+6&gt;=$C17),1,"")</f>
        <v/>
      </c>
      <c r="AT17" s="7" t="str">
        <f>IF(AND(ISNUMBER($C17),ISNUMBER($D17),AT$1&lt;=$D17,AT$1+6&gt;=$C17),1,"")</f>
        <v/>
      </c>
      <c r="AU17" s="7" t="str">
        <f>IF(AND(ISNUMBER($C17),ISNUMBER($D17),AU$1&lt;=$D17,AU$1+6&gt;=$C17),1,"")</f>
        <v/>
      </c>
      <c r="AV17" s="7">
        <f>IF(AND(ISNUMBER($C17),ISNUMBER($D17),AV$1&lt;=$D17,AV$1+6&gt;=$C17),1,"")</f>
        <v>1</v>
      </c>
      <c r="AW17" s="7">
        <f>IF(AND(ISNUMBER($C17),ISNUMBER($D17),AW$1&lt;=$D17,AW$1+6&gt;=$C17),1,"")</f>
        <v>1</v>
      </c>
      <c r="AX17" s="7">
        <f>IF(AND(ISNUMBER($C17),ISNUMBER($D17),AX$1&lt;=$D17,AX$1+6&gt;=$C17),1,"")</f>
        <v>1</v>
      </c>
      <c r="AY17" s="7">
        <f>IF(AND(ISNUMBER($C17),ISNUMBER($D17),AY$1&lt;=$D17,AY$1+6&gt;=$C17),1,"")</f>
        <v>1</v>
      </c>
      <c r="AZ17" s="7" t="str">
        <f>IF(AND(ISNUMBER($C17),ISNUMBER($D17),AZ$1&lt;=$D17,AZ$1+6&gt;=$C17),1,"")</f>
        <v/>
      </c>
      <c r="BA17" s="7" t="str">
        <f>IF(AND(ISNUMBER($C17),ISNUMBER($D17),BA$1&lt;=$D17,BA$1+6&gt;=$C17),1,"")</f>
        <v/>
      </c>
      <c r="BB17" s="7" t="str">
        <f>IF(AND(ISNUMBER($C17),ISNUMBER($D17),BB$1&lt;=$D17,BB$1+6&gt;=$C17),1,"")</f>
        <v/>
      </c>
      <c r="BC17" s="7" t="str">
        <f>IF(AND(ISNUMBER($C17),ISNUMBER($D17),BC$1&lt;=$D17,BC$1+6&gt;=$C17),1,"")</f>
        <v/>
      </c>
      <c r="BD17" s="7" t="str">
        <f>IF(AND(ISNUMBER($C17),ISNUMBER($D17),BD$1&lt;=$D17,BD$1+6&gt;=$C17),1,"")</f>
        <v/>
      </c>
      <c r="BE17" s="7" t="str">
        <f>IF(AND(ISNUMBER($C17),ISNUMBER($D17),BE$1&lt;=$D17,BE$1+6&gt;=$C17),1,"")</f>
        <v/>
      </c>
      <c r="BF17" s="7" t="str">
        <f>IF(AND(ISNUMBER($C17),ISNUMBER($D17),BF$1&lt;=$D17,BF$1+6&gt;=$C17),1,"")</f>
        <v/>
      </c>
      <c r="BG17" s="7" t="str">
        <f>IF(AND(ISNUMBER($C17),ISNUMBER($D17),BG$1&lt;=$D17,BG$1+6&gt;=$C17),1,"")</f>
        <v/>
      </c>
      <c r="BH17" s="7" t="str">
        <f>IF(AND(ISNUMBER($C17),ISNUMBER($D17),BH$1&lt;=$D17,BH$1+6&gt;=$C17),1,"")</f>
        <v/>
      </c>
      <c r="BI17" s="7" t="str">
        <f>IF(AND(ISNUMBER($C17),ISNUMBER($D17),BI$1&lt;=$D17,BI$1+6&gt;=$C17),1,"")</f>
        <v/>
      </c>
      <c r="BJ17" s="7" t="str">
        <f>IF(AND(ISNUMBER($C17),ISNUMBER($D17),BJ$1&lt;=$D17,BJ$1+6&gt;=$C17),1,"")</f>
        <v/>
      </c>
      <c r="BK17" s="7" t="str">
        <f>IF(AND(ISNUMBER($C17),ISNUMBER($D17),BK$1&lt;=$D17,BK$1+6&gt;=$C17),1,"")</f>
        <v/>
      </c>
      <c r="BL17" s="7" t="str">
        <f>IF(AND(ISNUMBER($C17),ISNUMBER($D17),BL$1&lt;=$D17,BL$1+6&gt;=$C17),1,"")</f>
        <v/>
      </c>
      <c r="BM17" s="7" t="str">
        <f>IF(AND(ISNUMBER($C17),ISNUMBER($D17),BM$1&lt;=$D17,BM$1+6&gt;=$C17),1,"")</f>
        <v/>
      </c>
      <c r="BN17" s="7" t="str">
        <f>IF(AND(ISNUMBER($C17),ISNUMBER($D17),BN$1&lt;=$D17,BN$1+6&gt;=$C17),1,"")</f>
        <v/>
      </c>
      <c r="BO17" s="7" t="str">
        <f>IF(AND(ISNUMBER($C17),ISNUMBER($D17),BO$1&lt;=$D17,BO$1+6&gt;=$C17),1,"")</f>
        <v/>
      </c>
      <c r="BP17" s="7" t="str">
        <f>IF(AND(ISNUMBER($C17),ISNUMBER($D17),BP$1&lt;=$D17,BP$1+6&gt;=$C17),1,"")</f>
        <v/>
      </c>
      <c r="BQ17" s="7" t="str">
        <f>IF(AND(ISNUMBER($C17),ISNUMBER($D17),BQ$1&lt;=$D17,BQ$1+6&gt;=$C17),1,"")</f>
        <v/>
      </c>
      <c r="BR17" s="7" t="str">
        <f>IF(AND(ISNUMBER($C17),ISNUMBER($D17),BR$1&lt;=$D17,BR$1+6&gt;=$C17),1,"")</f>
        <v/>
      </c>
      <c r="BS17" s="7" t="str">
        <f>IF(AND(ISNUMBER($C17),ISNUMBER($D17),BS$1&lt;=$D17,BS$1+6&gt;=$C17),1,"")</f>
        <v/>
      </c>
      <c r="BT17" s="7" t="str">
        <f>IF(AND(ISNUMBER($C17),ISNUMBER($D17),BT$1&lt;=$D17,BT$1+6&gt;=$C17),1,"")</f>
        <v/>
      </c>
      <c r="BU17" s="7" t="str">
        <f>IF(AND(ISNUMBER($C17),ISNUMBER($D17),BU$1&lt;=$D17,BU$1+6&gt;=$C17),1,"")</f>
        <v/>
      </c>
      <c r="BV17" s="7" t="str">
        <f>IF(AND(ISNUMBER($C17),ISNUMBER($D17),BV$1&lt;=$D17,BV$1+6&gt;=$C17),1,"")</f>
        <v/>
      </c>
      <c r="BW17" s="7" t="str">
        <f>IF(AND(ISNUMBER($C17),ISNUMBER($D17),BW$1&lt;=$D17,BW$1+6&gt;=$C17),1,"")</f>
        <v/>
      </c>
      <c r="BX17" s="7" t="str">
        <f>IF(AND(ISNUMBER($C17),ISNUMBER($D17),BX$1&lt;=$D17,BX$1+6&gt;=$C17),1,"")</f>
        <v/>
      </c>
      <c r="BY17" s="7" t="str">
        <f>IF(AND(ISNUMBER($C17),ISNUMBER($D17),BY$1&lt;=$D17,BY$1+6&gt;=$C17),1,"")</f>
        <v/>
      </c>
      <c r="BZ17" s="7" t="str">
        <f>IF(AND(ISNUMBER($C17),ISNUMBER($D17),BZ$1&lt;=$D17,BZ$1+6&gt;=$C17),1,"")</f>
        <v/>
      </c>
      <c r="CA17" s="7" t="str">
        <f>IF(AND(ISNUMBER($C17),ISNUMBER($D17),CA$1&lt;=$D17,CA$1+6&gt;=$C17),1,"")</f>
        <v/>
      </c>
      <c r="CB17" s="7" t="str">
        <f>IF(AND(ISNUMBER($C17),ISNUMBER($D17),CB$1&lt;=$D17,CB$1+6&gt;=$C17),1,"")</f>
        <v/>
      </c>
      <c r="CC17" s="7" t="str">
        <f>IF(AND(ISNUMBER($C17),ISNUMBER($D17),CC$1&lt;=$D17,CC$1+6&gt;=$C17),1,"")</f>
        <v/>
      </c>
      <c r="CD17" s="7" t="str">
        <f>IF(AND(ISNUMBER($C17),ISNUMBER($D17),CD$1&lt;=$D17,CD$1+6&gt;=$C17),1,"")</f>
        <v/>
      </c>
      <c r="CE17" s="7" t="str">
        <f>IF(AND(ISNUMBER($C17),ISNUMBER($D17),CE$1&lt;=$D17,CE$1+6&gt;=$C17),1,"")</f>
        <v/>
      </c>
      <c r="CF17" s="7" t="str">
        <f>IF(AND(ISNUMBER($C17),ISNUMBER($D17),CF$1&lt;=$D17,CF$1+6&gt;=$C17),1,"")</f>
        <v/>
      </c>
      <c r="CG17" s="7" t="str">
        <f>IF(AND(ISNUMBER($C17),ISNUMBER($D17),CG$1&lt;=$D17,CG$1+6&gt;=$C17),1,"")</f>
        <v/>
      </c>
      <c r="CH17" s="7" t="str">
        <f>IF(AND(ISNUMBER($C17),ISNUMBER($D17),CH$1&lt;=$D17,CH$1+6&gt;=$C17),1,"")</f>
        <v/>
      </c>
      <c r="CI17" s="7" t="str">
        <f>IF(AND(ISNUMBER($C17),ISNUMBER($D17),CI$1&lt;=$D17,CI$1+6&gt;=$C17),1,"")</f>
        <v/>
      </c>
      <c r="CJ17" s="7" t="str">
        <f>IF(AND(ISNUMBER($C17),ISNUMBER($D17),CJ$1&lt;=$D17,CJ$1+6&gt;=$C17),1,"")</f>
        <v/>
      </c>
      <c r="CK17" s="7" t="str">
        <f>IF(AND(ISNUMBER($C17),ISNUMBER($D17),CK$1&lt;=$D17,CK$1+6&gt;=$C17),1,"")</f>
        <v/>
      </c>
      <c r="CL17" s="7" t="str">
        <f>IF(AND(ISNUMBER($C17),ISNUMBER($D17),CL$1&lt;=$D17,CL$1+6&gt;=$C17),1,"")</f>
        <v/>
      </c>
      <c r="CM17" s="7" t="str">
        <f>IF(AND(ISNUMBER($C17),ISNUMBER($D17),CM$1&lt;=$D17,CM$1+6&gt;=$C17),1,"")</f>
        <v/>
      </c>
      <c r="CN17" s="7" t="str">
        <f>IF(AND(ISNUMBER($C17),ISNUMBER($D17),CN$1&lt;=$D17,CN$1+6&gt;=$C17),1,"")</f>
        <v/>
      </c>
      <c r="CO17" s="7" t="str">
        <f>IF(AND(ISNUMBER($C17),ISNUMBER($D17),CO$1&lt;=$D17,CO$1+6&gt;=$C17),1,"")</f>
        <v/>
      </c>
      <c r="CP17" s="7" t="str">
        <f>IF(AND(ISNUMBER($C17),ISNUMBER($D17),CP$1&lt;=$D17,CP$1+6&gt;=$C17),1,"")</f>
        <v/>
      </c>
      <c r="CQ17" s="7" t="str">
        <f>IF(AND(ISNUMBER($C17),ISNUMBER($D17),CQ$1&lt;=$D17,CQ$1+6&gt;=$C17),1,"")</f>
        <v/>
      </c>
      <c r="CR17" s="7" t="str">
        <f>IF(AND(ISNUMBER($C17),ISNUMBER($D17),CR$1&lt;=$D17,CR$1+6&gt;=$C17),1,"")</f>
        <v/>
      </c>
      <c r="CS17" s="7" t="str">
        <f>IF(AND(ISNUMBER($C17),ISNUMBER($D17),CS$1&lt;=$D17,CS$1+6&gt;=$C17),1,"")</f>
        <v/>
      </c>
      <c r="CT17" s="7" t="str">
        <f>IF(AND(ISNUMBER($C17),ISNUMBER($D17),CT$1&lt;=$D17,CT$1+6&gt;=$C17),1,"")</f>
        <v/>
      </c>
      <c r="CU17" s="7" t="str">
        <f>IF(AND(ISNUMBER($C17),ISNUMBER($D17),CU$1&lt;=$D17,CU$1+6&gt;=$C17),1,"")</f>
        <v/>
      </c>
      <c r="CV17" s="7" t="str">
        <f>IF(AND(ISNUMBER($C17),ISNUMBER($D17),CV$1&lt;=$D17,CV$1+6&gt;=$C17),1,"")</f>
        <v/>
      </c>
      <c r="CW17" s="7" t="str">
        <f>IF(AND(ISNUMBER($C17),ISNUMBER($D17),CW$1&lt;=$D17,CW$1+6&gt;=$C17),1,"")</f>
        <v/>
      </c>
      <c r="CX17" s="7" t="str">
        <f>IF(AND(ISNUMBER($C17),ISNUMBER($D17),CX$1&lt;=$D17,CX$1+6&gt;=$C17),1,"")</f>
        <v/>
      </c>
      <c r="CY17" s="7" t="str">
        <f>IF(AND(ISNUMBER($C17),ISNUMBER($D17),CY$1&lt;=$D17,CY$1+6&gt;=$C17),1,"")</f>
        <v/>
      </c>
      <c r="CZ17" s="7" t="str">
        <f>IF(AND(ISNUMBER($C17),ISNUMBER($D17),CZ$1&lt;=$D17,CZ$1+6&gt;=$C17),1,"")</f>
        <v/>
      </c>
      <c r="DA17" s="7" t="str">
        <f>IF(AND(ISNUMBER($C17),ISNUMBER($D17),DA$1&lt;=$D17,DA$1+6&gt;=$C17),1,"")</f>
        <v/>
      </c>
      <c r="DB17" s="7" t="str">
        <f>IF(AND(ISNUMBER($C17),ISNUMBER($D17),DB$1&lt;=$D17,DB$1+6&gt;=$C17),1,"")</f>
        <v/>
      </c>
      <c r="DC17" s="7" t="str">
        <f>IF(AND(ISNUMBER($C17),ISNUMBER($D17),DC$1&lt;=$D17,DC$1+6&gt;=$C17),1,"")</f>
        <v/>
      </c>
      <c r="DD17" s="7" t="str">
        <f>IF(AND(ISNUMBER($C17),ISNUMBER($D17),DD$1&lt;=$D17,DD$1+6&gt;=$C17),1,"")</f>
        <v/>
      </c>
    </row>
    <row r="18" spans="1:108" x14ac:dyDescent="0.35">
      <c r="A18" s="6" t="str">
        <f>Schedule!B18</f>
        <v>Retrieval embeddings and vector stores</v>
      </c>
      <c r="B18" s="6" t="str">
        <f>Schedule!C18</f>
        <v>Core</v>
      </c>
      <c r="C18" s="4">
        <f>IF(Schedule!P18="","",Schedule!P18)</f>
        <v>46640</v>
      </c>
      <c r="D18" s="4">
        <f>IF(Schedule!Q18="","",Schedule!Q18)</f>
        <v>46667</v>
      </c>
      <c r="E18" s="7" t="str">
        <f>IF(AND(ISNUMBER($C18),ISNUMBER($D18),E$1&lt;=$D18,E$1+6&gt;=$C18),1,"")</f>
        <v/>
      </c>
      <c r="F18" s="7" t="str">
        <f>IF(AND(ISNUMBER($C18),ISNUMBER($D18),F$1&lt;=$D18,F$1+6&gt;=$C18),1,"")</f>
        <v/>
      </c>
      <c r="G18" s="7" t="str">
        <f>IF(AND(ISNUMBER($C18),ISNUMBER($D18),G$1&lt;=$D18,G$1+6&gt;=$C18),1,"")</f>
        <v/>
      </c>
      <c r="H18" s="7" t="str">
        <f>IF(AND(ISNUMBER($C18),ISNUMBER($D18),H$1&lt;=$D18,H$1+6&gt;=$C18),1,"")</f>
        <v/>
      </c>
      <c r="I18" s="7" t="str">
        <f>IF(AND(ISNUMBER($C18),ISNUMBER($D18),I$1&lt;=$D18,I$1+6&gt;=$C18),1,"")</f>
        <v/>
      </c>
      <c r="J18" s="7" t="str">
        <f>IF(AND(ISNUMBER($C18),ISNUMBER($D18),J$1&lt;=$D18,J$1+6&gt;=$C18),1,"")</f>
        <v/>
      </c>
      <c r="K18" s="7" t="str">
        <f>IF(AND(ISNUMBER($C18),ISNUMBER($D18),K$1&lt;=$D18,K$1+6&gt;=$C18),1,"")</f>
        <v/>
      </c>
      <c r="L18" s="7" t="str">
        <f>IF(AND(ISNUMBER($C18),ISNUMBER($D18),L$1&lt;=$D18,L$1+6&gt;=$C18),1,"")</f>
        <v/>
      </c>
      <c r="M18" s="7" t="str">
        <f>IF(AND(ISNUMBER($C18),ISNUMBER($D18),M$1&lt;=$D18,M$1+6&gt;=$C18),1,"")</f>
        <v/>
      </c>
      <c r="N18" s="7" t="str">
        <f>IF(AND(ISNUMBER($C18),ISNUMBER($D18),N$1&lt;=$D18,N$1+6&gt;=$C18),1,"")</f>
        <v/>
      </c>
      <c r="O18" s="7" t="str">
        <f>IF(AND(ISNUMBER($C18),ISNUMBER($D18),O$1&lt;=$D18,O$1+6&gt;=$C18),1,"")</f>
        <v/>
      </c>
      <c r="P18" s="7" t="str">
        <f>IF(AND(ISNUMBER($C18),ISNUMBER($D18),P$1&lt;=$D18,P$1+6&gt;=$C18),1,"")</f>
        <v/>
      </c>
      <c r="Q18" s="7" t="str">
        <f>IF(AND(ISNUMBER($C18),ISNUMBER($D18),Q$1&lt;=$D18,Q$1+6&gt;=$C18),1,"")</f>
        <v/>
      </c>
      <c r="R18" s="7" t="str">
        <f>IF(AND(ISNUMBER($C18),ISNUMBER($D18),R$1&lt;=$D18,R$1+6&gt;=$C18),1,"")</f>
        <v/>
      </c>
      <c r="S18" s="7" t="str">
        <f>IF(AND(ISNUMBER($C18),ISNUMBER($D18),S$1&lt;=$D18,S$1+6&gt;=$C18),1,"")</f>
        <v/>
      </c>
      <c r="T18" s="7" t="str">
        <f>IF(AND(ISNUMBER($C18),ISNUMBER($D18),T$1&lt;=$D18,T$1+6&gt;=$C18),1,"")</f>
        <v/>
      </c>
      <c r="U18" s="7" t="str">
        <f>IF(AND(ISNUMBER($C18),ISNUMBER($D18),U$1&lt;=$D18,U$1+6&gt;=$C18),1,"")</f>
        <v/>
      </c>
      <c r="V18" s="7" t="str">
        <f>IF(AND(ISNUMBER($C18),ISNUMBER($D18),V$1&lt;=$D18,V$1+6&gt;=$C18),1,"")</f>
        <v/>
      </c>
      <c r="W18" s="7" t="str">
        <f>IF(AND(ISNUMBER($C18),ISNUMBER($D18),W$1&lt;=$D18,W$1+6&gt;=$C18),1,"")</f>
        <v/>
      </c>
      <c r="X18" s="7" t="str">
        <f>IF(AND(ISNUMBER($C18),ISNUMBER($D18),X$1&lt;=$D18,X$1+6&gt;=$C18),1,"")</f>
        <v/>
      </c>
      <c r="Y18" s="7" t="str">
        <f>IF(AND(ISNUMBER($C18),ISNUMBER($D18),Y$1&lt;=$D18,Y$1+6&gt;=$C18),1,"")</f>
        <v/>
      </c>
      <c r="Z18" s="7" t="str">
        <f>IF(AND(ISNUMBER($C18),ISNUMBER($D18),Z$1&lt;=$D18,Z$1+6&gt;=$C18),1,"")</f>
        <v/>
      </c>
      <c r="AA18" s="7" t="str">
        <f>IF(AND(ISNUMBER($C18),ISNUMBER($D18),AA$1&lt;=$D18,AA$1+6&gt;=$C18),1,"")</f>
        <v/>
      </c>
      <c r="AB18" s="7" t="str">
        <f>IF(AND(ISNUMBER($C18),ISNUMBER($D18),AB$1&lt;=$D18,AB$1+6&gt;=$C18),1,"")</f>
        <v/>
      </c>
      <c r="AC18" s="7" t="str">
        <f>IF(AND(ISNUMBER($C18),ISNUMBER($D18),AC$1&lt;=$D18,AC$1+6&gt;=$C18),1,"")</f>
        <v/>
      </c>
      <c r="AD18" s="7" t="str">
        <f>IF(AND(ISNUMBER($C18),ISNUMBER($D18),AD$1&lt;=$D18,AD$1+6&gt;=$C18),1,"")</f>
        <v/>
      </c>
      <c r="AE18" s="7" t="str">
        <f>IF(AND(ISNUMBER($C18),ISNUMBER($D18),AE$1&lt;=$D18,AE$1+6&gt;=$C18),1,"")</f>
        <v/>
      </c>
      <c r="AF18" s="7" t="str">
        <f>IF(AND(ISNUMBER($C18),ISNUMBER($D18),AF$1&lt;=$D18,AF$1+6&gt;=$C18),1,"")</f>
        <v/>
      </c>
      <c r="AG18" s="7" t="str">
        <f>IF(AND(ISNUMBER($C18),ISNUMBER($D18),AG$1&lt;=$D18,AG$1+6&gt;=$C18),1,"")</f>
        <v/>
      </c>
      <c r="AH18" s="7" t="str">
        <f>IF(AND(ISNUMBER($C18),ISNUMBER($D18),AH$1&lt;=$D18,AH$1+6&gt;=$C18),1,"")</f>
        <v/>
      </c>
      <c r="AI18" s="7" t="str">
        <f>IF(AND(ISNUMBER($C18),ISNUMBER($D18),AI$1&lt;=$D18,AI$1+6&gt;=$C18),1,"")</f>
        <v/>
      </c>
      <c r="AJ18" s="7" t="str">
        <f>IF(AND(ISNUMBER($C18),ISNUMBER($D18),AJ$1&lt;=$D18,AJ$1+6&gt;=$C18),1,"")</f>
        <v/>
      </c>
      <c r="AK18" s="7" t="str">
        <f>IF(AND(ISNUMBER($C18),ISNUMBER($D18),AK$1&lt;=$D18,AK$1+6&gt;=$C18),1,"")</f>
        <v/>
      </c>
      <c r="AL18" s="7" t="str">
        <f>IF(AND(ISNUMBER($C18),ISNUMBER($D18),AL$1&lt;=$D18,AL$1+6&gt;=$C18),1,"")</f>
        <v/>
      </c>
      <c r="AM18" s="7" t="str">
        <f>IF(AND(ISNUMBER($C18),ISNUMBER($D18),AM$1&lt;=$D18,AM$1+6&gt;=$C18),1,"")</f>
        <v/>
      </c>
      <c r="AN18" s="7" t="str">
        <f>IF(AND(ISNUMBER($C18),ISNUMBER($D18),AN$1&lt;=$D18,AN$1+6&gt;=$C18),1,"")</f>
        <v/>
      </c>
      <c r="AO18" s="7" t="str">
        <f>IF(AND(ISNUMBER($C18),ISNUMBER($D18),AO$1&lt;=$D18,AO$1+6&gt;=$C18),1,"")</f>
        <v/>
      </c>
      <c r="AP18" s="7" t="str">
        <f>IF(AND(ISNUMBER($C18),ISNUMBER($D18),AP$1&lt;=$D18,AP$1+6&gt;=$C18),1,"")</f>
        <v/>
      </c>
      <c r="AQ18" s="7" t="str">
        <f>IF(AND(ISNUMBER($C18),ISNUMBER($D18),AQ$1&lt;=$D18,AQ$1+6&gt;=$C18),1,"")</f>
        <v/>
      </c>
      <c r="AR18" s="7" t="str">
        <f>IF(AND(ISNUMBER($C18),ISNUMBER($D18),AR$1&lt;=$D18,AR$1+6&gt;=$C18),1,"")</f>
        <v/>
      </c>
      <c r="AS18" s="7" t="str">
        <f>IF(AND(ISNUMBER($C18),ISNUMBER($D18),AS$1&lt;=$D18,AS$1+6&gt;=$C18),1,"")</f>
        <v/>
      </c>
      <c r="AT18" s="7" t="str">
        <f>IF(AND(ISNUMBER($C18),ISNUMBER($D18),AT$1&lt;=$D18,AT$1+6&gt;=$C18),1,"")</f>
        <v/>
      </c>
      <c r="AU18" s="7" t="str">
        <f>IF(AND(ISNUMBER($C18),ISNUMBER($D18),AU$1&lt;=$D18,AU$1+6&gt;=$C18),1,"")</f>
        <v/>
      </c>
      <c r="AV18" s="7" t="str">
        <f>IF(AND(ISNUMBER($C18),ISNUMBER($D18),AV$1&lt;=$D18,AV$1+6&gt;=$C18),1,"")</f>
        <v/>
      </c>
      <c r="AW18" s="7" t="str">
        <f>IF(AND(ISNUMBER($C18),ISNUMBER($D18),AW$1&lt;=$D18,AW$1+6&gt;=$C18),1,"")</f>
        <v/>
      </c>
      <c r="AX18" s="7" t="str">
        <f>IF(AND(ISNUMBER($C18),ISNUMBER($D18),AX$1&lt;=$D18,AX$1+6&gt;=$C18),1,"")</f>
        <v/>
      </c>
      <c r="AY18" s="7">
        <f>IF(AND(ISNUMBER($C18),ISNUMBER($D18),AY$1&lt;=$D18,AY$1+6&gt;=$C18),1,"")</f>
        <v>1</v>
      </c>
      <c r="AZ18" s="7">
        <f>IF(AND(ISNUMBER($C18),ISNUMBER($D18),AZ$1&lt;=$D18,AZ$1+6&gt;=$C18),1,"")</f>
        <v>1</v>
      </c>
      <c r="BA18" s="7">
        <f>IF(AND(ISNUMBER($C18),ISNUMBER($D18),BA$1&lt;=$D18,BA$1+6&gt;=$C18),1,"")</f>
        <v>1</v>
      </c>
      <c r="BB18" s="7">
        <f>IF(AND(ISNUMBER($C18),ISNUMBER($D18),BB$1&lt;=$D18,BB$1+6&gt;=$C18),1,"")</f>
        <v>1</v>
      </c>
      <c r="BC18" s="7" t="str">
        <f>IF(AND(ISNUMBER($C18),ISNUMBER($D18),BC$1&lt;=$D18,BC$1+6&gt;=$C18),1,"")</f>
        <v/>
      </c>
      <c r="BD18" s="7" t="str">
        <f>IF(AND(ISNUMBER($C18),ISNUMBER($D18),BD$1&lt;=$D18,BD$1+6&gt;=$C18),1,"")</f>
        <v/>
      </c>
      <c r="BE18" s="7" t="str">
        <f>IF(AND(ISNUMBER($C18),ISNUMBER($D18),BE$1&lt;=$D18,BE$1+6&gt;=$C18),1,"")</f>
        <v/>
      </c>
      <c r="BF18" s="7" t="str">
        <f>IF(AND(ISNUMBER($C18),ISNUMBER($D18),BF$1&lt;=$D18,BF$1+6&gt;=$C18),1,"")</f>
        <v/>
      </c>
      <c r="BG18" s="7" t="str">
        <f>IF(AND(ISNUMBER($C18),ISNUMBER($D18),BG$1&lt;=$D18,BG$1+6&gt;=$C18),1,"")</f>
        <v/>
      </c>
      <c r="BH18" s="7" t="str">
        <f>IF(AND(ISNUMBER($C18),ISNUMBER($D18),BH$1&lt;=$D18,BH$1+6&gt;=$C18),1,"")</f>
        <v/>
      </c>
      <c r="BI18" s="7" t="str">
        <f>IF(AND(ISNUMBER($C18),ISNUMBER($D18),BI$1&lt;=$D18,BI$1+6&gt;=$C18),1,"")</f>
        <v/>
      </c>
      <c r="BJ18" s="7" t="str">
        <f>IF(AND(ISNUMBER($C18),ISNUMBER($D18),BJ$1&lt;=$D18,BJ$1+6&gt;=$C18),1,"")</f>
        <v/>
      </c>
      <c r="BK18" s="7" t="str">
        <f>IF(AND(ISNUMBER($C18),ISNUMBER($D18),BK$1&lt;=$D18,BK$1+6&gt;=$C18),1,"")</f>
        <v/>
      </c>
      <c r="BL18" s="7" t="str">
        <f>IF(AND(ISNUMBER($C18),ISNUMBER($D18),BL$1&lt;=$D18,BL$1+6&gt;=$C18),1,"")</f>
        <v/>
      </c>
      <c r="BM18" s="7" t="str">
        <f>IF(AND(ISNUMBER($C18),ISNUMBER($D18),BM$1&lt;=$D18,BM$1+6&gt;=$C18),1,"")</f>
        <v/>
      </c>
      <c r="BN18" s="7" t="str">
        <f>IF(AND(ISNUMBER($C18),ISNUMBER($D18),BN$1&lt;=$D18,BN$1+6&gt;=$C18),1,"")</f>
        <v/>
      </c>
      <c r="BO18" s="7" t="str">
        <f>IF(AND(ISNUMBER($C18),ISNUMBER($D18),BO$1&lt;=$D18,BO$1+6&gt;=$C18),1,"")</f>
        <v/>
      </c>
      <c r="BP18" s="7" t="str">
        <f>IF(AND(ISNUMBER($C18),ISNUMBER($D18),BP$1&lt;=$D18,BP$1+6&gt;=$C18),1,"")</f>
        <v/>
      </c>
      <c r="BQ18" s="7" t="str">
        <f>IF(AND(ISNUMBER($C18),ISNUMBER($D18),BQ$1&lt;=$D18,BQ$1+6&gt;=$C18),1,"")</f>
        <v/>
      </c>
      <c r="BR18" s="7" t="str">
        <f>IF(AND(ISNUMBER($C18),ISNUMBER($D18),BR$1&lt;=$D18,BR$1+6&gt;=$C18),1,"")</f>
        <v/>
      </c>
      <c r="BS18" s="7" t="str">
        <f>IF(AND(ISNUMBER($C18),ISNUMBER($D18),BS$1&lt;=$D18,BS$1+6&gt;=$C18),1,"")</f>
        <v/>
      </c>
      <c r="BT18" s="7" t="str">
        <f>IF(AND(ISNUMBER($C18),ISNUMBER($D18),BT$1&lt;=$D18,BT$1+6&gt;=$C18),1,"")</f>
        <v/>
      </c>
      <c r="BU18" s="7" t="str">
        <f>IF(AND(ISNUMBER($C18),ISNUMBER($D18),BU$1&lt;=$D18,BU$1+6&gt;=$C18),1,"")</f>
        <v/>
      </c>
      <c r="BV18" s="7" t="str">
        <f>IF(AND(ISNUMBER($C18),ISNUMBER($D18),BV$1&lt;=$D18,BV$1+6&gt;=$C18),1,"")</f>
        <v/>
      </c>
      <c r="BW18" s="7" t="str">
        <f>IF(AND(ISNUMBER($C18),ISNUMBER($D18),BW$1&lt;=$D18,BW$1+6&gt;=$C18),1,"")</f>
        <v/>
      </c>
      <c r="BX18" s="7" t="str">
        <f>IF(AND(ISNUMBER($C18),ISNUMBER($D18),BX$1&lt;=$D18,BX$1+6&gt;=$C18),1,"")</f>
        <v/>
      </c>
      <c r="BY18" s="7" t="str">
        <f>IF(AND(ISNUMBER($C18),ISNUMBER($D18),BY$1&lt;=$D18,BY$1+6&gt;=$C18),1,"")</f>
        <v/>
      </c>
      <c r="BZ18" s="7" t="str">
        <f>IF(AND(ISNUMBER($C18),ISNUMBER($D18),BZ$1&lt;=$D18,BZ$1+6&gt;=$C18),1,"")</f>
        <v/>
      </c>
      <c r="CA18" s="7" t="str">
        <f>IF(AND(ISNUMBER($C18),ISNUMBER($D18),CA$1&lt;=$D18,CA$1+6&gt;=$C18),1,"")</f>
        <v/>
      </c>
      <c r="CB18" s="7" t="str">
        <f>IF(AND(ISNUMBER($C18),ISNUMBER($D18),CB$1&lt;=$D18,CB$1+6&gt;=$C18),1,"")</f>
        <v/>
      </c>
      <c r="CC18" s="7" t="str">
        <f>IF(AND(ISNUMBER($C18),ISNUMBER($D18),CC$1&lt;=$D18,CC$1+6&gt;=$C18),1,"")</f>
        <v/>
      </c>
      <c r="CD18" s="7" t="str">
        <f>IF(AND(ISNUMBER($C18),ISNUMBER($D18),CD$1&lt;=$D18,CD$1+6&gt;=$C18),1,"")</f>
        <v/>
      </c>
      <c r="CE18" s="7" t="str">
        <f>IF(AND(ISNUMBER($C18),ISNUMBER($D18),CE$1&lt;=$D18,CE$1+6&gt;=$C18),1,"")</f>
        <v/>
      </c>
      <c r="CF18" s="7" t="str">
        <f>IF(AND(ISNUMBER($C18),ISNUMBER($D18),CF$1&lt;=$D18,CF$1+6&gt;=$C18),1,"")</f>
        <v/>
      </c>
      <c r="CG18" s="7" t="str">
        <f>IF(AND(ISNUMBER($C18),ISNUMBER($D18),CG$1&lt;=$D18,CG$1+6&gt;=$C18),1,"")</f>
        <v/>
      </c>
      <c r="CH18" s="7" t="str">
        <f>IF(AND(ISNUMBER($C18),ISNUMBER($D18),CH$1&lt;=$D18,CH$1+6&gt;=$C18),1,"")</f>
        <v/>
      </c>
      <c r="CI18" s="7" t="str">
        <f>IF(AND(ISNUMBER($C18),ISNUMBER($D18),CI$1&lt;=$D18,CI$1+6&gt;=$C18),1,"")</f>
        <v/>
      </c>
      <c r="CJ18" s="7" t="str">
        <f>IF(AND(ISNUMBER($C18),ISNUMBER($D18),CJ$1&lt;=$D18,CJ$1+6&gt;=$C18),1,"")</f>
        <v/>
      </c>
      <c r="CK18" s="7" t="str">
        <f>IF(AND(ISNUMBER($C18),ISNUMBER($D18),CK$1&lt;=$D18,CK$1+6&gt;=$C18),1,"")</f>
        <v/>
      </c>
      <c r="CL18" s="7" t="str">
        <f>IF(AND(ISNUMBER($C18),ISNUMBER($D18),CL$1&lt;=$D18,CL$1+6&gt;=$C18),1,"")</f>
        <v/>
      </c>
      <c r="CM18" s="7" t="str">
        <f>IF(AND(ISNUMBER($C18),ISNUMBER($D18),CM$1&lt;=$D18,CM$1+6&gt;=$C18),1,"")</f>
        <v/>
      </c>
      <c r="CN18" s="7" t="str">
        <f>IF(AND(ISNUMBER($C18),ISNUMBER($D18),CN$1&lt;=$D18,CN$1+6&gt;=$C18),1,"")</f>
        <v/>
      </c>
      <c r="CO18" s="7" t="str">
        <f>IF(AND(ISNUMBER($C18),ISNUMBER($D18),CO$1&lt;=$D18,CO$1+6&gt;=$C18),1,"")</f>
        <v/>
      </c>
      <c r="CP18" s="7" t="str">
        <f>IF(AND(ISNUMBER($C18),ISNUMBER($D18),CP$1&lt;=$D18,CP$1+6&gt;=$C18),1,"")</f>
        <v/>
      </c>
      <c r="CQ18" s="7" t="str">
        <f>IF(AND(ISNUMBER($C18),ISNUMBER($D18),CQ$1&lt;=$D18,CQ$1+6&gt;=$C18),1,"")</f>
        <v/>
      </c>
      <c r="CR18" s="7" t="str">
        <f>IF(AND(ISNUMBER($C18),ISNUMBER($D18),CR$1&lt;=$D18,CR$1+6&gt;=$C18),1,"")</f>
        <v/>
      </c>
      <c r="CS18" s="7" t="str">
        <f>IF(AND(ISNUMBER($C18),ISNUMBER($D18),CS$1&lt;=$D18,CS$1+6&gt;=$C18),1,"")</f>
        <v/>
      </c>
      <c r="CT18" s="7" t="str">
        <f>IF(AND(ISNUMBER($C18),ISNUMBER($D18),CT$1&lt;=$D18,CT$1+6&gt;=$C18),1,"")</f>
        <v/>
      </c>
      <c r="CU18" s="7" t="str">
        <f>IF(AND(ISNUMBER($C18),ISNUMBER($D18),CU$1&lt;=$D18,CU$1+6&gt;=$C18),1,"")</f>
        <v/>
      </c>
      <c r="CV18" s="7" t="str">
        <f>IF(AND(ISNUMBER($C18),ISNUMBER($D18),CV$1&lt;=$D18,CV$1+6&gt;=$C18),1,"")</f>
        <v/>
      </c>
      <c r="CW18" s="7" t="str">
        <f>IF(AND(ISNUMBER($C18),ISNUMBER($D18),CW$1&lt;=$D18,CW$1+6&gt;=$C18),1,"")</f>
        <v/>
      </c>
      <c r="CX18" s="7" t="str">
        <f>IF(AND(ISNUMBER($C18),ISNUMBER($D18),CX$1&lt;=$D18,CX$1+6&gt;=$C18),1,"")</f>
        <v/>
      </c>
      <c r="CY18" s="7" t="str">
        <f>IF(AND(ISNUMBER($C18),ISNUMBER($D18),CY$1&lt;=$D18,CY$1+6&gt;=$C18),1,"")</f>
        <v/>
      </c>
      <c r="CZ18" s="7" t="str">
        <f>IF(AND(ISNUMBER($C18),ISNUMBER($D18),CZ$1&lt;=$D18,CZ$1+6&gt;=$C18),1,"")</f>
        <v/>
      </c>
      <c r="DA18" s="7" t="str">
        <f>IF(AND(ISNUMBER($C18),ISNUMBER($D18),DA$1&lt;=$D18,DA$1+6&gt;=$C18),1,"")</f>
        <v/>
      </c>
      <c r="DB18" s="7" t="str">
        <f>IF(AND(ISNUMBER($C18),ISNUMBER($D18),DB$1&lt;=$D18,DB$1+6&gt;=$C18),1,"")</f>
        <v/>
      </c>
      <c r="DC18" s="7" t="str">
        <f>IF(AND(ISNUMBER($C18),ISNUMBER($D18),DC$1&lt;=$D18,DC$1+6&gt;=$C18),1,"")</f>
        <v/>
      </c>
      <c r="DD18" s="7" t="str">
        <f>IF(AND(ISNUMBER($C18),ISNUMBER($D18),DD$1&lt;=$D18,DD$1+6&gt;=$C18),1,"")</f>
        <v/>
      </c>
    </row>
    <row r="19" spans="1:108" x14ac:dyDescent="0.35">
      <c r="A19" s="6" t="str">
        <f>Schedule!B19</f>
        <v>Evaluation pipelines and regression analysis</v>
      </c>
      <c r="B19" s="6" t="str">
        <f>Schedule!C19</f>
        <v>Core</v>
      </c>
      <c r="C19" s="4">
        <f>IF(Schedule!P19="","",Schedule!P19)</f>
        <v>46667</v>
      </c>
      <c r="D19" s="4">
        <f>IF(Schedule!Q19="","",Schedule!Q19)</f>
        <v>46690</v>
      </c>
      <c r="E19" s="7" t="str">
        <f>IF(AND(ISNUMBER($C19),ISNUMBER($D19),E$1&lt;=$D19,E$1+6&gt;=$C19),1,"")</f>
        <v/>
      </c>
      <c r="F19" s="7" t="str">
        <f>IF(AND(ISNUMBER($C19),ISNUMBER($D19),F$1&lt;=$D19,F$1+6&gt;=$C19),1,"")</f>
        <v/>
      </c>
      <c r="G19" s="7" t="str">
        <f>IF(AND(ISNUMBER($C19),ISNUMBER($D19),G$1&lt;=$D19,G$1+6&gt;=$C19),1,"")</f>
        <v/>
      </c>
      <c r="H19" s="7" t="str">
        <f>IF(AND(ISNUMBER($C19),ISNUMBER($D19),H$1&lt;=$D19,H$1+6&gt;=$C19),1,"")</f>
        <v/>
      </c>
      <c r="I19" s="7" t="str">
        <f>IF(AND(ISNUMBER($C19),ISNUMBER($D19),I$1&lt;=$D19,I$1+6&gt;=$C19),1,"")</f>
        <v/>
      </c>
      <c r="J19" s="7" t="str">
        <f>IF(AND(ISNUMBER($C19),ISNUMBER($D19),J$1&lt;=$D19,J$1+6&gt;=$C19),1,"")</f>
        <v/>
      </c>
      <c r="K19" s="7" t="str">
        <f>IF(AND(ISNUMBER($C19),ISNUMBER($D19),K$1&lt;=$D19,K$1+6&gt;=$C19),1,"")</f>
        <v/>
      </c>
      <c r="L19" s="7" t="str">
        <f>IF(AND(ISNUMBER($C19),ISNUMBER($D19),L$1&lt;=$D19,L$1+6&gt;=$C19),1,"")</f>
        <v/>
      </c>
      <c r="M19" s="7" t="str">
        <f>IF(AND(ISNUMBER($C19),ISNUMBER($D19),M$1&lt;=$D19,M$1+6&gt;=$C19),1,"")</f>
        <v/>
      </c>
      <c r="N19" s="7" t="str">
        <f>IF(AND(ISNUMBER($C19),ISNUMBER($D19),N$1&lt;=$D19,N$1+6&gt;=$C19),1,"")</f>
        <v/>
      </c>
      <c r="O19" s="7" t="str">
        <f>IF(AND(ISNUMBER($C19),ISNUMBER($D19),O$1&lt;=$D19,O$1+6&gt;=$C19),1,"")</f>
        <v/>
      </c>
      <c r="P19" s="7" t="str">
        <f>IF(AND(ISNUMBER($C19),ISNUMBER($D19),P$1&lt;=$D19,P$1+6&gt;=$C19),1,"")</f>
        <v/>
      </c>
      <c r="Q19" s="7" t="str">
        <f>IF(AND(ISNUMBER($C19),ISNUMBER($D19),Q$1&lt;=$D19,Q$1+6&gt;=$C19),1,"")</f>
        <v/>
      </c>
      <c r="R19" s="7" t="str">
        <f>IF(AND(ISNUMBER($C19),ISNUMBER($D19),R$1&lt;=$D19,R$1+6&gt;=$C19),1,"")</f>
        <v/>
      </c>
      <c r="S19" s="7" t="str">
        <f>IF(AND(ISNUMBER($C19),ISNUMBER($D19),S$1&lt;=$D19,S$1+6&gt;=$C19),1,"")</f>
        <v/>
      </c>
      <c r="T19" s="7" t="str">
        <f>IF(AND(ISNUMBER($C19),ISNUMBER($D19),T$1&lt;=$D19,T$1+6&gt;=$C19),1,"")</f>
        <v/>
      </c>
      <c r="U19" s="7" t="str">
        <f>IF(AND(ISNUMBER($C19),ISNUMBER($D19),U$1&lt;=$D19,U$1+6&gt;=$C19),1,"")</f>
        <v/>
      </c>
      <c r="V19" s="7" t="str">
        <f>IF(AND(ISNUMBER($C19),ISNUMBER($D19),V$1&lt;=$D19,V$1+6&gt;=$C19),1,"")</f>
        <v/>
      </c>
      <c r="W19" s="7" t="str">
        <f>IF(AND(ISNUMBER($C19),ISNUMBER($D19),W$1&lt;=$D19,W$1+6&gt;=$C19),1,"")</f>
        <v/>
      </c>
      <c r="X19" s="7" t="str">
        <f>IF(AND(ISNUMBER($C19),ISNUMBER($D19),X$1&lt;=$D19,X$1+6&gt;=$C19),1,"")</f>
        <v/>
      </c>
      <c r="Y19" s="7" t="str">
        <f>IF(AND(ISNUMBER($C19),ISNUMBER($D19),Y$1&lt;=$D19,Y$1+6&gt;=$C19),1,"")</f>
        <v/>
      </c>
      <c r="Z19" s="7" t="str">
        <f>IF(AND(ISNUMBER($C19),ISNUMBER($D19),Z$1&lt;=$D19,Z$1+6&gt;=$C19),1,"")</f>
        <v/>
      </c>
      <c r="AA19" s="7" t="str">
        <f>IF(AND(ISNUMBER($C19),ISNUMBER($D19),AA$1&lt;=$D19,AA$1+6&gt;=$C19),1,"")</f>
        <v/>
      </c>
      <c r="AB19" s="7" t="str">
        <f>IF(AND(ISNUMBER($C19),ISNUMBER($D19),AB$1&lt;=$D19,AB$1+6&gt;=$C19),1,"")</f>
        <v/>
      </c>
      <c r="AC19" s="7" t="str">
        <f>IF(AND(ISNUMBER($C19),ISNUMBER($D19),AC$1&lt;=$D19,AC$1+6&gt;=$C19),1,"")</f>
        <v/>
      </c>
      <c r="AD19" s="7" t="str">
        <f>IF(AND(ISNUMBER($C19),ISNUMBER($D19),AD$1&lt;=$D19,AD$1+6&gt;=$C19),1,"")</f>
        <v/>
      </c>
      <c r="AE19" s="7" t="str">
        <f>IF(AND(ISNUMBER($C19),ISNUMBER($D19),AE$1&lt;=$D19,AE$1+6&gt;=$C19),1,"")</f>
        <v/>
      </c>
      <c r="AF19" s="7" t="str">
        <f>IF(AND(ISNUMBER($C19),ISNUMBER($D19),AF$1&lt;=$D19,AF$1+6&gt;=$C19),1,"")</f>
        <v/>
      </c>
      <c r="AG19" s="7" t="str">
        <f>IF(AND(ISNUMBER($C19),ISNUMBER($D19),AG$1&lt;=$D19,AG$1+6&gt;=$C19),1,"")</f>
        <v/>
      </c>
      <c r="AH19" s="7" t="str">
        <f>IF(AND(ISNUMBER($C19),ISNUMBER($D19),AH$1&lt;=$D19,AH$1+6&gt;=$C19),1,"")</f>
        <v/>
      </c>
      <c r="AI19" s="7" t="str">
        <f>IF(AND(ISNUMBER($C19),ISNUMBER($D19),AI$1&lt;=$D19,AI$1+6&gt;=$C19),1,"")</f>
        <v/>
      </c>
      <c r="AJ19" s="7" t="str">
        <f>IF(AND(ISNUMBER($C19),ISNUMBER($D19),AJ$1&lt;=$D19,AJ$1+6&gt;=$C19),1,"")</f>
        <v/>
      </c>
      <c r="AK19" s="7" t="str">
        <f>IF(AND(ISNUMBER($C19),ISNUMBER($D19),AK$1&lt;=$D19,AK$1+6&gt;=$C19),1,"")</f>
        <v/>
      </c>
      <c r="AL19" s="7" t="str">
        <f>IF(AND(ISNUMBER($C19),ISNUMBER($D19),AL$1&lt;=$D19,AL$1+6&gt;=$C19),1,"")</f>
        <v/>
      </c>
      <c r="AM19" s="7" t="str">
        <f>IF(AND(ISNUMBER($C19),ISNUMBER($D19),AM$1&lt;=$D19,AM$1+6&gt;=$C19),1,"")</f>
        <v/>
      </c>
      <c r="AN19" s="7" t="str">
        <f>IF(AND(ISNUMBER($C19),ISNUMBER($D19),AN$1&lt;=$D19,AN$1+6&gt;=$C19),1,"")</f>
        <v/>
      </c>
      <c r="AO19" s="7" t="str">
        <f>IF(AND(ISNUMBER($C19),ISNUMBER($D19),AO$1&lt;=$D19,AO$1+6&gt;=$C19),1,"")</f>
        <v/>
      </c>
      <c r="AP19" s="7" t="str">
        <f>IF(AND(ISNUMBER($C19),ISNUMBER($D19),AP$1&lt;=$D19,AP$1+6&gt;=$C19),1,"")</f>
        <v/>
      </c>
      <c r="AQ19" s="7" t="str">
        <f>IF(AND(ISNUMBER($C19),ISNUMBER($D19),AQ$1&lt;=$D19,AQ$1+6&gt;=$C19),1,"")</f>
        <v/>
      </c>
      <c r="AR19" s="7" t="str">
        <f>IF(AND(ISNUMBER($C19),ISNUMBER($D19),AR$1&lt;=$D19,AR$1+6&gt;=$C19),1,"")</f>
        <v/>
      </c>
      <c r="AS19" s="7" t="str">
        <f>IF(AND(ISNUMBER($C19),ISNUMBER($D19),AS$1&lt;=$D19,AS$1+6&gt;=$C19),1,"")</f>
        <v/>
      </c>
      <c r="AT19" s="7" t="str">
        <f>IF(AND(ISNUMBER($C19),ISNUMBER($D19),AT$1&lt;=$D19,AT$1+6&gt;=$C19),1,"")</f>
        <v/>
      </c>
      <c r="AU19" s="7" t="str">
        <f>IF(AND(ISNUMBER($C19),ISNUMBER($D19),AU$1&lt;=$D19,AU$1+6&gt;=$C19),1,"")</f>
        <v/>
      </c>
      <c r="AV19" s="7" t="str">
        <f>IF(AND(ISNUMBER($C19),ISNUMBER($D19),AV$1&lt;=$D19,AV$1+6&gt;=$C19),1,"")</f>
        <v/>
      </c>
      <c r="AW19" s="7" t="str">
        <f>IF(AND(ISNUMBER($C19),ISNUMBER($D19),AW$1&lt;=$D19,AW$1+6&gt;=$C19),1,"")</f>
        <v/>
      </c>
      <c r="AX19" s="7" t="str">
        <f>IF(AND(ISNUMBER($C19),ISNUMBER($D19),AX$1&lt;=$D19,AX$1+6&gt;=$C19),1,"")</f>
        <v/>
      </c>
      <c r="AY19" s="7" t="str">
        <f>IF(AND(ISNUMBER($C19),ISNUMBER($D19),AY$1&lt;=$D19,AY$1+6&gt;=$C19),1,"")</f>
        <v/>
      </c>
      <c r="AZ19" s="7" t="str">
        <f>IF(AND(ISNUMBER($C19),ISNUMBER($D19),AZ$1&lt;=$D19,AZ$1+6&gt;=$C19),1,"")</f>
        <v/>
      </c>
      <c r="BA19" s="7" t="str">
        <f>IF(AND(ISNUMBER($C19),ISNUMBER($D19),BA$1&lt;=$D19,BA$1+6&gt;=$C19),1,"")</f>
        <v/>
      </c>
      <c r="BB19" s="7">
        <f>IF(AND(ISNUMBER($C19),ISNUMBER($D19),BB$1&lt;=$D19,BB$1+6&gt;=$C19),1,"")</f>
        <v>1</v>
      </c>
      <c r="BC19" s="7">
        <f>IF(AND(ISNUMBER($C19),ISNUMBER($D19),BC$1&lt;=$D19,BC$1+6&gt;=$C19),1,"")</f>
        <v>1</v>
      </c>
      <c r="BD19" s="7">
        <f>IF(AND(ISNUMBER($C19),ISNUMBER($D19),BD$1&lt;=$D19,BD$1+6&gt;=$C19),1,"")</f>
        <v>1</v>
      </c>
      <c r="BE19" s="7">
        <f>IF(AND(ISNUMBER($C19),ISNUMBER($D19),BE$1&lt;=$D19,BE$1+6&gt;=$C19),1,"")</f>
        <v>1</v>
      </c>
      <c r="BF19" s="7">
        <f>IF(AND(ISNUMBER($C19),ISNUMBER($D19),BF$1&lt;=$D19,BF$1+6&gt;=$C19),1,"")</f>
        <v>1</v>
      </c>
      <c r="BG19" s="7" t="str">
        <f>IF(AND(ISNUMBER($C19),ISNUMBER($D19),BG$1&lt;=$D19,BG$1+6&gt;=$C19),1,"")</f>
        <v/>
      </c>
      <c r="BH19" s="7" t="str">
        <f>IF(AND(ISNUMBER($C19),ISNUMBER($D19),BH$1&lt;=$D19,BH$1+6&gt;=$C19),1,"")</f>
        <v/>
      </c>
      <c r="BI19" s="7" t="str">
        <f>IF(AND(ISNUMBER($C19),ISNUMBER($D19),BI$1&lt;=$D19,BI$1+6&gt;=$C19),1,"")</f>
        <v/>
      </c>
      <c r="BJ19" s="7" t="str">
        <f>IF(AND(ISNUMBER($C19),ISNUMBER($D19),BJ$1&lt;=$D19,BJ$1+6&gt;=$C19),1,"")</f>
        <v/>
      </c>
      <c r="BK19" s="7" t="str">
        <f>IF(AND(ISNUMBER($C19),ISNUMBER($D19),BK$1&lt;=$D19,BK$1+6&gt;=$C19),1,"")</f>
        <v/>
      </c>
      <c r="BL19" s="7" t="str">
        <f>IF(AND(ISNUMBER($C19),ISNUMBER($D19),BL$1&lt;=$D19,BL$1+6&gt;=$C19),1,"")</f>
        <v/>
      </c>
      <c r="BM19" s="7" t="str">
        <f>IF(AND(ISNUMBER($C19),ISNUMBER($D19),BM$1&lt;=$D19,BM$1+6&gt;=$C19),1,"")</f>
        <v/>
      </c>
      <c r="BN19" s="7" t="str">
        <f>IF(AND(ISNUMBER($C19),ISNUMBER($D19),BN$1&lt;=$D19,BN$1+6&gt;=$C19),1,"")</f>
        <v/>
      </c>
      <c r="BO19" s="7" t="str">
        <f>IF(AND(ISNUMBER($C19),ISNUMBER($D19),BO$1&lt;=$D19,BO$1+6&gt;=$C19),1,"")</f>
        <v/>
      </c>
      <c r="BP19" s="7" t="str">
        <f>IF(AND(ISNUMBER($C19),ISNUMBER($D19),BP$1&lt;=$D19,BP$1+6&gt;=$C19),1,"")</f>
        <v/>
      </c>
      <c r="BQ19" s="7" t="str">
        <f>IF(AND(ISNUMBER($C19),ISNUMBER($D19),BQ$1&lt;=$D19,BQ$1+6&gt;=$C19),1,"")</f>
        <v/>
      </c>
      <c r="BR19" s="7" t="str">
        <f>IF(AND(ISNUMBER($C19),ISNUMBER($D19),BR$1&lt;=$D19,BR$1+6&gt;=$C19),1,"")</f>
        <v/>
      </c>
      <c r="BS19" s="7" t="str">
        <f>IF(AND(ISNUMBER($C19),ISNUMBER($D19),BS$1&lt;=$D19,BS$1+6&gt;=$C19),1,"")</f>
        <v/>
      </c>
      <c r="BT19" s="7" t="str">
        <f>IF(AND(ISNUMBER($C19),ISNUMBER($D19),BT$1&lt;=$D19,BT$1+6&gt;=$C19),1,"")</f>
        <v/>
      </c>
      <c r="BU19" s="7" t="str">
        <f>IF(AND(ISNUMBER($C19),ISNUMBER($D19),BU$1&lt;=$D19,BU$1+6&gt;=$C19),1,"")</f>
        <v/>
      </c>
      <c r="BV19" s="7" t="str">
        <f>IF(AND(ISNUMBER($C19),ISNUMBER($D19),BV$1&lt;=$D19,BV$1+6&gt;=$C19),1,"")</f>
        <v/>
      </c>
      <c r="BW19" s="7" t="str">
        <f>IF(AND(ISNUMBER($C19),ISNUMBER($D19),BW$1&lt;=$D19,BW$1+6&gt;=$C19),1,"")</f>
        <v/>
      </c>
      <c r="BX19" s="7" t="str">
        <f>IF(AND(ISNUMBER($C19),ISNUMBER($D19),BX$1&lt;=$D19,BX$1+6&gt;=$C19),1,"")</f>
        <v/>
      </c>
      <c r="BY19" s="7" t="str">
        <f>IF(AND(ISNUMBER($C19),ISNUMBER($D19),BY$1&lt;=$D19,BY$1+6&gt;=$C19),1,"")</f>
        <v/>
      </c>
      <c r="BZ19" s="7" t="str">
        <f>IF(AND(ISNUMBER($C19),ISNUMBER($D19),BZ$1&lt;=$D19,BZ$1+6&gt;=$C19),1,"")</f>
        <v/>
      </c>
      <c r="CA19" s="7" t="str">
        <f>IF(AND(ISNUMBER($C19),ISNUMBER($D19),CA$1&lt;=$D19,CA$1+6&gt;=$C19),1,"")</f>
        <v/>
      </c>
      <c r="CB19" s="7" t="str">
        <f>IF(AND(ISNUMBER($C19),ISNUMBER($D19),CB$1&lt;=$D19,CB$1+6&gt;=$C19),1,"")</f>
        <v/>
      </c>
      <c r="CC19" s="7" t="str">
        <f>IF(AND(ISNUMBER($C19),ISNUMBER($D19),CC$1&lt;=$D19,CC$1+6&gt;=$C19),1,"")</f>
        <v/>
      </c>
      <c r="CD19" s="7" t="str">
        <f>IF(AND(ISNUMBER($C19),ISNUMBER($D19),CD$1&lt;=$D19,CD$1+6&gt;=$C19),1,"")</f>
        <v/>
      </c>
      <c r="CE19" s="7" t="str">
        <f>IF(AND(ISNUMBER($C19),ISNUMBER($D19),CE$1&lt;=$D19,CE$1+6&gt;=$C19),1,"")</f>
        <v/>
      </c>
      <c r="CF19" s="7" t="str">
        <f>IF(AND(ISNUMBER($C19),ISNUMBER($D19),CF$1&lt;=$D19,CF$1+6&gt;=$C19),1,"")</f>
        <v/>
      </c>
      <c r="CG19" s="7" t="str">
        <f>IF(AND(ISNUMBER($C19),ISNUMBER($D19),CG$1&lt;=$D19,CG$1+6&gt;=$C19),1,"")</f>
        <v/>
      </c>
      <c r="CH19" s="7" t="str">
        <f>IF(AND(ISNUMBER($C19),ISNUMBER($D19),CH$1&lt;=$D19,CH$1+6&gt;=$C19),1,"")</f>
        <v/>
      </c>
      <c r="CI19" s="7" t="str">
        <f>IF(AND(ISNUMBER($C19),ISNUMBER($D19),CI$1&lt;=$D19,CI$1+6&gt;=$C19),1,"")</f>
        <v/>
      </c>
      <c r="CJ19" s="7" t="str">
        <f>IF(AND(ISNUMBER($C19),ISNUMBER($D19),CJ$1&lt;=$D19,CJ$1+6&gt;=$C19),1,"")</f>
        <v/>
      </c>
      <c r="CK19" s="7" t="str">
        <f>IF(AND(ISNUMBER($C19),ISNUMBER($D19),CK$1&lt;=$D19,CK$1+6&gt;=$C19),1,"")</f>
        <v/>
      </c>
      <c r="CL19" s="7" t="str">
        <f>IF(AND(ISNUMBER($C19),ISNUMBER($D19),CL$1&lt;=$D19,CL$1+6&gt;=$C19),1,"")</f>
        <v/>
      </c>
      <c r="CM19" s="7" t="str">
        <f>IF(AND(ISNUMBER($C19),ISNUMBER($D19),CM$1&lt;=$D19,CM$1+6&gt;=$C19),1,"")</f>
        <v/>
      </c>
      <c r="CN19" s="7" t="str">
        <f>IF(AND(ISNUMBER($C19),ISNUMBER($D19),CN$1&lt;=$D19,CN$1+6&gt;=$C19),1,"")</f>
        <v/>
      </c>
      <c r="CO19" s="7" t="str">
        <f>IF(AND(ISNUMBER($C19),ISNUMBER($D19),CO$1&lt;=$D19,CO$1+6&gt;=$C19),1,"")</f>
        <v/>
      </c>
      <c r="CP19" s="7" t="str">
        <f>IF(AND(ISNUMBER($C19),ISNUMBER($D19),CP$1&lt;=$D19,CP$1+6&gt;=$C19),1,"")</f>
        <v/>
      </c>
      <c r="CQ19" s="7" t="str">
        <f>IF(AND(ISNUMBER($C19),ISNUMBER($D19),CQ$1&lt;=$D19,CQ$1+6&gt;=$C19),1,"")</f>
        <v/>
      </c>
      <c r="CR19" s="7" t="str">
        <f>IF(AND(ISNUMBER($C19),ISNUMBER($D19),CR$1&lt;=$D19,CR$1+6&gt;=$C19),1,"")</f>
        <v/>
      </c>
      <c r="CS19" s="7" t="str">
        <f>IF(AND(ISNUMBER($C19),ISNUMBER($D19),CS$1&lt;=$D19,CS$1+6&gt;=$C19),1,"")</f>
        <v/>
      </c>
      <c r="CT19" s="7" t="str">
        <f>IF(AND(ISNUMBER($C19),ISNUMBER($D19),CT$1&lt;=$D19,CT$1+6&gt;=$C19),1,"")</f>
        <v/>
      </c>
      <c r="CU19" s="7" t="str">
        <f>IF(AND(ISNUMBER($C19),ISNUMBER($D19),CU$1&lt;=$D19,CU$1+6&gt;=$C19),1,"")</f>
        <v/>
      </c>
      <c r="CV19" s="7" t="str">
        <f>IF(AND(ISNUMBER($C19),ISNUMBER($D19),CV$1&lt;=$D19,CV$1+6&gt;=$C19),1,"")</f>
        <v/>
      </c>
      <c r="CW19" s="7" t="str">
        <f>IF(AND(ISNUMBER($C19),ISNUMBER($D19),CW$1&lt;=$D19,CW$1+6&gt;=$C19),1,"")</f>
        <v/>
      </c>
      <c r="CX19" s="7" t="str">
        <f>IF(AND(ISNUMBER($C19),ISNUMBER($D19),CX$1&lt;=$D19,CX$1+6&gt;=$C19),1,"")</f>
        <v/>
      </c>
      <c r="CY19" s="7" t="str">
        <f>IF(AND(ISNUMBER($C19),ISNUMBER($D19),CY$1&lt;=$D19,CY$1+6&gt;=$C19),1,"")</f>
        <v/>
      </c>
      <c r="CZ19" s="7" t="str">
        <f>IF(AND(ISNUMBER($C19),ISNUMBER($D19),CZ$1&lt;=$D19,CZ$1+6&gt;=$C19),1,"")</f>
        <v/>
      </c>
      <c r="DA19" s="7" t="str">
        <f>IF(AND(ISNUMBER($C19),ISNUMBER($D19),DA$1&lt;=$D19,DA$1+6&gt;=$C19),1,"")</f>
        <v/>
      </c>
      <c r="DB19" s="7" t="str">
        <f>IF(AND(ISNUMBER($C19),ISNUMBER($D19),DB$1&lt;=$D19,DB$1+6&gt;=$C19),1,"")</f>
        <v/>
      </c>
      <c r="DC19" s="7" t="str">
        <f>IF(AND(ISNUMBER($C19),ISNUMBER($D19),DC$1&lt;=$D19,DC$1+6&gt;=$C19),1,"")</f>
        <v/>
      </c>
      <c r="DD19" s="7" t="str">
        <f>IF(AND(ISNUMBER($C19),ISNUMBER($D19),DD$1&lt;=$D19,DD$1+6&gt;=$C19),1,"")</f>
        <v/>
      </c>
    </row>
    <row r="20" spans="1:108" x14ac:dyDescent="0.35">
      <c r="A20" s="6" t="str">
        <f>Schedule!B20</f>
        <v>Authentication API and system security</v>
      </c>
      <c r="B20" s="6" t="str">
        <f>Schedule!C20</f>
        <v>Core</v>
      </c>
      <c r="C20" s="4">
        <f>IF(Schedule!P20="","",Schedule!P20)</f>
        <v>46692</v>
      </c>
      <c r="D20" s="4">
        <f>IF(Schedule!Q20="","",Schedule!Q20)</f>
        <v>46713</v>
      </c>
      <c r="E20" s="7" t="str">
        <f>IF(AND(ISNUMBER($C20),ISNUMBER($D20),E$1&lt;=$D20,E$1+6&gt;=$C20),1,"")</f>
        <v/>
      </c>
      <c r="F20" s="7" t="str">
        <f>IF(AND(ISNUMBER($C20),ISNUMBER($D20),F$1&lt;=$D20,F$1+6&gt;=$C20),1,"")</f>
        <v/>
      </c>
      <c r="G20" s="7" t="str">
        <f>IF(AND(ISNUMBER($C20),ISNUMBER($D20),G$1&lt;=$D20,G$1+6&gt;=$C20),1,"")</f>
        <v/>
      </c>
      <c r="H20" s="7" t="str">
        <f>IF(AND(ISNUMBER($C20),ISNUMBER($D20),H$1&lt;=$D20,H$1+6&gt;=$C20),1,"")</f>
        <v/>
      </c>
      <c r="I20" s="7" t="str">
        <f>IF(AND(ISNUMBER($C20),ISNUMBER($D20),I$1&lt;=$D20,I$1+6&gt;=$C20),1,"")</f>
        <v/>
      </c>
      <c r="J20" s="7" t="str">
        <f>IF(AND(ISNUMBER($C20),ISNUMBER($D20),J$1&lt;=$D20,J$1+6&gt;=$C20),1,"")</f>
        <v/>
      </c>
      <c r="K20" s="7" t="str">
        <f>IF(AND(ISNUMBER($C20),ISNUMBER($D20),K$1&lt;=$D20,K$1+6&gt;=$C20),1,"")</f>
        <v/>
      </c>
      <c r="L20" s="7" t="str">
        <f>IF(AND(ISNUMBER($C20),ISNUMBER($D20),L$1&lt;=$D20,L$1+6&gt;=$C20),1,"")</f>
        <v/>
      </c>
      <c r="M20" s="7" t="str">
        <f>IF(AND(ISNUMBER($C20),ISNUMBER($D20),M$1&lt;=$D20,M$1+6&gt;=$C20),1,"")</f>
        <v/>
      </c>
      <c r="N20" s="7" t="str">
        <f>IF(AND(ISNUMBER($C20),ISNUMBER($D20),N$1&lt;=$D20,N$1+6&gt;=$C20),1,"")</f>
        <v/>
      </c>
      <c r="O20" s="7" t="str">
        <f>IF(AND(ISNUMBER($C20),ISNUMBER($D20),O$1&lt;=$D20,O$1+6&gt;=$C20),1,"")</f>
        <v/>
      </c>
      <c r="P20" s="7" t="str">
        <f>IF(AND(ISNUMBER($C20),ISNUMBER($D20),P$1&lt;=$D20,P$1+6&gt;=$C20),1,"")</f>
        <v/>
      </c>
      <c r="Q20" s="7" t="str">
        <f>IF(AND(ISNUMBER($C20),ISNUMBER($D20),Q$1&lt;=$D20,Q$1+6&gt;=$C20),1,"")</f>
        <v/>
      </c>
      <c r="R20" s="7" t="str">
        <f>IF(AND(ISNUMBER($C20),ISNUMBER($D20),R$1&lt;=$D20,R$1+6&gt;=$C20),1,"")</f>
        <v/>
      </c>
      <c r="S20" s="7" t="str">
        <f>IF(AND(ISNUMBER($C20),ISNUMBER($D20),S$1&lt;=$D20,S$1+6&gt;=$C20),1,"")</f>
        <v/>
      </c>
      <c r="T20" s="7" t="str">
        <f>IF(AND(ISNUMBER($C20),ISNUMBER($D20),T$1&lt;=$D20,T$1+6&gt;=$C20),1,"")</f>
        <v/>
      </c>
      <c r="U20" s="7" t="str">
        <f>IF(AND(ISNUMBER($C20),ISNUMBER($D20),U$1&lt;=$D20,U$1+6&gt;=$C20),1,"")</f>
        <v/>
      </c>
      <c r="V20" s="7" t="str">
        <f>IF(AND(ISNUMBER($C20),ISNUMBER($D20),V$1&lt;=$D20,V$1+6&gt;=$C20),1,"")</f>
        <v/>
      </c>
      <c r="W20" s="7" t="str">
        <f>IF(AND(ISNUMBER($C20),ISNUMBER($D20),W$1&lt;=$D20,W$1+6&gt;=$C20),1,"")</f>
        <v/>
      </c>
      <c r="X20" s="7" t="str">
        <f>IF(AND(ISNUMBER($C20),ISNUMBER($D20),X$1&lt;=$D20,X$1+6&gt;=$C20),1,"")</f>
        <v/>
      </c>
      <c r="Y20" s="7" t="str">
        <f>IF(AND(ISNUMBER($C20),ISNUMBER($D20),Y$1&lt;=$D20,Y$1+6&gt;=$C20),1,"")</f>
        <v/>
      </c>
      <c r="Z20" s="7" t="str">
        <f>IF(AND(ISNUMBER($C20),ISNUMBER($D20),Z$1&lt;=$D20,Z$1+6&gt;=$C20),1,"")</f>
        <v/>
      </c>
      <c r="AA20" s="7" t="str">
        <f>IF(AND(ISNUMBER($C20),ISNUMBER($D20),AA$1&lt;=$D20,AA$1+6&gt;=$C20),1,"")</f>
        <v/>
      </c>
      <c r="AB20" s="7" t="str">
        <f>IF(AND(ISNUMBER($C20),ISNUMBER($D20),AB$1&lt;=$D20,AB$1+6&gt;=$C20),1,"")</f>
        <v/>
      </c>
      <c r="AC20" s="7" t="str">
        <f>IF(AND(ISNUMBER($C20),ISNUMBER($D20),AC$1&lt;=$D20,AC$1+6&gt;=$C20),1,"")</f>
        <v/>
      </c>
      <c r="AD20" s="7" t="str">
        <f>IF(AND(ISNUMBER($C20),ISNUMBER($D20),AD$1&lt;=$D20,AD$1+6&gt;=$C20),1,"")</f>
        <v/>
      </c>
      <c r="AE20" s="7" t="str">
        <f>IF(AND(ISNUMBER($C20),ISNUMBER($D20),AE$1&lt;=$D20,AE$1+6&gt;=$C20),1,"")</f>
        <v/>
      </c>
      <c r="AF20" s="7" t="str">
        <f>IF(AND(ISNUMBER($C20),ISNUMBER($D20),AF$1&lt;=$D20,AF$1+6&gt;=$C20),1,"")</f>
        <v/>
      </c>
      <c r="AG20" s="7" t="str">
        <f>IF(AND(ISNUMBER($C20),ISNUMBER($D20),AG$1&lt;=$D20,AG$1+6&gt;=$C20),1,"")</f>
        <v/>
      </c>
      <c r="AH20" s="7" t="str">
        <f>IF(AND(ISNUMBER($C20),ISNUMBER($D20),AH$1&lt;=$D20,AH$1+6&gt;=$C20),1,"")</f>
        <v/>
      </c>
      <c r="AI20" s="7" t="str">
        <f>IF(AND(ISNUMBER($C20),ISNUMBER($D20),AI$1&lt;=$D20,AI$1+6&gt;=$C20),1,"")</f>
        <v/>
      </c>
      <c r="AJ20" s="7" t="str">
        <f>IF(AND(ISNUMBER($C20),ISNUMBER($D20),AJ$1&lt;=$D20,AJ$1+6&gt;=$C20),1,"")</f>
        <v/>
      </c>
      <c r="AK20" s="7" t="str">
        <f>IF(AND(ISNUMBER($C20),ISNUMBER($D20),AK$1&lt;=$D20,AK$1+6&gt;=$C20),1,"")</f>
        <v/>
      </c>
      <c r="AL20" s="7" t="str">
        <f>IF(AND(ISNUMBER($C20),ISNUMBER($D20),AL$1&lt;=$D20,AL$1+6&gt;=$C20),1,"")</f>
        <v/>
      </c>
      <c r="AM20" s="7" t="str">
        <f>IF(AND(ISNUMBER($C20),ISNUMBER($D20),AM$1&lt;=$D20,AM$1+6&gt;=$C20),1,"")</f>
        <v/>
      </c>
      <c r="AN20" s="7" t="str">
        <f>IF(AND(ISNUMBER($C20),ISNUMBER($D20),AN$1&lt;=$D20,AN$1+6&gt;=$C20),1,"")</f>
        <v/>
      </c>
      <c r="AO20" s="7" t="str">
        <f>IF(AND(ISNUMBER($C20),ISNUMBER($D20),AO$1&lt;=$D20,AO$1+6&gt;=$C20),1,"")</f>
        <v/>
      </c>
      <c r="AP20" s="7" t="str">
        <f>IF(AND(ISNUMBER($C20),ISNUMBER($D20),AP$1&lt;=$D20,AP$1+6&gt;=$C20),1,"")</f>
        <v/>
      </c>
      <c r="AQ20" s="7" t="str">
        <f>IF(AND(ISNUMBER($C20),ISNUMBER($D20),AQ$1&lt;=$D20,AQ$1+6&gt;=$C20),1,"")</f>
        <v/>
      </c>
      <c r="AR20" s="7" t="str">
        <f>IF(AND(ISNUMBER($C20),ISNUMBER($D20),AR$1&lt;=$D20,AR$1+6&gt;=$C20),1,"")</f>
        <v/>
      </c>
      <c r="AS20" s="7" t="str">
        <f>IF(AND(ISNUMBER($C20),ISNUMBER($D20),AS$1&lt;=$D20,AS$1+6&gt;=$C20),1,"")</f>
        <v/>
      </c>
      <c r="AT20" s="7" t="str">
        <f>IF(AND(ISNUMBER($C20),ISNUMBER($D20),AT$1&lt;=$D20,AT$1+6&gt;=$C20),1,"")</f>
        <v/>
      </c>
      <c r="AU20" s="7" t="str">
        <f>IF(AND(ISNUMBER($C20),ISNUMBER($D20),AU$1&lt;=$D20,AU$1+6&gt;=$C20),1,"")</f>
        <v/>
      </c>
      <c r="AV20" s="7" t="str">
        <f>IF(AND(ISNUMBER($C20),ISNUMBER($D20),AV$1&lt;=$D20,AV$1+6&gt;=$C20),1,"")</f>
        <v/>
      </c>
      <c r="AW20" s="7" t="str">
        <f>IF(AND(ISNUMBER($C20),ISNUMBER($D20),AW$1&lt;=$D20,AW$1+6&gt;=$C20),1,"")</f>
        <v/>
      </c>
      <c r="AX20" s="7" t="str">
        <f>IF(AND(ISNUMBER($C20),ISNUMBER($D20),AX$1&lt;=$D20,AX$1+6&gt;=$C20),1,"")</f>
        <v/>
      </c>
      <c r="AY20" s="7" t="str">
        <f>IF(AND(ISNUMBER($C20),ISNUMBER($D20),AY$1&lt;=$D20,AY$1+6&gt;=$C20),1,"")</f>
        <v/>
      </c>
      <c r="AZ20" s="7" t="str">
        <f>IF(AND(ISNUMBER($C20),ISNUMBER($D20),AZ$1&lt;=$D20,AZ$1+6&gt;=$C20),1,"")</f>
        <v/>
      </c>
      <c r="BA20" s="7" t="str">
        <f>IF(AND(ISNUMBER($C20),ISNUMBER($D20),BA$1&lt;=$D20,BA$1+6&gt;=$C20),1,"")</f>
        <v/>
      </c>
      <c r="BB20" s="7" t="str">
        <f>IF(AND(ISNUMBER($C20),ISNUMBER($D20),BB$1&lt;=$D20,BB$1+6&gt;=$C20),1,"")</f>
        <v/>
      </c>
      <c r="BC20" s="7" t="str">
        <f>IF(AND(ISNUMBER($C20),ISNUMBER($D20),BC$1&lt;=$D20,BC$1+6&gt;=$C20),1,"")</f>
        <v/>
      </c>
      <c r="BD20" s="7" t="str">
        <f>IF(AND(ISNUMBER($C20),ISNUMBER($D20),BD$1&lt;=$D20,BD$1+6&gt;=$C20),1,"")</f>
        <v/>
      </c>
      <c r="BE20" s="7" t="str">
        <f>IF(AND(ISNUMBER($C20),ISNUMBER($D20),BE$1&lt;=$D20,BE$1+6&gt;=$C20),1,"")</f>
        <v/>
      </c>
      <c r="BF20" s="7">
        <f>IF(AND(ISNUMBER($C20),ISNUMBER($D20),BF$1&lt;=$D20,BF$1+6&gt;=$C20),1,"")</f>
        <v>1</v>
      </c>
      <c r="BG20" s="7">
        <f>IF(AND(ISNUMBER($C20),ISNUMBER($D20),BG$1&lt;=$D20,BG$1+6&gt;=$C20),1,"")</f>
        <v>1</v>
      </c>
      <c r="BH20" s="7">
        <f>IF(AND(ISNUMBER($C20),ISNUMBER($D20),BH$1&lt;=$D20,BH$1+6&gt;=$C20),1,"")</f>
        <v>1</v>
      </c>
      <c r="BI20" s="7">
        <f>IF(AND(ISNUMBER($C20),ISNUMBER($D20),BI$1&lt;=$D20,BI$1+6&gt;=$C20),1,"")</f>
        <v>1</v>
      </c>
      <c r="BJ20" s="7" t="str">
        <f>IF(AND(ISNUMBER($C20),ISNUMBER($D20),BJ$1&lt;=$D20,BJ$1+6&gt;=$C20),1,"")</f>
        <v/>
      </c>
      <c r="BK20" s="7" t="str">
        <f>IF(AND(ISNUMBER($C20),ISNUMBER($D20),BK$1&lt;=$D20,BK$1+6&gt;=$C20),1,"")</f>
        <v/>
      </c>
      <c r="BL20" s="7" t="str">
        <f>IF(AND(ISNUMBER($C20),ISNUMBER($D20),BL$1&lt;=$D20,BL$1+6&gt;=$C20),1,"")</f>
        <v/>
      </c>
      <c r="BM20" s="7" t="str">
        <f>IF(AND(ISNUMBER($C20),ISNUMBER($D20),BM$1&lt;=$D20,BM$1+6&gt;=$C20),1,"")</f>
        <v/>
      </c>
      <c r="BN20" s="7" t="str">
        <f>IF(AND(ISNUMBER($C20),ISNUMBER($D20),BN$1&lt;=$D20,BN$1+6&gt;=$C20),1,"")</f>
        <v/>
      </c>
      <c r="BO20" s="7" t="str">
        <f>IF(AND(ISNUMBER($C20),ISNUMBER($D20),BO$1&lt;=$D20,BO$1+6&gt;=$C20),1,"")</f>
        <v/>
      </c>
      <c r="BP20" s="7" t="str">
        <f>IF(AND(ISNUMBER($C20),ISNUMBER($D20),BP$1&lt;=$D20,BP$1+6&gt;=$C20),1,"")</f>
        <v/>
      </c>
      <c r="BQ20" s="7" t="str">
        <f>IF(AND(ISNUMBER($C20),ISNUMBER($D20),BQ$1&lt;=$D20,BQ$1+6&gt;=$C20),1,"")</f>
        <v/>
      </c>
      <c r="BR20" s="7" t="str">
        <f>IF(AND(ISNUMBER($C20),ISNUMBER($D20),BR$1&lt;=$D20,BR$1+6&gt;=$C20),1,"")</f>
        <v/>
      </c>
      <c r="BS20" s="7" t="str">
        <f>IF(AND(ISNUMBER($C20),ISNUMBER($D20),BS$1&lt;=$D20,BS$1+6&gt;=$C20),1,"")</f>
        <v/>
      </c>
      <c r="BT20" s="7" t="str">
        <f>IF(AND(ISNUMBER($C20),ISNUMBER($D20),BT$1&lt;=$D20,BT$1+6&gt;=$C20),1,"")</f>
        <v/>
      </c>
      <c r="BU20" s="7" t="str">
        <f>IF(AND(ISNUMBER($C20),ISNUMBER($D20),BU$1&lt;=$D20,BU$1+6&gt;=$C20),1,"")</f>
        <v/>
      </c>
      <c r="BV20" s="7" t="str">
        <f>IF(AND(ISNUMBER($C20),ISNUMBER($D20),BV$1&lt;=$D20,BV$1+6&gt;=$C20),1,"")</f>
        <v/>
      </c>
      <c r="BW20" s="7" t="str">
        <f>IF(AND(ISNUMBER($C20),ISNUMBER($D20),BW$1&lt;=$D20,BW$1+6&gt;=$C20),1,"")</f>
        <v/>
      </c>
      <c r="BX20" s="7" t="str">
        <f>IF(AND(ISNUMBER($C20),ISNUMBER($D20),BX$1&lt;=$D20,BX$1+6&gt;=$C20),1,"")</f>
        <v/>
      </c>
      <c r="BY20" s="7" t="str">
        <f>IF(AND(ISNUMBER($C20),ISNUMBER($D20),BY$1&lt;=$D20,BY$1+6&gt;=$C20),1,"")</f>
        <v/>
      </c>
      <c r="BZ20" s="7" t="str">
        <f>IF(AND(ISNUMBER($C20),ISNUMBER($D20),BZ$1&lt;=$D20,BZ$1+6&gt;=$C20),1,"")</f>
        <v/>
      </c>
      <c r="CA20" s="7" t="str">
        <f>IF(AND(ISNUMBER($C20),ISNUMBER($D20),CA$1&lt;=$D20,CA$1+6&gt;=$C20),1,"")</f>
        <v/>
      </c>
      <c r="CB20" s="7" t="str">
        <f>IF(AND(ISNUMBER($C20),ISNUMBER($D20),CB$1&lt;=$D20,CB$1+6&gt;=$C20),1,"")</f>
        <v/>
      </c>
      <c r="CC20" s="7" t="str">
        <f>IF(AND(ISNUMBER($C20),ISNUMBER($D20),CC$1&lt;=$D20,CC$1+6&gt;=$C20),1,"")</f>
        <v/>
      </c>
      <c r="CD20" s="7" t="str">
        <f>IF(AND(ISNUMBER($C20),ISNUMBER($D20),CD$1&lt;=$D20,CD$1+6&gt;=$C20),1,"")</f>
        <v/>
      </c>
      <c r="CE20" s="7" t="str">
        <f>IF(AND(ISNUMBER($C20),ISNUMBER($D20),CE$1&lt;=$D20,CE$1+6&gt;=$C20),1,"")</f>
        <v/>
      </c>
      <c r="CF20" s="7" t="str">
        <f>IF(AND(ISNUMBER($C20),ISNUMBER($D20),CF$1&lt;=$D20,CF$1+6&gt;=$C20),1,"")</f>
        <v/>
      </c>
      <c r="CG20" s="7" t="str">
        <f>IF(AND(ISNUMBER($C20),ISNUMBER($D20),CG$1&lt;=$D20,CG$1+6&gt;=$C20),1,"")</f>
        <v/>
      </c>
      <c r="CH20" s="7" t="str">
        <f>IF(AND(ISNUMBER($C20),ISNUMBER($D20),CH$1&lt;=$D20,CH$1+6&gt;=$C20),1,"")</f>
        <v/>
      </c>
      <c r="CI20" s="7" t="str">
        <f>IF(AND(ISNUMBER($C20),ISNUMBER($D20),CI$1&lt;=$D20,CI$1+6&gt;=$C20),1,"")</f>
        <v/>
      </c>
      <c r="CJ20" s="7" t="str">
        <f>IF(AND(ISNUMBER($C20),ISNUMBER($D20),CJ$1&lt;=$D20,CJ$1+6&gt;=$C20),1,"")</f>
        <v/>
      </c>
      <c r="CK20" s="7" t="str">
        <f>IF(AND(ISNUMBER($C20),ISNUMBER($D20),CK$1&lt;=$D20,CK$1+6&gt;=$C20),1,"")</f>
        <v/>
      </c>
      <c r="CL20" s="7" t="str">
        <f>IF(AND(ISNUMBER($C20),ISNUMBER($D20),CL$1&lt;=$D20,CL$1+6&gt;=$C20),1,"")</f>
        <v/>
      </c>
      <c r="CM20" s="7" t="str">
        <f>IF(AND(ISNUMBER($C20),ISNUMBER($D20),CM$1&lt;=$D20,CM$1+6&gt;=$C20),1,"")</f>
        <v/>
      </c>
      <c r="CN20" s="7" t="str">
        <f>IF(AND(ISNUMBER($C20),ISNUMBER($D20),CN$1&lt;=$D20,CN$1+6&gt;=$C20),1,"")</f>
        <v/>
      </c>
      <c r="CO20" s="7" t="str">
        <f>IF(AND(ISNUMBER($C20),ISNUMBER($D20),CO$1&lt;=$D20,CO$1+6&gt;=$C20),1,"")</f>
        <v/>
      </c>
      <c r="CP20" s="7" t="str">
        <f>IF(AND(ISNUMBER($C20),ISNUMBER($D20),CP$1&lt;=$D20,CP$1+6&gt;=$C20),1,"")</f>
        <v/>
      </c>
      <c r="CQ20" s="7" t="str">
        <f>IF(AND(ISNUMBER($C20),ISNUMBER($D20),CQ$1&lt;=$D20,CQ$1+6&gt;=$C20),1,"")</f>
        <v/>
      </c>
      <c r="CR20" s="7" t="str">
        <f>IF(AND(ISNUMBER($C20),ISNUMBER($D20),CR$1&lt;=$D20,CR$1+6&gt;=$C20),1,"")</f>
        <v/>
      </c>
      <c r="CS20" s="7" t="str">
        <f>IF(AND(ISNUMBER($C20),ISNUMBER($D20),CS$1&lt;=$D20,CS$1+6&gt;=$C20),1,"")</f>
        <v/>
      </c>
      <c r="CT20" s="7" t="str">
        <f>IF(AND(ISNUMBER($C20),ISNUMBER($D20),CT$1&lt;=$D20,CT$1+6&gt;=$C20),1,"")</f>
        <v/>
      </c>
      <c r="CU20" s="7" t="str">
        <f>IF(AND(ISNUMBER($C20),ISNUMBER($D20),CU$1&lt;=$D20,CU$1+6&gt;=$C20),1,"")</f>
        <v/>
      </c>
      <c r="CV20" s="7" t="str">
        <f>IF(AND(ISNUMBER($C20),ISNUMBER($D20),CV$1&lt;=$D20,CV$1+6&gt;=$C20),1,"")</f>
        <v/>
      </c>
      <c r="CW20" s="7" t="str">
        <f>IF(AND(ISNUMBER($C20),ISNUMBER($D20),CW$1&lt;=$D20,CW$1+6&gt;=$C20),1,"")</f>
        <v/>
      </c>
      <c r="CX20" s="7" t="str">
        <f>IF(AND(ISNUMBER($C20),ISNUMBER($D20),CX$1&lt;=$D20,CX$1+6&gt;=$C20),1,"")</f>
        <v/>
      </c>
      <c r="CY20" s="7" t="str">
        <f>IF(AND(ISNUMBER($C20),ISNUMBER($D20),CY$1&lt;=$D20,CY$1+6&gt;=$C20),1,"")</f>
        <v/>
      </c>
      <c r="CZ20" s="7" t="str">
        <f>IF(AND(ISNUMBER($C20),ISNUMBER($D20),CZ$1&lt;=$D20,CZ$1+6&gt;=$C20),1,"")</f>
        <v/>
      </c>
      <c r="DA20" s="7" t="str">
        <f>IF(AND(ISNUMBER($C20),ISNUMBER($D20),DA$1&lt;=$D20,DA$1+6&gt;=$C20),1,"")</f>
        <v/>
      </c>
      <c r="DB20" s="7" t="str">
        <f>IF(AND(ISNUMBER($C20),ISNUMBER($D20),DB$1&lt;=$D20,DB$1+6&gt;=$C20),1,"")</f>
        <v/>
      </c>
      <c r="DC20" s="7" t="str">
        <f>IF(AND(ISNUMBER($C20),ISNUMBER($D20),DC$1&lt;=$D20,DC$1+6&gt;=$C20),1,"")</f>
        <v/>
      </c>
      <c r="DD20" s="7" t="str">
        <f>IF(AND(ISNUMBER($C20),ISNUMBER($D20),DD$1&lt;=$D20,DD$1+6&gt;=$C20),1,"")</f>
        <v/>
      </c>
    </row>
    <row r="21" spans="1:108" x14ac:dyDescent="0.35">
      <c r="A21" s="6" t="str">
        <f>Schedule!B21</f>
        <v>Trusted tools state and integration</v>
      </c>
      <c r="B21" s="6" t="str">
        <f>Schedule!C21</f>
        <v>Core</v>
      </c>
      <c r="C21" s="4">
        <f>IF(Schedule!P21="","",Schedule!P21)</f>
        <v>46713</v>
      </c>
      <c r="D21" s="4">
        <f>IF(Schedule!Q21="","",Schedule!Q21)</f>
        <v>46737</v>
      </c>
      <c r="E21" s="7" t="str">
        <f>IF(AND(ISNUMBER($C21),ISNUMBER($D21),E$1&lt;=$D21,E$1+6&gt;=$C21),1,"")</f>
        <v/>
      </c>
      <c r="F21" s="7" t="str">
        <f>IF(AND(ISNUMBER($C21),ISNUMBER($D21),F$1&lt;=$D21,F$1+6&gt;=$C21),1,"")</f>
        <v/>
      </c>
      <c r="G21" s="7" t="str">
        <f>IF(AND(ISNUMBER($C21),ISNUMBER($D21),G$1&lt;=$D21,G$1+6&gt;=$C21),1,"")</f>
        <v/>
      </c>
      <c r="H21" s="7" t="str">
        <f>IF(AND(ISNUMBER($C21),ISNUMBER($D21),H$1&lt;=$D21,H$1+6&gt;=$C21),1,"")</f>
        <v/>
      </c>
      <c r="I21" s="7" t="str">
        <f>IF(AND(ISNUMBER($C21),ISNUMBER($D21),I$1&lt;=$D21,I$1+6&gt;=$C21),1,"")</f>
        <v/>
      </c>
      <c r="J21" s="7" t="str">
        <f>IF(AND(ISNUMBER($C21),ISNUMBER($D21),J$1&lt;=$D21,J$1+6&gt;=$C21),1,"")</f>
        <v/>
      </c>
      <c r="K21" s="7" t="str">
        <f>IF(AND(ISNUMBER($C21),ISNUMBER($D21),K$1&lt;=$D21,K$1+6&gt;=$C21),1,"")</f>
        <v/>
      </c>
      <c r="L21" s="7" t="str">
        <f>IF(AND(ISNUMBER($C21),ISNUMBER($D21),L$1&lt;=$D21,L$1+6&gt;=$C21),1,"")</f>
        <v/>
      </c>
      <c r="M21" s="7" t="str">
        <f>IF(AND(ISNUMBER($C21),ISNUMBER($D21),M$1&lt;=$D21,M$1+6&gt;=$C21),1,"")</f>
        <v/>
      </c>
      <c r="N21" s="7" t="str">
        <f>IF(AND(ISNUMBER($C21),ISNUMBER($D21),N$1&lt;=$D21,N$1+6&gt;=$C21),1,"")</f>
        <v/>
      </c>
      <c r="O21" s="7" t="str">
        <f>IF(AND(ISNUMBER($C21),ISNUMBER($D21),O$1&lt;=$D21,O$1+6&gt;=$C21),1,"")</f>
        <v/>
      </c>
      <c r="P21" s="7" t="str">
        <f>IF(AND(ISNUMBER($C21),ISNUMBER($D21),P$1&lt;=$D21,P$1+6&gt;=$C21),1,"")</f>
        <v/>
      </c>
      <c r="Q21" s="7" t="str">
        <f>IF(AND(ISNUMBER($C21),ISNUMBER($D21),Q$1&lt;=$D21,Q$1+6&gt;=$C21),1,"")</f>
        <v/>
      </c>
      <c r="R21" s="7" t="str">
        <f>IF(AND(ISNUMBER($C21),ISNUMBER($D21),R$1&lt;=$D21,R$1+6&gt;=$C21),1,"")</f>
        <v/>
      </c>
      <c r="S21" s="7" t="str">
        <f>IF(AND(ISNUMBER($C21),ISNUMBER($D21),S$1&lt;=$D21,S$1+6&gt;=$C21),1,"")</f>
        <v/>
      </c>
      <c r="T21" s="7" t="str">
        <f>IF(AND(ISNUMBER($C21),ISNUMBER($D21),T$1&lt;=$D21,T$1+6&gt;=$C21),1,"")</f>
        <v/>
      </c>
      <c r="U21" s="7" t="str">
        <f>IF(AND(ISNUMBER($C21),ISNUMBER($D21),U$1&lt;=$D21,U$1+6&gt;=$C21),1,"")</f>
        <v/>
      </c>
      <c r="V21" s="7" t="str">
        <f>IF(AND(ISNUMBER($C21),ISNUMBER($D21),V$1&lt;=$D21,V$1+6&gt;=$C21),1,"")</f>
        <v/>
      </c>
      <c r="W21" s="7" t="str">
        <f>IF(AND(ISNUMBER($C21),ISNUMBER($D21),W$1&lt;=$D21,W$1+6&gt;=$C21),1,"")</f>
        <v/>
      </c>
      <c r="X21" s="7" t="str">
        <f>IF(AND(ISNUMBER($C21),ISNUMBER($D21),X$1&lt;=$D21,X$1+6&gt;=$C21),1,"")</f>
        <v/>
      </c>
      <c r="Y21" s="7" t="str">
        <f>IF(AND(ISNUMBER($C21),ISNUMBER($D21),Y$1&lt;=$D21,Y$1+6&gt;=$C21),1,"")</f>
        <v/>
      </c>
      <c r="Z21" s="7" t="str">
        <f>IF(AND(ISNUMBER($C21),ISNUMBER($D21),Z$1&lt;=$D21,Z$1+6&gt;=$C21),1,"")</f>
        <v/>
      </c>
      <c r="AA21" s="7" t="str">
        <f>IF(AND(ISNUMBER($C21),ISNUMBER($D21),AA$1&lt;=$D21,AA$1+6&gt;=$C21),1,"")</f>
        <v/>
      </c>
      <c r="AB21" s="7" t="str">
        <f>IF(AND(ISNUMBER($C21),ISNUMBER($D21),AB$1&lt;=$D21,AB$1+6&gt;=$C21),1,"")</f>
        <v/>
      </c>
      <c r="AC21" s="7" t="str">
        <f>IF(AND(ISNUMBER($C21),ISNUMBER($D21),AC$1&lt;=$D21,AC$1+6&gt;=$C21),1,"")</f>
        <v/>
      </c>
      <c r="AD21" s="7" t="str">
        <f>IF(AND(ISNUMBER($C21),ISNUMBER($D21),AD$1&lt;=$D21,AD$1+6&gt;=$C21),1,"")</f>
        <v/>
      </c>
      <c r="AE21" s="7" t="str">
        <f>IF(AND(ISNUMBER($C21),ISNUMBER($D21),AE$1&lt;=$D21,AE$1+6&gt;=$C21),1,"")</f>
        <v/>
      </c>
      <c r="AF21" s="7" t="str">
        <f>IF(AND(ISNUMBER($C21),ISNUMBER($D21),AF$1&lt;=$D21,AF$1+6&gt;=$C21),1,"")</f>
        <v/>
      </c>
      <c r="AG21" s="7" t="str">
        <f>IF(AND(ISNUMBER($C21),ISNUMBER($D21),AG$1&lt;=$D21,AG$1+6&gt;=$C21),1,"")</f>
        <v/>
      </c>
      <c r="AH21" s="7" t="str">
        <f>IF(AND(ISNUMBER($C21),ISNUMBER($D21),AH$1&lt;=$D21,AH$1+6&gt;=$C21),1,"")</f>
        <v/>
      </c>
      <c r="AI21" s="7" t="str">
        <f>IF(AND(ISNUMBER($C21),ISNUMBER($D21),AI$1&lt;=$D21,AI$1+6&gt;=$C21),1,"")</f>
        <v/>
      </c>
      <c r="AJ21" s="7" t="str">
        <f>IF(AND(ISNUMBER($C21),ISNUMBER($D21),AJ$1&lt;=$D21,AJ$1+6&gt;=$C21),1,"")</f>
        <v/>
      </c>
      <c r="AK21" s="7" t="str">
        <f>IF(AND(ISNUMBER($C21),ISNUMBER($D21),AK$1&lt;=$D21,AK$1+6&gt;=$C21),1,"")</f>
        <v/>
      </c>
      <c r="AL21" s="7" t="str">
        <f>IF(AND(ISNUMBER($C21),ISNUMBER($D21),AL$1&lt;=$D21,AL$1+6&gt;=$C21),1,"")</f>
        <v/>
      </c>
      <c r="AM21" s="7" t="str">
        <f>IF(AND(ISNUMBER($C21),ISNUMBER($D21),AM$1&lt;=$D21,AM$1+6&gt;=$C21),1,"")</f>
        <v/>
      </c>
      <c r="AN21" s="7" t="str">
        <f>IF(AND(ISNUMBER($C21),ISNUMBER($D21),AN$1&lt;=$D21,AN$1+6&gt;=$C21),1,"")</f>
        <v/>
      </c>
      <c r="AO21" s="7" t="str">
        <f>IF(AND(ISNUMBER($C21),ISNUMBER($D21),AO$1&lt;=$D21,AO$1+6&gt;=$C21),1,"")</f>
        <v/>
      </c>
      <c r="AP21" s="7" t="str">
        <f>IF(AND(ISNUMBER($C21),ISNUMBER($D21),AP$1&lt;=$D21,AP$1+6&gt;=$C21),1,"")</f>
        <v/>
      </c>
      <c r="AQ21" s="7" t="str">
        <f>IF(AND(ISNUMBER($C21),ISNUMBER($D21),AQ$1&lt;=$D21,AQ$1+6&gt;=$C21),1,"")</f>
        <v/>
      </c>
      <c r="AR21" s="7" t="str">
        <f>IF(AND(ISNUMBER($C21),ISNUMBER($D21),AR$1&lt;=$D21,AR$1+6&gt;=$C21),1,"")</f>
        <v/>
      </c>
      <c r="AS21" s="7" t="str">
        <f>IF(AND(ISNUMBER($C21),ISNUMBER($D21),AS$1&lt;=$D21,AS$1+6&gt;=$C21),1,"")</f>
        <v/>
      </c>
      <c r="AT21" s="7" t="str">
        <f>IF(AND(ISNUMBER($C21),ISNUMBER($D21),AT$1&lt;=$D21,AT$1+6&gt;=$C21),1,"")</f>
        <v/>
      </c>
      <c r="AU21" s="7" t="str">
        <f>IF(AND(ISNUMBER($C21),ISNUMBER($D21),AU$1&lt;=$D21,AU$1+6&gt;=$C21),1,"")</f>
        <v/>
      </c>
      <c r="AV21" s="7" t="str">
        <f>IF(AND(ISNUMBER($C21),ISNUMBER($D21),AV$1&lt;=$D21,AV$1+6&gt;=$C21),1,"")</f>
        <v/>
      </c>
      <c r="AW21" s="7" t="str">
        <f>IF(AND(ISNUMBER($C21),ISNUMBER($D21),AW$1&lt;=$D21,AW$1+6&gt;=$C21),1,"")</f>
        <v/>
      </c>
      <c r="AX21" s="7" t="str">
        <f>IF(AND(ISNUMBER($C21),ISNUMBER($D21),AX$1&lt;=$D21,AX$1+6&gt;=$C21),1,"")</f>
        <v/>
      </c>
      <c r="AY21" s="7" t="str">
        <f>IF(AND(ISNUMBER($C21),ISNUMBER($D21),AY$1&lt;=$D21,AY$1+6&gt;=$C21),1,"")</f>
        <v/>
      </c>
      <c r="AZ21" s="7" t="str">
        <f>IF(AND(ISNUMBER($C21),ISNUMBER($D21),AZ$1&lt;=$D21,AZ$1+6&gt;=$C21),1,"")</f>
        <v/>
      </c>
      <c r="BA21" s="7" t="str">
        <f>IF(AND(ISNUMBER($C21),ISNUMBER($D21),BA$1&lt;=$D21,BA$1+6&gt;=$C21),1,"")</f>
        <v/>
      </c>
      <c r="BB21" s="7" t="str">
        <f>IF(AND(ISNUMBER($C21),ISNUMBER($D21),BB$1&lt;=$D21,BB$1+6&gt;=$C21),1,"")</f>
        <v/>
      </c>
      <c r="BC21" s="7" t="str">
        <f>IF(AND(ISNUMBER($C21),ISNUMBER($D21),BC$1&lt;=$D21,BC$1+6&gt;=$C21),1,"")</f>
        <v/>
      </c>
      <c r="BD21" s="7" t="str">
        <f>IF(AND(ISNUMBER($C21),ISNUMBER($D21),BD$1&lt;=$D21,BD$1+6&gt;=$C21),1,"")</f>
        <v/>
      </c>
      <c r="BE21" s="7" t="str">
        <f>IF(AND(ISNUMBER($C21),ISNUMBER($D21),BE$1&lt;=$D21,BE$1+6&gt;=$C21),1,"")</f>
        <v/>
      </c>
      <c r="BF21" s="7" t="str">
        <f>IF(AND(ISNUMBER($C21),ISNUMBER($D21),BF$1&lt;=$D21,BF$1+6&gt;=$C21),1,"")</f>
        <v/>
      </c>
      <c r="BG21" s="7" t="str">
        <f>IF(AND(ISNUMBER($C21),ISNUMBER($D21),BG$1&lt;=$D21,BG$1+6&gt;=$C21),1,"")</f>
        <v/>
      </c>
      <c r="BH21" s="7" t="str">
        <f>IF(AND(ISNUMBER($C21),ISNUMBER($D21),BH$1&lt;=$D21,BH$1+6&gt;=$C21),1,"")</f>
        <v/>
      </c>
      <c r="BI21" s="7">
        <f>IF(AND(ISNUMBER($C21),ISNUMBER($D21),BI$1&lt;=$D21,BI$1+6&gt;=$C21),1,"")</f>
        <v>1</v>
      </c>
      <c r="BJ21" s="7">
        <f>IF(AND(ISNUMBER($C21),ISNUMBER($D21),BJ$1&lt;=$D21,BJ$1+6&gt;=$C21),1,"")</f>
        <v>1</v>
      </c>
      <c r="BK21" s="7">
        <f>IF(AND(ISNUMBER($C21),ISNUMBER($D21),BK$1&lt;=$D21,BK$1+6&gt;=$C21),1,"")</f>
        <v>1</v>
      </c>
      <c r="BL21" s="7">
        <f>IF(AND(ISNUMBER($C21),ISNUMBER($D21),BL$1&lt;=$D21,BL$1+6&gt;=$C21),1,"")</f>
        <v>1</v>
      </c>
      <c r="BM21" s="7" t="str">
        <f>IF(AND(ISNUMBER($C21),ISNUMBER($D21),BM$1&lt;=$D21,BM$1+6&gt;=$C21),1,"")</f>
        <v/>
      </c>
      <c r="BN21" s="7" t="str">
        <f>IF(AND(ISNUMBER($C21),ISNUMBER($D21),BN$1&lt;=$D21,BN$1+6&gt;=$C21),1,"")</f>
        <v/>
      </c>
      <c r="BO21" s="7" t="str">
        <f>IF(AND(ISNUMBER($C21),ISNUMBER($D21),BO$1&lt;=$D21,BO$1+6&gt;=$C21),1,"")</f>
        <v/>
      </c>
      <c r="BP21" s="7" t="str">
        <f>IF(AND(ISNUMBER($C21),ISNUMBER($D21),BP$1&lt;=$D21,BP$1+6&gt;=$C21),1,"")</f>
        <v/>
      </c>
      <c r="BQ21" s="7" t="str">
        <f>IF(AND(ISNUMBER($C21),ISNUMBER($D21),BQ$1&lt;=$D21,BQ$1+6&gt;=$C21),1,"")</f>
        <v/>
      </c>
      <c r="BR21" s="7" t="str">
        <f>IF(AND(ISNUMBER($C21),ISNUMBER($D21),BR$1&lt;=$D21,BR$1+6&gt;=$C21),1,"")</f>
        <v/>
      </c>
      <c r="BS21" s="7" t="str">
        <f>IF(AND(ISNUMBER($C21),ISNUMBER($D21),BS$1&lt;=$D21,BS$1+6&gt;=$C21),1,"")</f>
        <v/>
      </c>
      <c r="BT21" s="7" t="str">
        <f>IF(AND(ISNUMBER($C21),ISNUMBER($D21),BT$1&lt;=$D21,BT$1+6&gt;=$C21),1,"")</f>
        <v/>
      </c>
      <c r="BU21" s="7" t="str">
        <f>IF(AND(ISNUMBER($C21),ISNUMBER($D21),BU$1&lt;=$D21,BU$1+6&gt;=$C21),1,"")</f>
        <v/>
      </c>
      <c r="BV21" s="7" t="str">
        <f>IF(AND(ISNUMBER($C21),ISNUMBER($D21),BV$1&lt;=$D21,BV$1+6&gt;=$C21),1,"")</f>
        <v/>
      </c>
      <c r="BW21" s="7" t="str">
        <f>IF(AND(ISNUMBER($C21),ISNUMBER($D21),BW$1&lt;=$D21,BW$1+6&gt;=$C21),1,"")</f>
        <v/>
      </c>
      <c r="BX21" s="7" t="str">
        <f>IF(AND(ISNUMBER($C21),ISNUMBER($D21),BX$1&lt;=$D21,BX$1+6&gt;=$C21),1,"")</f>
        <v/>
      </c>
      <c r="BY21" s="7" t="str">
        <f>IF(AND(ISNUMBER($C21),ISNUMBER($D21),BY$1&lt;=$D21,BY$1+6&gt;=$C21),1,"")</f>
        <v/>
      </c>
      <c r="BZ21" s="7" t="str">
        <f>IF(AND(ISNUMBER($C21),ISNUMBER($D21),BZ$1&lt;=$D21,BZ$1+6&gt;=$C21),1,"")</f>
        <v/>
      </c>
      <c r="CA21" s="7" t="str">
        <f>IF(AND(ISNUMBER($C21),ISNUMBER($D21),CA$1&lt;=$D21,CA$1+6&gt;=$C21),1,"")</f>
        <v/>
      </c>
      <c r="CB21" s="7" t="str">
        <f>IF(AND(ISNUMBER($C21),ISNUMBER($D21),CB$1&lt;=$D21,CB$1+6&gt;=$C21),1,"")</f>
        <v/>
      </c>
      <c r="CC21" s="7" t="str">
        <f>IF(AND(ISNUMBER($C21),ISNUMBER($D21),CC$1&lt;=$D21,CC$1+6&gt;=$C21),1,"")</f>
        <v/>
      </c>
      <c r="CD21" s="7" t="str">
        <f>IF(AND(ISNUMBER($C21),ISNUMBER($D21),CD$1&lt;=$D21,CD$1+6&gt;=$C21),1,"")</f>
        <v/>
      </c>
      <c r="CE21" s="7" t="str">
        <f>IF(AND(ISNUMBER($C21),ISNUMBER($D21),CE$1&lt;=$D21,CE$1+6&gt;=$C21),1,"")</f>
        <v/>
      </c>
      <c r="CF21" s="7" t="str">
        <f>IF(AND(ISNUMBER($C21),ISNUMBER($D21),CF$1&lt;=$D21,CF$1+6&gt;=$C21),1,"")</f>
        <v/>
      </c>
      <c r="CG21" s="7" t="str">
        <f>IF(AND(ISNUMBER($C21),ISNUMBER($D21),CG$1&lt;=$D21,CG$1+6&gt;=$C21),1,"")</f>
        <v/>
      </c>
      <c r="CH21" s="7" t="str">
        <f>IF(AND(ISNUMBER($C21),ISNUMBER($D21),CH$1&lt;=$D21,CH$1+6&gt;=$C21),1,"")</f>
        <v/>
      </c>
      <c r="CI21" s="7" t="str">
        <f>IF(AND(ISNUMBER($C21),ISNUMBER($D21),CI$1&lt;=$D21,CI$1+6&gt;=$C21),1,"")</f>
        <v/>
      </c>
      <c r="CJ21" s="7" t="str">
        <f>IF(AND(ISNUMBER($C21),ISNUMBER($D21),CJ$1&lt;=$D21,CJ$1+6&gt;=$C21),1,"")</f>
        <v/>
      </c>
      <c r="CK21" s="7" t="str">
        <f>IF(AND(ISNUMBER($C21),ISNUMBER($D21),CK$1&lt;=$D21,CK$1+6&gt;=$C21),1,"")</f>
        <v/>
      </c>
      <c r="CL21" s="7" t="str">
        <f>IF(AND(ISNUMBER($C21),ISNUMBER($D21),CL$1&lt;=$D21,CL$1+6&gt;=$C21),1,"")</f>
        <v/>
      </c>
      <c r="CM21" s="7" t="str">
        <f>IF(AND(ISNUMBER($C21),ISNUMBER($D21),CM$1&lt;=$D21,CM$1+6&gt;=$C21),1,"")</f>
        <v/>
      </c>
      <c r="CN21" s="7" t="str">
        <f>IF(AND(ISNUMBER($C21),ISNUMBER($D21),CN$1&lt;=$D21,CN$1+6&gt;=$C21),1,"")</f>
        <v/>
      </c>
      <c r="CO21" s="7" t="str">
        <f>IF(AND(ISNUMBER($C21),ISNUMBER($D21),CO$1&lt;=$D21,CO$1+6&gt;=$C21),1,"")</f>
        <v/>
      </c>
      <c r="CP21" s="7" t="str">
        <f>IF(AND(ISNUMBER($C21),ISNUMBER($D21),CP$1&lt;=$D21,CP$1+6&gt;=$C21),1,"")</f>
        <v/>
      </c>
      <c r="CQ21" s="7" t="str">
        <f>IF(AND(ISNUMBER($C21),ISNUMBER($D21),CQ$1&lt;=$D21,CQ$1+6&gt;=$C21),1,"")</f>
        <v/>
      </c>
      <c r="CR21" s="7" t="str">
        <f>IF(AND(ISNUMBER($C21),ISNUMBER($D21),CR$1&lt;=$D21,CR$1+6&gt;=$C21),1,"")</f>
        <v/>
      </c>
      <c r="CS21" s="7" t="str">
        <f>IF(AND(ISNUMBER($C21),ISNUMBER($D21),CS$1&lt;=$D21,CS$1+6&gt;=$C21),1,"")</f>
        <v/>
      </c>
      <c r="CT21" s="7" t="str">
        <f>IF(AND(ISNUMBER($C21),ISNUMBER($D21),CT$1&lt;=$D21,CT$1+6&gt;=$C21),1,"")</f>
        <v/>
      </c>
      <c r="CU21" s="7" t="str">
        <f>IF(AND(ISNUMBER($C21),ISNUMBER($D21),CU$1&lt;=$D21,CU$1+6&gt;=$C21),1,"")</f>
        <v/>
      </c>
      <c r="CV21" s="7" t="str">
        <f>IF(AND(ISNUMBER($C21),ISNUMBER($D21),CV$1&lt;=$D21,CV$1+6&gt;=$C21),1,"")</f>
        <v/>
      </c>
      <c r="CW21" s="7" t="str">
        <f>IF(AND(ISNUMBER($C21),ISNUMBER($D21),CW$1&lt;=$D21,CW$1+6&gt;=$C21),1,"")</f>
        <v/>
      </c>
      <c r="CX21" s="7" t="str">
        <f>IF(AND(ISNUMBER($C21),ISNUMBER($D21),CX$1&lt;=$D21,CX$1+6&gt;=$C21),1,"")</f>
        <v/>
      </c>
      <c r="CY21" s="7" t="str">
        <f>IF(AND(ISNUMBER($C21),ISNUMBER($D21),CY$1&lt;=$D21,CY$1+6&gt;=$C21),1,"")</f>
        <v/>
      </c>
      <c r="CZ21" s="7" t="str">
        <f>IF(AND(ISNUMBER($C21),ISNUMBER($D21),CZ$1&lt;=$D21,CZ$1+6&gt;=$C21),1,"")</f>
        <v/>
      </c>
      <c r="DA21" s="7" t="str">
        <f>IF(AND(ISNUMBER($C21),ISNUMBER($D21),DA$1&lt;=$D21,DA$1+6&gt;=$C21),1,"")</f>
        <v/>
      </c>
      <c r="DB21" s="7" t="str">
        <f>IF(AND(ISNUMBER($C21),ISNUMBER($D21),DB$1&lt;=$D21,DB$1+6&gt;=$C21),1,"")</f>
        <v/>
      </c>
      <c r="DC21" s="7" t="str">
        <f>IF(AND(ISNUMBER($C21),ISNUMBER($D21),DC$1&lt;=$D21,DC$1+6&gt;=$C21),1,"")</f>
        <v/>
      </c>
      <c r="DD21" s="7" t="str">
        <f>IF(AND(ISNUMBER($C21),ISNUMBER($D21),DD$1&lt;=$D21,DD$1+6&gt;=$C21),1,"")</f>
        <v/>
      </c>
    </row>
    <row r="22" spans="1:108" x14ac:dyDescent="0.35">
      <c r="A22" s="6" t="str">
        <f>Schedule!B22</f>
        <v>Bounded agents and architecture tradeoffs</v>
      </c>
      <c r="B22" s="6" t="str">
        <f>Schedule!C22</f>
        <v>Core</v>
      </c>
      <c r="C22" s="4">
        <f>IF(Schedule!P22="","",Schedule!P22)</f>
        <v>46737</v>
      </c>
      <c r="D22" s="4">
        <f>IF(Schedule!Q22="","",Schedule!Q22)</f>
        <v>46759</v>
      </c>
      <c r="E22" s="7" t="str">
        <f>IF(AND(ISNUMBER($C22),ISNUMBER($D22),E$1&lt;=$D22,E$1+6&gt;=$C22),1,"")</f>
        <v/>
      </c>
      <c r="F22" s="7" t="str">
        <f>IF(AND(ISNUMBER($C22),ISNUMBER($D22),F$1&lt;=$D22,F$1+6&gt;=$C22),1,"")</f>
        <v/>
      </c>
      <c r="G22" s="7" t="str">
        <f>IF(AND(ISNUMBER($C22),ISNUMBER($D22),G$1&lt;=$D22,G$1+6&gt;=$C22),1,"")</f>
        <v/>
      </c>
      <c r="H22" s="7" t="str">
        <f>IF(AND(ISNUMBER($C22),ISNUMBER($D22),H$1&lt;=$D22,H$1+6&gt;=$C22),1,"")</f>
        <v/>
      </c>
      <c r="I22" s="7" t="str">
        <f>IF(AND(ISNUMBER($C22),ISNUMBER($D22),I$1&lt;=$D22,I$1+6&gt;=$C22),1,"")</f>
        <v/>
      </c>
      <c r="J22" s="7" t="str">
        <f>IF(AND(ISNUMBER($C22),ISNUMBER($D22),J$1&lt;=$D22,J$1+6&gt;=$C22),1,"")</f>
        <v/>
      </c>
      <c r="K22" s="7" t="str">
        <f>IF(AND(ISNUMBER($C22),ISNUMBER($D22),K$1&lt;=$D22,K$1+6&gt;=$C22),1,"")</f>
        <v/>
      </c>
      <c r="L22" s="7" t="str">
        <f>IF(AND(ISNUMBER($C22),ISNUMBER($D22),L$1&lt;=$D22,L$1+6&gt;=$C22),1,"")</f>
        <v/>
      </c>
      <c r="M22" s="7" t="str">
        <f>IF(AND(ISNUMBER($C22),ISNUMBER($D22),M$1&lt;=$D22,M$1+6&gt;=$C22),1,"")</f>
        <v/>
      </c>
      <c r="N22" s="7" t="str">
        <f>IF(AND(ISNUMBER($C22),ISNUMBER($D22),N$1&lt;=$D22,N$1+6&gt;=$C22),1,"")</f>
        <v/>
      </c>
      <c r="O22" s="7" t="str">
        <f>IF(AND(ISNUMBER($C22),ISNUMBER($D22),O$1&lt;=$D22,O$1+6&gt;=$C22),1,"")</f>
        <v/>
      </c>
      <c r="P22" s="7" t="str">
        <f>IF(AND(ISNUMBER($C22),ISNUMBER($D22),P$1&lt;=$D22,P$1+6&gt;=$C22),1,"")</f>
        <v/>
      </c>
      <c r="Q22" s="7" t="str">
        <f>IF(AND(ISNUMBER($C22),ISNUMBER($D22),Q$1&lt;=$D22,Q$1+6&gt;=$C22),1,"")</f>
        <v/>
      </c>
      <c r="R22" s="7" t="str">
        <f>IF(AND(ISNUMBER($C22),ISNUMBER($D22),R$1&lt;=$D22,R$1+6&gt;=$C22),1,"")</f>
        <v/>
      </c>
      <c r="S22" s="7" t="str">
        <f>IF(AND(ISNUMBER($C22),ISNUMBER($D22),S$1&lt;=$D22,S$1+6&gt;=$C22),1,"")</f>
        <v/>
      </c>
      <c r="T22" s="7" t="str">
        <f>IF(AND(ISNUMBER($C22),ISNUMBER($D22),T$1&lt;=$D22,T$1+6&gt;=$C22),1,"")</f>
        <v/>
      </c>
      <c r="U22" s="7" t="str">
        <f>IF(AND(ISNUMBER($C22),ISNUMBER($D22),U$1&lt;=$D22,U$1+6&gt;=$C22),1,"")</f>
        <v/>
      </c>
      <c r="V22" s="7" t="str">
        <f>IF(AND(ISNUMBER($C22),ISNUMBER($D22),V$1&lt;=$D22,V$1+6&gt;=$C22),1,"")</f>
        <v/>
      </c>
      <c r="W22" s="7" t="str">
        <f>IF(AND(ISNUMBER($C22),ISNUMBER($D22),W$1&lt;=$D22,W$1+6&gt;=$C22),1,"")</f>
        <v/>
      </c>
      <c r="X22" s="7" t="str">
        <f>IF(AND(ISNUMBER($C22),ISNUMBER($D22),X$1&lt;=$D22,X$1+6&gt;=$C22),1,"")</f>
        <v/>
      </c>
      <c r="Y22" s="7" t="str">
        <f>IF(AND(ISNUMBER($C22),ISNUMBER($D22),Y$1&lt;=$D22,Y$1+6&gt;=$C22),1,"")</f>
        <v/>
      </c>
      <c r="Z22" s="7" t="str">
        <f>IF(AND(ISNUMBER($C22),ISNUMBER($D22),Z$1&lt;=$D22,Z$1+6&gt;=$C22),1,"")</f>
        <v/>
      </c>
      <c r="AA22" s="7" t="str">
        <f>IF(AND(ISNUMBER($C22),ISNUMBER($D22),AA$1&lt;=$D22,AA$1+6&gt;=$C22),1,"")</f>
        <v/>
      </c>
      <c r="AB22" s="7" t="str">
        <f>IF(AND(ISNUMBER($C22),ISNUMBER($D22),AB$1&lt;=$D22,AB$1+6&gt;=$C22),1,"")</f>
        <v/>
      </c>
      <c r="AC22" s="7" t="str">
        <f>IF(AND(ISNUMBER($C22),ISNUMBER($D22),AC$1&lt;=$D22,AC$1+6&gt;=$C22),1,"")</f>
        <v/>
      </c>
      <c r="AD22" s="7" t="str">
        <f>IF(AND(ISNUMBER($C22),ISNUMBER($D22),AD$1&lt;=$D22,AD$1+6&gt;=$C22),1,"")</f>
        <v/>
      </c>
      <c r="AE22" s="7" t="str">
        <f>IF(AND(ISNUMBER($C22),ISNUMBER($D22),AE$1&lt;=$D22,AE$1+6&gt;=$C22),1,"")</f>
        <v/>
      </c>
      <c r="AF22" s="7" t="str">
        <f>IF(AND(ISNUMBER($C22),ISNUMBER($D22),AF$1&lt;=$D22,AF$1+6&gt;=$C22),1,"")</f>
        <v/>
      </c>
      <c r="AG22" s="7" t="str">
        <f>IF(AND(ISNUMBER($C22),ISNUMBER($D22),AG$1&lt;=$D22,AG$1+6&gt;=$C22),1,"")</f>
        <v/>
      </c>
      <c r="AH22" s="7" t="str">
        <f>IF(AND(ISNUMBER($C22),ISNUMBER($D22),AH$1&lt;=$D22,AH$1+6&gt;=$C22),1,"")</f>
        <v/>
      </c>
      <c r="AI22" s="7" t="str">
        <f>IF(AND(ISNUMBER($C22),ISNUMBER($D22),AI$1&lt;=$D22,AI$1+6&gt;=$C22),1,"")</f>
        <v/>
      </c>
      <c r="AJ22" s="7" t="str">
        <f>IF(AND(ISNUMBER($C22),ISNUMBER($D22),AJ$1&lt;=$D22,AJ$1+6&gt;=$C22),1,"")</f>
        <v/>
      </c>
      <c r="AK22" s="7" t="str">
        <f>IF(AND(ISNUMBER($C22),ISNUMBER($D22),AK$1&lt;=$D22,AK$1+6&gt;=$C22),1,"")</f>
        <v/>
      </c>
      <c r="AL22" s="7" t="str">
        <f>IF(AND(ISNUMBER($C22),ISNUMBER($D22),AL$1&lt;=$D22,AL$1+6&gt;=$C22),1,"")</f>
        <v/>
      </c>
      <c r="AM22" s="7" t="str">
        <f>IF(AND(ISNUMBER($C22),ISNUMBER($D22),AM$1&lt;=$D22,AM$1+6&gt;=$C22),1,"")</f>
        <v/>
      </c>
      <c r="AN22" s="7" t="str">
        <f>IF(AND(ISNUMBER($C22),ISNUMBER($D22),AN$1&lt;=$D22,AN$1+6&gt;=$C22),1,"")</f>
        <v/>
      </c>
      <c r="AO22" s="7" t="str">
        <f>IF(AND(ISNUMBER($C22),ISNUMBER($D22),AO$1&lt;=$D22,AO$1+6&gt;=$C22),1,"")</f>
        <v/>
      </c>
      <c r="AP22" s="7" t="str">
        <f>IF(AND(ISNUMBER($C22),ISNUMBER($D22),AP$1&lt;=$D22,AP$1+6&gt;=$C22),1,"")</f>
        <v/>
      </c>
      <c r="AQ22" s="7" t="str">
        <f>IF(AND(ISNUMBER($C22),ISNUMBER($D22),AQ$1&lt;=$D22,AQ$1+6&gt;=$C22),1,"")</f>
        <v/>
      </c>
      <c r="AR22" s="7" t="str">
        <f>IF(AND(ISNUMBER($C22),ISNUMBER($D22),AR$1&lt;=$D22,AR$1+6&gt;=$C22),1,"")</f>
        <v/>
      </c>
      <c r="AS22" s="7" t="str">
        <f>IF(AND(ISNUMBER($C22),ISNUMBER($D22),AS$1&lt;=$D22,AS$1+6&gt;=$C22),1,"")</f>
        <v/>
      </c>
      <c r="AT22" s="7" t="str">
        <f>IF(AND(ISNUMBER($C22),ISNUMBER($D22),AT$1&lt;=$D22,AT$1+6&gt;=$C22),1,"")</f>
        <v/>
      </c>
      <c r="AU22" s="7" t="str">
        <f>IF(AND(ISNUMBER($C22),ISNUMBER($D22),AU$1&lt;=$D22,AU$1+6&gt;=$C22),1,"")</f>
        <v/>
      </c>
      <c r="AV22" s="7" t="str">
        <f>IF(AND(ISNUMBER($C22),ISNUMBER($D22),AV$1&lt;=$D22,AV$1+6&gt;=$C22),1,"")</f>
        <v/>
      </c>
      <c r="AW22" s="7" t="str">
        <f>IF(AND(ISNUMBER($C22),ISNUMBER($D22),AW$1&lt;=$D22,AW$1+6&gt;=$C22),1,"")</f>
        <v/>
      </c>
      <c r="AX22" s="7" t="str">
        <f>IF(AND(ISNUMBER($C22),ISNUMBER($D22),AX$1&lt;=$D22,AX$1+6&gt;=$C22),1,"")</f>
        <v/>
      </c>
      <c r="AY22" s="7" t="str">
        <f>IF(AND(ISNUMBER($C22),ISNUMBER($D22),AY$1&lt;=$D22,AY$1+6&gt;=$C22),1,"")</f>
        <v/>
      </c>
      <c r="AZ22" s="7" t="str">
        <f>IF(AND(ISNUMBER($C22),ISNUMBER($D22),AZ$1&lt;=$D22,AZ$1+6&gt;=$C22),1,"")</f>
        <v/>
      </c>
      <c r="BA22" s="7" t="str">
        <f>IF(AND(ISNUMBER($C22),ISNUMBER($D22),BA$1&lt;=$D22,BA$1+6&gt;=$C22),1,"")</f>
        <v/>
      </c>
      <c r="BB22" s="7" t="str">
        <f>IF(AND(ISNUMBER($C22),ISNUMBER($D22),BB$1&lt;=$D22,BB$1+6&gt;=$C22),1,"")</f>
        <v/>
      </c>
      <c r="BC22" s="7" t="str">
        <f>IF(AND(ISNUMBER($C22),ISNUMBER($D22),BC$1&lt;=$D22,BC$1+6&gt;=$C22),1,"")</f>
        <v/>
      </c>
      <c r="BD22" s="7" t="str">
        <f>IF(AND(ISNUMBER($C22),ISNUMBER($D22),BD$1&lt;=$D22,BD$1+6&gt;=$C22),1,"")</f>
        <v/>
      </c>
      <c r="BE22" s="7" t="str">
        <f>IF(AND(ISNUMBER($C22),ISNUMBER($D22),BE$1&lt;=$D22,BE$1+6&gt;=$C22),1,"")</f>
        <v/>
      </c>
      <c r="BF22" s="7" t="str">
        <f>IF(AND(ISNUMBER($C22),ISNUMBER($D22),BF$1&lt;=$D22,BF$1+6&gt;=$C22),1,"")</f>
        <v/>
      </c>
      <c r="BG22" s="7" t="str">
        <f>IF(AND(ISNUMBER($C22),ISNUMBER($D22),BG$1&lt;=$D22,BG$1+6&gt;=$C22),1,"")</f>
        <v/>
      </c>
      <c r="BH22" s="7" t="str">
        <f>IF(AND(ISNUMBER($C22),ISNUMBER($D22),BH$1&lt;=$D22,BH$1+6&gt;=$C22),1,"")</f>
        <v/>
      </c>
      <c r="BI22" s="7" t="str">
        <f>IF(AND(ISNUMBER($C22),ISNUMBER($D22),BI$1&lt;=$D22,BI$1+6&gt;=$C22),1,"")</f>
        <v/>
      </c>
      <c r="BJ22" s="7" t="str">
        <f>IF(AND(ISNUMBER($C22),ISNUMBER($D22),BJ$1&lt;=$D22,BJ$1+6&gt;=$C22),1,"")</f>
        <v/>
      </c>
      <c r="BK22" s="7" t="str">
        <f>IF(AND(ISNUMBER($C22),ISNUMBER($D22),BK$1&lt;=$D22,BK$1+6&gt;=$C22),1,"")</f>
        <v/>
      </c>
      <c r="BL22" s="7">
        <f>IF(AND(ISNUMBER($C22),ISNUMBER($D22),BL$1&lt;=$D22,BL$1+6&gt;=$C22),1,"")</f>
        <v>1</v>
      </c>
      <c r="BM22" s="7">
        <f>IF(AND(ISNUMBER($C22),ISNUMBER($D22),BM$1&lt;=$D22,BM$1+6&gt;=$C22),1,"")</f>
        <v>1</v>
      </c>
      <c r="BN22" s="7">
        <f>IF(AND(ISNUMBER($C22),ISNUMBER($D22),BN$1&lt;=$D22,BN$1+6&gt;=$C22),1,"")</f>
        <v>1</v>
      </c>
      <c r="BO22" s="7">
        <f>IF(AND(ISNUMBER($C22),ISNUMBER($D22),BO$1&lt;=$D22,BO$1+6&gt;=$C22),1,"")</f>
        <v>1</v>
      </c>
      <c r="BP22" s="7">
        <f>IF(AND(ISNUMBER($C22),ISNUMBER($D22),BP$1&lt;=$D22,BP$1+6&gt;=$C22),1,"")</f>
        <v>1</v>
      </c>
      <c r="BQ22" s="7" t="str">
        <f>IF(AND(ISNUMBER($C22),ISNUMBER($D22),BQ$1&lt;=$D22,BQ$1+6&gt;=$C22),1,"")</f>
        <v/>
      </c>
      <c r="BR22" s="7" t="str">
        <f>IF(AND(ISNUMBER($C22),ISNUMBER($D22),BR$1&lt;=$D22,BR$1+6&gt;=$C22),1,"")</f>
        <v/>
      </c>
      <c r="BS22" s="7" t="str">
        <f>IF(AND(ISNUMBER($C22),ISNUMBER($D22),BS$1&lt;=$D22,BS$1+6&gt;=$C22),1,"")</f>
        <v/>
      </c>
      <c r="BT22" s="7" t="str">
        <f>IF(AND(ISNUMBER($C22),ISNUMBER($D22),BT$1&lt;=$D22,BT$1+6&gt;=$C22),1,"")</f>
        <v/>
      </c>
      <c r="BU22" s="7" t="str">
        <f>IF(AND(ISNUMBER($C22),ISNUMBER($D22),BU$1&lt;=$D22,BU$1+6&gt;=$C22),1,"")</f>
        <v/>
      </c>
      <c r="BV22" s="7" t="str">
        <f>IF(AND(ISNUMBER($C22),ISNUMBER($D22),BV$1&lt;=$D22,BV$1+6&gt;=$C22),1,"")</f>
        <v/>
      </c>
      <c r="BW22" s="7" t="str">
        <f>IF(AND(ISNUMBER($C22),ISNUMBER($D22),BW$1&lt;=$D22,BW$1+6&gt;=$C22),1,"")</f>
        <v/>
      </c>
      <c r="BX22" s="7" t="str">
        <f>IF(AND(ISNUMBER($C22),ISNUMBER($D22),BX$1&lt;=$D22,BX$1+6&gt;=$C22),1,"")</f>
        <v/>
      </c>
      <c r="BY22" s="7" t="str">
        <f>IF(AND(ISNUMBER($C22),ISNUMBER($D22),BY$1&lt;=$D22,BY$1+6&gt;=$C22),1,"")</f>
        <v/>
      </c>
      <c r="BZ22" s="7" t="str">
        <f>IF(AND(ISNUMBER($C22),ISNUMBER($D22),BZ$1&lt;=$D22,BZ$1+6&gt;=$C22),1,"")</f>
        <v/>
      </c>
      <c r="CA22" s="7" t="str">
        <f>IF(AND(ISNUMBER($C22),ISNUMBER($D22),CA$1&lt;=$D22,CA$1+6&gt;=$C22),1,"")</f>
        <v/>
      </c>
      <c r="CB22" s="7" t="str">
        <f>IF(AND(ISNUMBER($C22),ISNUMBER($D22),CB$1&lt;=$D22,CB$1+6&gt;=$C22),1,"")</f>
        <v/>
      </c>
      <c r="CC22" s="7" t="str">
        <f>IF(AND(ISNUMBER($C22),ISNUMBER($D22),CC$1&lt;=$D22,CC$1+6&gt;=$C22),1,"")</f>
        <v/>
      </c>
      <c r="CD22" s="7" t="str">
        <f>IF(AND(ISNUMBER($C22),ISNUMBER($D22),CD$1&lt;=$D22,CD$1+6&gt;=$C22),1,"")</f>
        <v/>
      </c>
      <c r="CE22" s="7" t="str">
        <f>IF(AND(ISNUMBER($C22),ISNUMBER($D22),CE$1&lt;=$D22,CE$1+6&gt;=$C22),1,"")</f>
        <v/>
      </c>
      <c r="CF22" s="7" t="str">
        <f>IF(AND(ISNUMBER($C22),ISNUMBER($D22),CF$1&lt;=$D22,CF$1+6&gt;=$C22),1,"")</f>
        <v/>
      </c>
      <c r="CG22" s="7" t="str">
        <f>IF(AND(ISNUMBER($C22),ISNUMBER($D22),CG$1&lt;=$D22,CG$1+6&gt;=$C22),1,"")</f>
        <v/>
      </c>
      <c r="CH22" s="7" t="str">
        <f>IF(AND(ISNUMBER($C22),ISNUMBER($D22),CH$1&lt;=$D22,CH$1+6&gt;=$C22),1,"")</f>
        <v/>
      </c>
      <c r="CI22" s="7" t="str">
        <f>IF(AND(ISNUMBER($C22),ISNUMBER($D22),CI$1&lt;=$D22,CI$1+6&gt;=$C22),1,"")</f>
        <v/>
      </c>
      <c r="CJ22" s="7" t="str">
        <f>IF(AND(ISNUMBER($C22),ISNUMBER($D22),CJ$1&lt;=$D22,CJ$1+6&gt;=$C22),1,"")</f>
        <v/>
      </c>
      <c r="CK22" s="7" t="str">
        <f>IF(AND(ISNUMBER($C22),ISNUMBER($D22),CK$1&lt;=$D22,CK$1+6&gt;=$C22),1,"")</f>
        <v/>
      </c>
      <c r="CL22" s="7" t="str">
        <f>IF(AND(ISNUMBER($C22),ISNUMBER($D22),CL$1&lt;=$D22,CL$1+6&gt;=$C22),1,"")</f>
        <v/>
      </c>
      <c r="CM22" s="7" t="str">
        <f>IF(AND(ISNUMBER($C22),ISNUMBER($D22),CM$1&lt;=$D22,CM$1+6&gt;=$C22),1,"")</f>
        <v/>
      </c>
      <c r="CN22" s="7" t="str">
        <f>IF(AND(ISNUMBER($C22),ISNUMBER($D22),CN$1&lt;=$D22,CN$1+6&gt;=$C22),1,"")</f>
        <v/>
      </c>
      <c r="CO22" s="7" t="str">
        <f>IF(AND(ISNUMBER($C22),ISNUMBER($D22),CO$1&lt;=$D22,CO$1+6&gt;=$C22),1,"")</f>
        <v/>
      </c>
      <c r="CP22" s="7" t="str">
        <f>IF(AND(ISNUMBER($C22),ISNUMBER($D22),CP$1&lt;=$D22,CP$1+6&gt;=$C22),1,"")</f>
        <v/>
      </c>
      <c r="CQ22" s="7" t="str">
        <f>IF(AND(ISNUMBER($C22),ISNUMBER($D22),CQ$1&lt;=$D22,CQ$1+6&gt;=$C22),1,"")</f>
        <v/>
      </c>
      <c r="CR22" s="7" t="str">
        <f>IF(AND(ISNUMBER($C22),ISNUMBER($D22),CR$1&lt;=$D22,CR$1+6&gt;=$C22),1,"")</f>
        <v/>
      </c>
      <c r="CS22" s="7" t="str">
        <f>IF(AND(ISNUMBER($C22),ISNUMBER($D22),CS$1&lt;=$D22,CS$1+6&gt;=$C22),1,"")</f>
        <v/>
      </c>
      <c r="CT22" s="7" t="str">
        <f>IF(AND(ISNUMBER($C22),ISNUMBER($D22),CT$1&lt;=$D22,CT$1+6&gt;=$C22),1,"")</f>
        <v/>
      </c>
      <c r="CU22" s="7" t="str">
        <f>IF(AND(ISNUMBER($C22),ISNUMBER($D22),CU$1&lt;=$D22,CU$1+6&gt;=$C22),1,"")</f>
        <v/>
      </c>
      <c r="CV22" s="7" t="str">
        <f>IF(AND(ISNUMBER($C22),ISNUMBER($D22),CV$1&lt;=$D22,CV$1+6&gt;=$C22),1,"")</f>
        <v/>
      </c>
      <c r="CW22" s="7" t="str">
        <f>IF(AND(ISNUMBER($C22),ISNUMBER($D22),CW$1&lt;=$D22,CW$1+6&gt;=$C22),1,"")</f>
        <v/>
      </c>
      <c r="CX22" s="7" t="str">
        <f>IF(AND(ISNUMBER($C22),ISNUMBER($D22),CX$1&lt;=$D22,CX$1+6&gt;=$C22),1,"")</f>
        <v/>
      </c>
      <c r="CY22" s="7" t="str">
        <f>IF(AND(ISNUMBER($C22),ISNUMBER($D22),CY$1&lt;=$D22,CY$1+6&gt;=$C22),1,"")</f>
        <v/>
      </c>
      <c r="CZ22" s="7" t="str">
        <f>IF(AND(ISNUMBER($C22),ISNUMBER($D22),CZ$1&lt;=$D22,CZ$1+6&gt;=$C22),1,"")</f>
        <v/>
      </c>
      <c r="DA22" s="7" t="str">
        <f>IF(AND(ISNUMBER($C22),ISNUMBER($D22),DA$1&lt;=$D22,DA$1+6&gt;=$C22),1,"")</f>
        <v/>
      </c>
      <c r="DB22" s="7" t="str">
        <f>IF(AND(ISNUMBER($C22),ISNUMBER($D22),DB$1&lt;=$D22,DB$1+6&gt;=$C22),1,"")</f>
        <v/>
      </c>
      <c r="DC22" s="7" t="str">
        <f>IF(AND(ISNUMBER($C22),ISNUMBER($D22),DC$1&lt;=$D22,DC$1+6&gt;=$C22),1,"")</f>
        <v/>
      </c>
      <c r="DD22" s="7" t="str">
        <f>IF(AND(ISNUMBER($C22),ISNUMBER($D22),DD$1&lt;=$D22,DD$1+6&gt;=$C22),1,"")</f>
        <v/>
      </c>
    </row>
    <row r="23" spans="1:108" x14ac:dyDescent="0.35">
      <c r="A23" s="6" t="str">
        <f>Schedule!B23</f>
        <v>AI-assisted development discipline</v>
      </c>
      <c r="B23" s="6" t="str">
        <f>Schedule!C23</f>
        <v>Core</v>
      </c>
      <c r="C23" s="4">
        <f>IF(Schedule!P23="","",Schedule!P23)</f>
        <v>46759</v>
      </c>
      <c r="D23" s="4">
        <f>IF(Schedule!Q23="","",Schedule!Q23)</f>
        <v>46766</v>
      </c>
      <c r="E23" s="7" t="str">
        <f>IF(AND(ISNUMBER($C23),ISNUMBER($D23),E$1&lt;=$D23,E$1+6&gt;=$C23),1,"")</f>
        <v/>
      </c>
      <c r="F23" s="7" t="str">
        <f>IF(AND(ISNUMBER($C23),ISNUMBER($D23),F$1&lt;=$D23,F$1+6&gt;=$C23),1,"")</f>
        <v/>
      </c>
      <c r="G23" s="7" t="str">
        <f>IF(AND(ISNUMBER($C23),ISNUMBER($D23),G$1&lt;=$D23,G$1+6&gt;=$C23),1,"")</f>
        <v/>
      </c>
      <c r="H23" s="7" t="str">
        <f>IF(AND(ISNUMBER($C23),ISNUMBER($D23),H$1&lt;=$D23,H$1+6&gt;=$C23),1,"")</f>
        <v/>
      </c>
      <c r="I23" s="7" t="str">
        <f>IF(AND(ISNUMBER($C23),ISNUMBER($D23),I$1&lt;=$D23,I$1+6&gt;=$C23),1,"")</f>
        <v/>
      </c>
      <c r="J23" s="7" t="str">
        <f>IF(AND(ISNUMBER($C23),ISNUMBER($D23),J$1&lt;=$D23,J$1+6&gt;=$C23),1,"")</f>
        <v/>
      </c>
      <c r="K23" s="7" t="str">
        <f>IF(AND(ISNUMBER($C23),ISNUMBER($D23),K$1&lt;=$D23,K$1+6&gt;=$C23),1,"")</f>
        <v/>
      </c>
      <c r="L23" s="7" t="str">
        <f>IF(AND(ISNUMBER($C23),ISNUMBER($D23),L$1&lt;=$D23,L$1+6&gt;=$C23),1,"")</f>
        <v/>
      </c>
      <c r="M23" s="7" t="str">
        <f>IF(AND(ISNUMBER($C23),ISNUMBER($D23),M$1&lt;=$D23,M$1+6&gt;=$C23),1,"")</f>
        <v/>
      </c>
      <c r="N23" s="7" t="str">
        <f>IF(AND(ISNUMBER($C23),ISNUMBER($D23),N$1&lt;=$D23,N$1+6&gt;=$C23),1,"")</f>
        <v/>
      </c>
      <c r="O23" s="7" t="str">
        <f>IF(AND(ISNUMBER($C23),ISNUMBER($D23),O$1&lt;=$D23,O$1+6&gt;=$C23),1,"")</f>
        <v/>
      </c>
      <c r="P23" s="7" t="str">
        <f>IF(AND(ISNUMBER($C23),ISNUMBER($D23),P$1&lt;=$D23,P$1+6&gt;=$C23),1,"")</f>
        <v/>
      </c>
      <c r="Q23" s="7" t="str">
        <f>IF(AND(ISNUMBER($C23),ISNUMBER($D23),Q$1&lt;=$D23,Q$1+6&gt;=$C23),1,"")</f>
        <v/>
      </c>
      <c r="R23" s="7" t="str">
        <f>IF(AND(ISNUMBER($C23),ISNUMBER($D23),R$1&lt;=$D23,R$1+6&gt;=$C23),1,"")</f>
        <v/>
      </c>
      <c r="S23" s="7" t="str">
        <f>IF(AND(ISNUMBER($C23),ISNUMBER($D23),S$1&lt;=$D23,S$1+6&gt;=$C23),1,"")</f>
        <v/>
      </c>
      <c r="T23" s="7" t="str">
        <f>IF(AND(ISNUMBER($C23),ISNUMBER($D23),T$1&lt;=$D23,T$1+6&gt;=$C23),1,"")</f>
        <v/>
      </c>
      <c r="U23" s="7" t="str">
        <f>IF(AND(ISNUMBER($C23),ISNUMBER($D23),U$1&lt;=$D23,U$1+6&gt;=$C23),1,"")</f>
        <v/>
      </c>
      <c r="V23" s="7" t="str">
        <f>IF(AND(ISNUMBER($C23),ISNUMBER($D23),V$1&lt;=$D23,V$1+6&gt;=$C23),1,"")</f>
        <v/>
      </c>
      <c r="W23" s="7" t="str">
        <f>IF(AND(ISNUMBER($C23),ISNUMBER($D23),W$1&lt;=$D23,W$1+6&gt;=$C23),1,"")</f>
        <v/>
      </c>
      <c r="X23" s="7" t="str">
        <f>IF(AND(ISNUMBER($C23),ISNUMBER($D23),X$1&lt;=$D23,X$1+6&gt;=$C23),1,"")</f>
        <v/>
      </c>
      <c r="Y23" s="7" t="str">
        <f>IF(AND(ISNUMBER($C23),ISNUMBER($D23),Y$1&lt;=$D23,Y$1+6&gt;=$C23),1,"")</f>
        <v/>
      </c>
      <c r="Z23" s="7" t="str">
        <f>IF(AND(ISNUMBER($C23),ISNUMBER($D23),Z$1&lt;=$D23,Z$1+6&gt;=$C23),1,"")</f>
        <v/>
      </c>
      <c r="AA23" s="7" t="str">
        <f>IF(AND(ISNUMBER($C23),ISNUMBER($D23),AA$1&lt;=$D23,AA$1+6&gt;=$C23),1,"")</f>
        <v/>
      </c>
      <c r="AB23" s="7" t="str">
        <f>IF(AND(ISNUMBER($C23),ISNUMBER($D23),AB$1&lt;=$D23,AB$1+6&gt;=$C23),1,"")</f>
        <v/>
      </c>
      <c r="AC23" s="7" t="str">
        <f>IF(AND(ISNUMBER($C23),ISNUMBER($D23),AC$1&lt;=$D23,AC$1+6&gt;=$C23),1,"")</f>
        <v/>
      </c>
      <c r="AD23" s="7" t="str">
        <f>IF(AND(ISNUMBER($C23),ISNUMBER($D23),AD$1&lt;=$D23,AD$1+6&gt;=$C23),1,"")</f>
        <v/>
      </c>
      <c r="AE23" s="7" t="str">
        <f>IF(AND(ISNUMBER($C23),ISNUMBER($D23),AE$1&lt;=$D23,AE$1+6&gt;=$C23),1,"")</f>
        <v/>
      </c>
      <c r="AF23" s="7" t="str">
        <f>IF(AND(ISNUMBER($C23),ISNUMBER($D23),AF$1&lt;=$D23,AF$1+6&gt;=$C23),1,"")</f>
        <v/>
      </c>
      <c r="AG23" s="7" t="str">
        <f>IF(AND(ISNUMBER($C23),ISNUMBER($D23),AG$1&lt;=$D23,AG$1+6&gt;=$C23),1,"")</f>
        <v/>
      </c>
      <c r="AH23" s="7" t="str">
        <f>IF(AND(ISNUMBER($C23),ISNUMBER($D23),AH$1&lt;=$D23,AH$1+6&gt;=$C23),1,"")</f>
        <v/>
      </c>
      <c r="AI23" s="7" t="str">
        <f>IF(AND(ISNUMBER($C23),ISNUMBER($D23),AI$1&lt;=$D23,AI$1+6&gt;=$C23),1,"")</f>
        <v/>
      </c>
      <c r="AJ23" s="7" t="str">
        <f>IF(AND(ISNUMBER($C23),ISNUMBER($D23),AJ$1&lt;=$D23,AJ$1+6&gt;=$C23),1,"")</f>
        <v/>
      </c>
      <c r="AK23" s="7" t="str">
        <f>IF(AND(ISNUMBER($C23),ISNUMBER($D23),AK$1&lt;=$D23,AK$1+6&gt;=$C23),1,"")</f>
        <v/>
      </c>
      <c r="AL23" s="7" t="str">
        <f>IF(AND(ISNUMBER($C23),ISNUMBER($D23),AL$1&lt;=$D23,AL$1+6&gt;=$C23),1,"")</f>
        <v/>
      </c>
      <c r="AM23" s="7" t="str">
        <f>IF(AND(ISNUMBER($C23),ISNUMBER($D23),AM$1&lt;=$D23,AM$1+6&gt;=$C23),1,"")</f>
        <v/>
      </c>
      <c r="AN23" s="7" t="str">
        <f>IF(AND(ISNUMBER($C23),ISNUMBER($D23),AN$1&lt;=$D23,AN$1+6&gt;=$C23),1,"")</f>
        <v/>
      </c>
      <c r="AO23" s="7" t="str">
        <f>IF(AND(ISNUMBER($C23),ISNUMBER($D23),AO$1&lt;=$D23,AO$1+6&gt;=$C23),1,"")</f>
        <v/>
      </c>
      <c r="AP23" s="7" t="str">
        <f>IF(AND(ISNUMBER($C23),ISNUMBER($D23),AP$1&lt;=$D23,AP$1+6&gt;=$C23),1,"")</f>
        <v/>
      </c>
      <c r="AQ23" s="7" t="str">
        <f>IF(AND(ISNUMBER($C23),ISNUMBER($D23),AQ$1&lt;=$D23,AQ$1+6&gt;=$C23),1,"")</f>
        <v/>
      </c>
      <c r="AR23" s="7" t="str">
        <f>IF(AND(ISNUMBER($C23),ISNUMBER($D23),AR$1&lt;=$D23,AR$1+6&gt;=$C23),1,"")</f>
        <v/>
      </c>
      <c r="AS23" s="7" t="str">
        <f>IF(AND(ISNUMBER($C23),ISNUMBER($D23),AS$1&lt;=$D23,AS$1+6&gt;=$C23),1,"")</f>
        <v/>
      </c>
      <c r="AT23" s="7" t="str">
        <f>IF(AND(ISNUMBER($C23),ISNUMBER($D23),AT$1&lt;=$D23,AT$1+6&gt;=$C23),1,"")</f>
        <v/>
      </c>
      <c r="AU23" s="7" t="str">
        <f>IF(AND(ISNUMBER($C23),ISNUMBER($D23),AU$1&lt;=$D23,AU$1+6&gt;=$C23),1,"")</f>
        <v/>
      </c>
      <c r="AV23" s="7" t="str">
        <f>IF(AND(ISNUMBER($C23),ISNUMBER($D23),AV$1&lt;=$D23,AV$1+6&gt;=$C23),1,"")</f>
        <v/>
      </c>
      <c r="AW23" s="7" t="str">
        <f>IF(AND(ISNUMBER($C23),ISNUMBER($D23),AW$1&lt;=$D23,AW$1+6&gt;=$C23),1,"")</f>
        <v/>
      </c>
      <c r="AX23" s="7" t="str">
        <f>IF(AND(ISNUMBER($C23),ISNUMBER($D23),AX$1&lt;=$D23,AX$1+6&gt;=$C23),1,"")</f>
        <v/>
      </c>
      <c r="AY23" s="7" t="str">
        <f>IF(AND(ISNUMBER($C23),ISNUMBER($D23),AY$1&lt;=$D23,AY$1+6&gt;=$C23),1,"")</f>
        <v/>
      </c>
      <c r="AZ23" s="7" t="str">
        <f>IF(AND(ISNUMBER($C23),ISNUMBER($D23),AZ$1&lt;=$D23,AZ$1+6&gt;=$C23),1,"")</f>
        <v/>
      </c>
      <c r="BA23" s="7" t="str">
        <f>IF(AND(ISNUMBER($C23),ISNUMBER($D23),BA$1&lt;=$D23,BA$1+6&gt;=$C23),1,"")</f>
        <v/>
      </c>
      <c r="BB23" s="7" t="str">
        <f>IF(AND(ISNUMBER($C23),ISNUMBER($D23),BB$1&lt;=$D23,BB$1+6&gt;=$C23),1,"")</f>
        <v/>
      </c>
      <c r="BC23" s="7" t="str">
        <f>IF(AND(ISNUMBER($C23),ISNUMBER($D23),BC$1&lt;=$D23,BC$1+6&gt;=$C23),1,"")</f>
        <v/>
      </c>
      <c r="BD23" s="7" t="str">
        <f>IF(AND(ISNUMBER($C23),ISNUMBER($D23),BD$1&lt;=$D23,BD$1+6&gt;=$C23),1,"")</f>
        <v/>
      </c>
      <c r="BE23" s="7" t="str">
        <f>IF(AND(ISNUMBER($C23),ISNUMBER($D23),BE$1&lt;=$D23,BE$1+6&gt;=$C23),1,"")</f>
        <v/>
      </c>
      <c r="BF23" s="7" t="str">
        <f>IF(AND(ISNUMBER($C23),ISNUMBER($D23),BF$1&lt;=$D23,BF$1+6&gt;=$C23),1,"")</f>
        <v/>
      </c>
      <c r="BG23" s="7" t="str">
        <f>IF(AND(ISNUMBER($C23),ISNUMBER($D23),BG$1&lt;=$D23,BG$1+6&gt;=$C23),1,"")</f>
        <v/>
      </c>
      <c r="BH23" s="7" t="str">
        <f>IF(AND(ISNUMBER($C23),ISNUMBER($D23),BH$1&lt;=$D23,BH$1+6&gt;=$C23),1,"")</f>
        <v/>
      </c>
      <c r="BI23" s="7" t="str">
        <f>IF(AND(ISNUMBER($C23),ISNUMBER($D23),BI$1&lt;=$D23,BI$1+6&gt;=$C23),1,"")</f>
        <v/>
      </c>
      <c r="BJ23" s="7" t="str">
        <f>IF(AND(ISNUMBER($C23),ISNUMBER($D23),BJ$1&lt;=$D23,BJ$1+6&gt;=$C23),1,"")</f>
        <v/>
      </c>
      <c r="BK23" s="7" t="str">
        <f>IF(AND(ISNUMBER($C23),ISNUMBER($D23),BK$1&lt;=$D23,BK$1+6&gt;=$C23),1,"")</f>
        <v/>
      </c>
      <c r="BL23" s="7" t="str">
        <f>IF(AND(ISNUMBER($C23),ISNUMBER($D23),BL$1&lt;=$D23,BL$1+6&gt;=$C23),1,"")</f>
        <v/>
      </c>
      <c r="BM23" s="7" t="str">
        <f>IF(AND(ISNUMBER($C23),ISNUMBER($D23),BM$1&lt;=$D23,BM$1+6&gt;=$C23),1,"")</f>
        <v/>
      </c>
      <c r="BN23" s="7" t="str">
        <f>IF(AND(ISNUMBER($C23),ISNUMBER($D23),BN$1&lt;=$D23,BN$1+6&gt;=$C23),1,"")</f>
        <v/>
      </c>
      <c r="BO23" s="7" t="str">
        <f>IF(AND(ISNUMBER($C23),ISNUMBER($D23),BO$1&lt;=$D23,BO$1+6&gt;=$C23),1,"")</f>
        <v/>
      </c>
      <c r="BP23" s="7">
        <f>IF(AND(ISNUMBER($C23),ISNUMBER($D23),BP$1&lt;=$D23,BP$1+6&gt;=$C23),1,"")</f>
        <v>1</v>
      </c>
      <c r="BQ23" s="7">
        <f>IF(AND(ISNUMBER($C23),ISNUMBER($D23),BQ$1&lt;=$D23,BQ$1+6&gt;=$C23),1,"")</f>
        <v>1</v>
      </c>
      <c r="BR23" s="7" t="str">
        <f>IF(AND(ISNUMBER($C23),ISNUMBER($D23),BR$1&lt;=$D23,BR$1+6&gt;=$C23),1,"")</f>
        <v/>
      </c>
      <c r="BS23" s="7" t="str">
        <f>IF(AND(ISNUMBER($C23),ISNUMBER($D23),BS$1&lt;=$D23,BS$1+6&gt;=$C23),1,"")</f>
        <v/>
      </c>
      <c r="BT23" s="7" t="str">
        <f>IF(AND(ISNUMBER($C23),ISNUMBER($D23),BT$1&lt;=$D23,BT$1+6&gt;=$C23),1,"")</f>
        <v/>
      </c>
      <c r="BU23" s="7" t="str">
        <f>IF(AND(ISNUMBER($C23),ISNUMBER($D23),BU$1&lt;=$D23,BU$1+6&gt;=$C23),1,"")</f>
        <v/>
      </c>
      <c r="BV23" s="7" t="str">
        <f>IF(AND(ISNUMBER($C23),ISNUMBER($D23),BV$1&lt;=$D23,BV$1+6&gt;=$C23),1,"")</f>
        <v/>
      </c>
      <c r="BW23" s="7" t="str">
        <f>IF(AND(ISNUMBER($C23),ISNUMBER($D23),BW$1&lt;=$D23,BW$1+6&gt;=$C23),1,"")</f>
        <v/>
      </c>
      <c r="BX23" s="7" t="str">
        <f>IF(AND(ISNUMBER($C23),ISNUMBER($D23),BX$1&lt;=$D23,BX$1+6&gt;=$C23),1,"")</f>
        <v/>
      </c>
      <c r="BY23" s="7" t="str">
        <f>IF(AND(ISNUMBER($C23),ISNUMBER($D23),BY$1&lt;=$D23,BY$1+6&gt;=$C23),1,"")</f>
        <v/>
      </c>
      <c r="BZ23" s="7" t="str">
        <f>IF(AND(ISNUMBER($C23),ISNUMBER($D23),BZ$1&lt;=$D23,BZ$1+6&gt;=$C23),1,"")</f>
        <v/>
      </c>
      <c r="CA23" s="7" t="str">
        <f>IF(AND(ISNUMBER($C23),ISNUMBER($D23),CA$1&lt;=$D23,CA$1+6&gt;=$C23),1,"")</f>
        <v/>
      </c>
      <c r="CB23" s="7" t="str">
        <f>IF(AND(ISNUMBER($C23),ISNUMBER($D23),CB$1&lt;=$D23,CB$1+6&gt;=$C23),1,"")</f>
        <v/>
      </c>
      <c r="CC23" s="7" t="str">
        <f>IF(AND(ISNUMBER($C23),ISNUMBER($D23),CC$1&lt;=$D23,CC$1+6&gt;=$C23),1,"")</f>
        <v/>
      </c>
      <c r="CD23" s="7" t="str">
        <f>IF(AND(ISNUMBER($C23),ISNUMBER($D23),CD$1&lt;=$D23,CD$1+6&gt;=$C23),1,"")</f>
        <v/>
      </c>
      <c r="CE23" s="7" t="str">
        <f>IF(AND(ISNUMBER($C23),ISNUMBER($D23),CE$1&lt;=$D23,CE$1+6&gt;=$C23),1,"")</f>
        <v/>
      </c>
      <c r="CF23" s="7" t="str">
        <f>IF(AND(ISNUMBER($C23),ISNUMBER($D23),CF$1&lt;=$D23,CF$1+6&gt;=$C23),1,"")</f>
        <v/>
      </c>
      <c r="CG23" s="7" t="str">
        <f>IF(AND(ISNUMBER($C23),ISNUMBER($D23),CG$1&lt;=$D23,CG$1+6&gt;=$C23),1,"")</f>
        <v/>
      </c>
      <c r="CH23" s="7" t="str">
        <f>IF(AND(ISNUMBER($C23),ISNUMBER($D23),CH$1&lt;=$D23,CH$1+6&gt;=$C23),1,"")</f>
        <v/>
      </c>
      <c r="CI23" s="7" t="str">
        <f>IF(AND(ISNUMBER($C23),ISNUMBER($D23),CI$1&lt;=$D23,CI$1+6&gt;=$C23),1,"")</f>
        <v/>
      </c>
      <c r="CJ23" s="7" t="str">
        <f>IF(AND(ISNUMBER($C23),ISNUMBER($D23),CJ$1&lt;=$D23,CJ$1+6&gt;=$C23),1,"")</f>
        <v/>
      </c>
      <c r="CK23" s="7" t="str">
        <f>IF(AND(ISNUMBER($C23),ISNUMBER($D23),CK$1&lt;=$D23,CK$1+6&gt;=$C23),1,"")</f>
        <v/>
      </c>
      <c r="CL23" s="7" t="str">
        <f>IF(AND(ISNUMBER($C23),ISNUMBER($D23),CL$1&lt;=$D23,CL$1+6&gt;=$C23),1,"")</f>
        <v/>
      </c>
      <c r="CM23" s="7" t="str">
        <f>IF(AND(ISNUMBER($C23),ISNUMBER($D23),CM$1&lt;=$D23,CM$1+6&gt;=$C23),1,"")</f>
        <v/>
      </c>
      <c r="CN23" s="7" t="str">
        <f>IF(AND(ISNUMBER($C23),ISNUMBER($D23),CN$1&lt;=$D23,CN$1+6&gt;=$C23),1,"")</f>
        <v/>
      </c>
      <c r="CO23" s="7" t="str">
        <f>IF(AND(ISNUMBER($C23),ISNUMBER($D23),CO$1&lt;=$D23,CO$1+6&gt;=$C23),1,"")</f>
        <v/>
      </c>
      <c r="CP23" s="7" t="str">
        <f>IF(AND(ISNUMBER($C23),ISNUMBER($D23),CP$1&lt;=$D23,CP$1+6&gt;=$C23),1,"")</f>
        <v/>
      </c>
      <c r="CQ23" s="7" t="str">
        <f>IF(AND(ISNUMBER($C23),ISNUMBER($D23),CQ$1&lt;=$D23,CQ$1+6&gt;=$C23),1,"")</f>
        <v/>
      </c>
      <c r="CR23" s="7" t="str">
        <f>IF(AND(ISNUMBER($C23),ISNUMBER($D23),CR$1&lt;=$D23,CR$1+6&gt;=$C23),1,"")</f>
        <v/>
      </c>
      <c r="CS23" s="7" t="str">
        <f>IF(AND(ISNUMBER($C23),ISNUMBER($D23),CS$1&lt;=$D23,CS$1+6&gt;=$C23),1,"")</f>
        <v/>
      </c>
      <c r="CT23" s="7" t="str">
        <f>IF(AND(ISNUMBER($C23),ISNUMBER($D23),CT$1&lt;=$D23,CT$1+6&gt;=$C23),1,"")</f>
        <v/>
      </c>
      <c r="CU23" s="7" t="str">
        <f>IF(AND(ISNUMBER($C23),ISNUMBER($D23),CU$1&lt;=$D23,CU$1+6&gt;=$C23),1,"")</f>
        <v/>
      </c>
      <c r="CV23" s="7" t="str">
        <f>IF(AND(ISNUMBER($C23),ISNUMBER($D23),CV$1&lt;=$D23,CV$1+6&gt;=$C23),1,"")</f>
        <v/>
      </c>
      <c r="CW23" s="7" t="str">
        <f>IF(AND(ISNUMBER($C23),ISNUMBER($D23),CW$1&lt;=$D23,CW$1+6&gt;=$C23),1,"")</f>
        <v/>
      </c>
      <c r="CX23" s="7" t="str">
        <f>IF(AND(ISNUMBER($C23),ISNUMBER($D23),CX$1&lt;=$D23,CX$1+6&gt;=$C23),1,"")</f>
        <v/>
      </c>
      <c r="CY23" s="7" t="str">
        <f>IF(AND(ISNUMBER($C23),ISNUMBER($D23),CY$1&lt;=$D23,CY$1+6&gt;=$C23),1,"")</f>
        <v/>
      </c>
      <c r="CZ23" s="7" t="str">
        <f>IF(AND(ISNUMBER($C23),ISNUMBER($D23),CZ$1&lt;=$D23,CZ$1+6&gt;=$C23),1,"")</f>
        <v/>
      </c>
      <c r="DA23" s="7" t="str">
        <f>IF(AND(ISNUMBER($C23),ISNUMBER($D23),DA$1&lt;=$D23,DA$1+6&gt;=$C23),1,"")</f>
        <v/>
      </c>
      <c r="DB23" s="7" t="str">
        <f>IF(AND(ISNUMBER($C23),ISNUMBER($D23),DB$1&lt;=$D23,DB$1+6&gt;=$C23),1,"")</f>
        <v/>
      </c>
      <c r="DC23" s="7" t="str">
        <f>IF(AND(ISNUMBER($C23),ISNUMBER($D23),DC$1&lt;=$D23,DC$1+6&gt;=$C23),1,"")</f>
        <v/>
      </c>
      <c r="DD23" s="7" t="str">
        <f>IF(AND(ISNUMBER($C23),ISNUMBER($D23),DD$1&lt;=$D23,DD$1+6&gt;=$C23),1,"")</f>
        <v/>
      </c>
    </row>
    <row r="24" spans="1:108" x14ac:dyDescent="0.35">
      <c r="A24" s="6" t="str">
        <f>Schedule!B24</f>
        <v>One cloud and container deployment</v>
      </c>
      <c r="B24" s="6" t="str">
        <f>Schedule!C24</f>
        <v>Core</v>
      </c>
      <c r="C24" s="4">
        <f>IF(Schedule!P24="","",Schedule!P24)</f>
        <v>46766</v>
      </c>
      <c r="D24" s="4">
        <f>IF(Schedule!Q24="","",Schedule!Q24)</f>
        <v>46790</v>
      </c>
      <c r="E24" s="7" t="str">
        <f>IF(AND(ISNUMBER($C24),ISNUMBER($D24),E$1&lt;=$D24,E$1+6&gt;=$C24),1,"")</f>
        <v/>
      </c>
      <c r="F24" s="7" t="str">
        <f>IF(AND(ISNUMBER($C24),ISNUMBER($D24),F$1&lt;=$D24,F$1+6&gt;=$C24),1,"")</f>
        <v/>
      </c>
      <c r="G24" s="7" t="str">
        <f>IF(AND(ISNUMBER($C24),ISNUMBER($D24),G$1&lt;=$D24,G$1+6&gt;=$C24),1,"")</f>
        <v/>
      </c>
      <c r="H24" s="7" t="str">
        <f>IF(AND(ISNUMBER($C24),ISNUMBER($D24),H$1&lt;=$D24,H$1+6&gt;=$C24),1,"")</f>
        <v/>
      </c>
      <c r="I24" s="7" t="str">
        <f>IF(AND(ISNUMBER($C24),ISNUMBER($D24),I$1&lt;=$D24,I$1+6&gt;=$C24),1,"")</f>
        <v/>
      </c>
      <c r="J24" s="7" t="str">
        <f>IF(AND(ISNUMBER($C24),ISNUMBER($D24),J$1&lt;=$D24,J$1+6&gt;=$C24),1,"")</f>
        <v/>
      </c>
      <c r="K24" s="7" t="str">
        <f>IF(AND(ISNUMBER($C24),ISNUMBER($D24),K$1&lt;=$D24,K$1+6&gt;=$C24),1,"")</f>
        <v/>
      </c>
      <c r="L24" s="7" t="str">
        <f>IF(AND(ISNUMBER($C24),ISNUMBER($D24),L$1&lt;=$D24,L$1+6&gt;=$C24),1,"")</f>
        <v/>
      </c>
      <c r="M24" s="7" t="str">
        <f>IF(AND(ISNUMBER($C24),ISNUMBER($D24),M$1&lt;=$D24,M$1+6&gt;=$C24),1,"")</f>
        <v/>
      </c>
      <c r="N24" s="7" t="str">
        <f>IF(AND(ISNUMBER($C24),ISNUMBER($D24),N$1&lt;=$D24,N$1+6&gt;=$C24),1,"")</f>
        <v/>
      </c>
      <c r="O24" s="7" t="str">
        <f>IF(AND(ISNUMBER($C24),ISNUMBER($D24),O$1&lt;=$D24,O$1+6&gt;=$C24),1,"")</f>
        <v/>
      </c>
      <c r="P24" s="7" t="str">
        <f>IF(AND(ISNUMBER($C24),ISNUMBER($D24),P$1&lt;=$D24,P$1+6&gt;=$C24),1,"")</f>
        <v/>
      </c>
      <c r="Q24" s="7" t="str">
        <f>IF(AND(ISNUMBER($C24),ISNUMBER($D24),Q$1&lt;=$D24,Q$1+6&gt;=$C24),1,"")</f>
        <v/>
      </c>
      <c r="R24" s="7" t="str">
        <f>IF(AND(ISNUMBER($C24),ISNUMBER($D24),R$1&lt;=$D24,R$1+6&gt;=$C24),1,"")</f>
        <v/>
      </c>
      <c r="S24" s="7" t="str">
        <f>IF(AND(ISNUMBER($C24),ISNUMBER($D24),S$1&lt;=$D24,S$1+6&gt;=$C24),1,"")</f>
        <v/>
      </c>
      <c r="T24" s="7" t="str">
        <f>IF(AND(ISNUMBER($C24),ISNUMBER($D24),T$1&lt;=$D24,T$1+6&gt;=$C24),1,"")</f>
        <v/>
      </c>
      <c r="U24" s="7" t="str">
        <f>IF(AND(ISNUMBER($C24),ISNUMBER($D24),U$1&lt;=$D24,U$1+6&gt;=$C24),1,"")</f>
        <v/>
      </c>
      <c r="V24" s="7" t="str">
        <f>IF(AND(ISNUMBER($C24),ISNUMBER($D24),V$1&lt;=$D24,V$1+6&gt;=$C24),1,"")</f>
        <v/>
      </c>
      <c r="W24" s="7" t="str">
        <f>IF(AND(ISNUMBER($C24),ISNUMBER($D24),W$1&lt;=$D24,W$1+6&gt;=$C24),1,"")</f>
        <v/>
      </c>
      <c r="X24" s="7" t="str">
        <f>IF(AND(ISNUMBER($C24),ISNUMBER($D24),X$1&lt;=$D24,X$1+6&gt;=$C24),1,"")</f>
        <v/>
      </c>
      <c r="Y24" s="7" t="str">
        <f>IF(AND(ISNUMBER($C24),ISNUMBER($D24),Y$1&lt;=$D24,Y$1+6&gt;=$C24),1,"")</f>
        <v/>
      </c>
      <c r="Z24" s="7" t="str">
        <f>IF(AND(ISNUMBER($C24),ISNUMBER($D24),Z$1&lt;=$D24,Z$1+6&gt;=$C24),1,"")</f>
        <v/>
      </c>
      <c r="AA24" s="7" t="str">
        <f>IF(AND(ISNUMBER($C24),ISNUMBER($D24),AA$1&lt;=$D24,AA$1+6&gt;=$C24),1,"")</f>
        <v/>
      </c>
      <c r="AB24" s="7" t="str">
        <f>IF(AND(ISNUMBER($C24),ISNUMBER($D24),AB$1&lt;=$D24,AB$1+6&gt;=$C24),1,"")</f>
        <v/>
      </c>
      <c r="AC24" s="7" t="str">
        <f>IF(AND(ISNUMBER($C24),ISNUMBER($D24),AC$1&lt;=$D24,AC$1+6&gt;=$C24),1,"")</f>
        <v/>
      </c>
      <c r="AD24" s="7" t="str">
        <f>IF(AND(ISNUMBER($C24),ISNUMBER($D24),AD$1&lt;=$D24,AD$1+6&gt;=$C24),1,"")</f>
        <v/>
      </c>
      <c r="AE24" s="7" t="str">
        <f>IF(AND(ISNUMBER($C24),ISNUMBER($D24),AE$1&lt;=$D24,AE$1+6&gt;=$C24),1,"")</f>
        <v/>
      </c>
      <c r="AF24" s="7" t="str">
        <f>IF(AND(ISNUMBER($C24),ISNUMBER($D24),AF$1&lt;=$D24,AF$1+6&gt;=$C24),1,"")</f>
        <v/>
      </c>
      <c r="AG24" s="7" t="str">
        <f>IF(AND(ISNUMBER($C24),ISNUMBER($D24),AG$1&lt;=$D24,AG$1+6&gt;=$C24),1,"")</f>
        <v/>
      </c>
      <c r="AH24" s="7" t="str">
        <f>IF(AND(ISNUMBER($C24),ISNUMBER($D24),AH$1&lt;=$D24,AH$1+6&gt;=$C24),1,"")</f>
        <v/>
      </c>
      <c r="AI24" s="7" t="str">
        <f>IF(AND(ISNUMBER($C24),ISNUMBER($D24),AI$1&lt;=$D24,AI$1+6&gt;=$C24),1,"")</f>
        <v/>
      </c>
      <c r="AJ24" s="7" t="str">
        <f>IF(AND(ISNUMBER($C24),ISNUMBER($D24),AJ$1&lt;=$D24,AJ$1+6&gt;=$C24),1,"")</f>
        <v/>
      </c>
      <c r="AK24" s="7" t="str">
        <f>IF(AND(ISNUMBER($C24),ISNUMBER($D24),AK$1&lt;=$D24,AK$1+6&gt;=$C24),1,"")</f>
        <v/>
      </c>
      <c r="AL24" s="7" t="str">
        <f>IF(AND(ISNUMBER($C24),ISNUMBER($D24),AL$1&lt;=$D24,AL$1+6&gt;=$C24),1,"")</f>
        <v/>
      </c>
      <c r="AM24" s="7" t="str">
        <f>IF(AND(ISNUMBER($C24),ISNUMBER($D24),AM$1&lt;=$D24,AM$1+6&gt;=$C24),1,"")</f>
        <v/>
      </c>
      <c r="AN24" s="7" t="str">
        <f>IF(AND(ISNUMBER($C24),ISNUMBER($D24),AN$1&lt;=$D24,AN$1+6&gt;=$C24),1,"")</f>
        <v/>
      </c>
      <c r="AO24" s="7" t="str">
        <f>IF(AND(ISNUMBER($C24),ISNUMBER($D24),AO$1&lt;=$D24,AO$1+6&gt;=$C24),1,"")</f>
        <v/>
      </c>
      <c r="AP24" s="7" t="str">
        <f>IF(AND(ISNUMBER($C24),ISNUMBER($D24),AP$1&lt;=$D24,AP$1+6&gt;=$C24),1,"")</f>
        <v/>
      </c>
      <c r="AQ24" s="7" t="str">
        <f>IF(AND(ISNUMBER($C24),ISNUMBER($D24),AQ$1&lt;=$D24,AQ$1+6&gt;=$C24),1,"")</f>
        <v/>
      </c>
      <c r="AR24" s="7" t="str">
        <f>IF(AND(ISNUMBER($C24),ISNUMBER($D24),AR$1&lt;=$D24,AR$1+6&gt;=$C24),1,"")</f>
        <v/>
      </c>
      <c r="AS24" s="7" t="str">
        <f>IF(AND(ISNUMBER($C24),ISNUMBER($D24),AS$1&lt;=$D24,AS$1+6&gt;=$C24),1,"")</f>
        <v/>
      </c>
      <c r="AT24" s="7" t="str">
        <f>IF(AND(ISNUMBER($C24),ISNUMBER($D24),AT$1&lt;=$D24,AT$1+6&gt;=$C24),1,"")</f>
        <v/>
      </c>
      <c r="AU24" s="7" t="str">
        <f>IF(AND(ISNUMBER($C24),ISNUMBER($D24),AU$1&lt;=$D24,AU$1+6&gt;=$C24),1,"")</f>
        <v/>
      </c>
      <c r="AV24" s="7" t="str">
        <f>IF(AND(ISNUMBER($C24),ISNUMBER($D24),AV$1&lt;=$D24,AV$1+6&gt;=$C24),1,"")</f>
        <v/>
      </c>
      <c r="AW24" s="7" t="str">
        <f>IF(AND(ISNUMBER($C24),ISNUMBER($D24),AW$1&lt;=$D24,AW$1+6&gt;=$C24),1,"")</f>
        <v/>
      </c>
      <c r="AX24" s="7" t="str">
        <f>IF(AND(ISNUMBER($C24),ISNUMBER($D24),AX$1&lt;=$D24,AX$1+6&gt;=$C24),1,"")</f>
        <v/>
      </c>
      <c r="AY24" s="7" t="str">
        <f>IF(AND(ISNUMBER($C24),ISNUMBER($D24),AY$1&lt;=$D24,AY$1+6&gt;=$C24),1,"")</f>
        <v/>
      </c>
      <c r="AZ24" s="7" t="str">
        <f>IF(AND(ISNUMBER($C24),ISNUMBER($D24),AZ$1&lt;=$D24,AZ$1+6&gt;=$C24),1,"")</f>
        <v/>
      </c>
      <c r="BA24" s="7" t="str">
        <f>IF(AND(ISNUMBER($C24),ISNUMBER($D24),BA$1&lt;=$D24,BA$1+6&gt;=$C24),1,"")</f>
        <v/>
      </c>
      <c r="BB24" s="7" t="str">
        <f>IF(AND(ISNUMBER($C24),ISNUMBER($D24),BB$1&lt;=$D24,BB$1+6&gt;=$C24),1,"")</f>
        <v/>
      </c>
      <c r="BC24" s="7" t="str">
        <f>IF(AND(ISNUMBER($C24),ISNUMBER($D24),BC$1&lt;=$D24,BC$1+6&gt;=$C24),1,"")</f>
        <v/>
      </c>
      <c r="BD24" s="7" t="str">
        <f>IF(AND(ISNUMBER($C24),ISNUMBER($D24),BD$1&lt;=$D24,BD$1+6&gt;=$C24),1,"")</f>
        <v/>
      </c>
      <c r="BE24" s="7" t="str">
        <f>IF(AND(ISNUMBER($C24),ISNUMBER($D24),BE$1&lt;=$D24,BE$1+6&gt;=$C24),1,"")</f>
        <v/>
      </c>
      <c r="BF24" s="7" t="str">
        <f>IF(AND(ISNUMBER($C24),ISNUMBER($D24),BF$1&lt;=$D24,BF$1+6&gt;=$C24),1,"")</f>
        <v/>
      </c>
      <c r="BG24" s="7" t="str">
        <f>IF(AND(ISNUMBER($C24),ISNUMBER($D24),BG$1&lt;=$D24,BG$1+6&gt;=$C24),1,"")</f>
        <v/>
      </c>
      <c r="BH24" s="7" t="str">
        <f>IF(AND(ISNUMBER($C24),ISNUMBER($D24),BH$1&lt;=$D24,BH$1+6&gt;=$C24),1,"")</f>
        <v/>
      </c>
      <c r="BI24" s="7" t="str">
        <f>IF(AND(ISNUMBER($C24),ISNUMBER($D24),BI$1&lt;=$D24,BI$1+6&gt;=$C24),1,"")</f>
        <v/>
      </c>
      <c r="BJ24" s="7" t="str">
        <f>IF(AND(ISNUMBER($C24),ISNUMBER($D24),BJ$1&lt;=$D24,BJ$1+6&gt;=$C24),1,"")</f>
        <v/>
      </c>
      <c r="BK24" s="7" t="str">
        <f>IF(AND(ISNUMBER($C24),ISNUMBER($D24),BK$1&lt;=$D24,BK$1+6&gt;=$C24),1,"")</f>
        <v/>
      </c>
      <c r="BL24" s="7" t="str">
        <f>IF(AND(ISNUMBER($C24),ISNUMBER($D24),BL$1&lt;=$D24,BL$1+6&gt;=$C24),1,"")</f>
        <v/>
      </c>
      <c r="BM24" s="7" t="str">
        <f>IF(AND(ISNUMBER($C24),ISNUMBER($D24),BM$1&lt;=$D24,BM$1+6&gt;=$C24),1,"")</f>
        <v/>
      </c>
      <c r="BN24" s="7" t="str">
        <f>IF(AND(ISNUMBER($C24),ISNUMBER($D24),BN$1&lt;=$D24,BN$1+6&gt;=$C24),1,"")</f>
        <v/>
      </c>
      <c r="BO24" s="7" t="str">
        <f>IF(AND(ISNUMBER($C24),ISNUMBER($D24),BO$1&lt;=$D24,BO$1+6&gt;=$C24),1,"")</f>
        <v/>
      </c>
      <c r="BP24" s="7" t="str">
        <f>IF(AND(ISNUMBER($C24),ISNUMBER($D24),BP$1&lt;=$D24,BP$1+6&gt;=$C24),1,"")</f>
        <v/>
      </c>
      <c r="BQ24" s="7">
        <f>IF(AND(ISNUMBER($C24),ISNUMBER($D24),BQ$1&lt;=$D24,BQ$1+6&gt;=$C24),1,"")</f>
        <v>1</v>
      </c>
      <c r="BR24" s="7">
        <f>IF(AND(ISNUMBER($C24),ISNUMBER($D24),BR$1&lt;=$D24,BR$1+6&gt;=$C24),1,"")</f>
        <v>1</v>
      </c>
      <c r="BS24" s="7">
        <f>IF(AND(ISNUMBER($C24),ISNUMBER($D24),BS$1&lt;=$D24,BS$1+6&gt;=$C24),1,"")</f>
        <v>1</v>
      </c>
      <c r="BT24" s="7">
        <f>IF(AND(ISNUMBER($C24),ISNUMBER($D24),BT$1&lt;=$D24,BT$1+6&gt;=$C24),1,"")</f>
        <v>1</v>
      </c>
      <c r="BU24" s="7" t="str">
        <f>IF(AND(ISNUMBER($C24),ISNUMBER($D24),BU$1&lt;=$D24,BU$1+6&gt;=$C24),1,"")</f>
        <v/>
      </c>
      <c r="BV24" s="7" t="str">
        <f>IF(AND(ISNUMBER($C24),ISNUMBER($D24),BV$1&lt;=$D24,BV$1+6&gt;=$C24),1,"")</f>
        <v/>
      </c>
      <c r="BW24" s="7" t="str">
        <f>IF(AND(ISNUMBER($C24),ISNUMBER($D24),BW$1&lt;=$D24,BW$1+6&gt;=$C24),1,"")</f>
        <v/>
      </c>
      <c r="BX24" s="7" t="str">
        <f>IF(AND(ISNUMBER($C24),ISNUMBER($D24),BX$1&lt;=$D24,BX$1+6&gt;=$C24),1,"")</f>
        <v/>
      </c>
      <c r="BY24" s="7" t="str">
        <f>IF(AND(ISNUMBER($C24),ISNUMBER($D24),BY$1&lt;=$D24,BY$1+6&gt;=$C24),1,"")</f>
        <v/>
      </c>
      <c r="BZ24" s="7" t="str">
        <f>IF(AND(ISNUMBER($C24),ISNUMBER($D24),BZ$1&lt;=$D24,BZ$1+6&gt;=$C24),1,"")</f>
        <v/>
      </c>
      <c r="CA24" s="7" t="str">
        <f>IF(AND(ISNUMBER($C24),ISNUMBER($D24),CA$1&lt;=$D24,CA$1+6&gt;=$C24),1,"")</f>
        <v/>
      </c>
      <c r="CB24" s="7" t="str">
        <f>IF(AND(ISNUMBER($C24),ISNUMBER($D24),CB$1&lt;=$D24,CB$1+6&gt;=$C24),1,"")</f>
        <v/>
      </c>
      <c r="CC24" s="7" t="str">
        <f>IF(AND(ISNUMBER($C24),ISNUMBER($D24),CC$1&lt;=$D24,CC$1+6&gt;=$C24),1,"")</f>
        <v/>
      </c>
      <c r="CD24" s="7" t="str">
        <f>IF(AND(ISNUMBER($C24),ISNUMBER($D24),CD$1&lt;=$D24,CD$1+6&gt;=$C24),1,"")</f>
        <v/>
      </c>
      <c r="CE24" s="7" t="str">
        <f>IF(AND(ISNUMBER($C24),ISNUMBER($D24),CE$1&lt;=$D24,CE$1+6&gt;=$C24),1,"")</f>
        <v/>
      </c>
      <c r="CF24" s="7" t="str">
        <f>IF(AND(ISNUMBER($C24),ISNUMBER($D24),CF$1&lt;=$D24,CF$1+6&gt;=$C24),1,"")</f>
        <v/>
      </c>
      <c r="CG24" s="7" t="str">
        <f>IF(AND(ISNUMBER($C24),ISNUMBER($D24),CG$1&lt;=$D24,CG$1+6&gt;=$C24),1,"")</f>
        <v/>
      </c>
      <c r="CH24" s="7" t="str">
        <f>IF(AND(ISNUMBER($C24),ISNUMBER($D24),CH$1&lt;=$D24,CH$1+6&gt;=$C24),1,"")</f>
        <v/>
      </c>
      <c r="CI24" s="7" t="str">
        <f>IF(AND(ISNUMBER($C24),ISNUMBER($D24),CI$1&lt;=$D24,CI$1+6&gt;=$C24),1,"")</f>
        <v/>
      </c>
      <c r="CJ24" s="7" t="str">
        <f>IF(AND(ISNUMBER($C24),ISNUMBER($D24),CJ$1&lt;=$D24,CJ$1+6&gt;=$C24),1,"")</f>
        <v/>
      </c>
      <c r="CK24" s="7" t="str">
        <f>IF(AND(ISNUMBER($C24),ISNUMBER($D24),CK$1&lt;=$D24,CK$1+6&gt;=$C24),1,"")</f>
        <v/>
      </c>
      <c r="CL24" s="7" t="str">
        <f>IF(AND(ISNUMBER($C24),ISNUMBER($D24),CL$1&lt;=$D24,CL$1+6&gt;=$C24),1,"")</f>
        <v/>
      </c>
      <c r="CM24" s="7" t="str">
        <f>IF(AND(ISNUMBER($C24),ISNUMBER($D24),CM$1&lt;=$D24,CM$1+6&gt;=$C24),1,"")</f>
        <v/>
      </c>
      <c r="CN24" s="7" t="str">
        <f>IF(AND(ISNUMBER($C24),ISNUMBER($D24),CN$1&lt;=$D24,CN$1+6&gt;=$C24),1,"")</f>
        <v/>
      </c>
      <c r="CO24" s="7" t="str">
        <f>IF(AND(ISNUMBER($C24),ISNUMBER($D24),CO$1&lt;=$D24,CO$1+6&gt;=$C24),1,"")</f>
        <v/>
      </c>
      <c r="CP24" s="7" t="str">
        <f>IF(AND(ISNUMBER($C24),ISNUMBER($D24),CP$1&lt;=$D24,CP$1+6&gt;=$C24),1,"")</f>
        <v/>
      </c>
      <c r="CQ24" s="7" t="str">
        <f>IF(AND(ISNUMBER($C24),ISNUMBER($D24),CQ$1&lt;=$D24,CQ$1+6&gt;=$C24),1,"")</f>
        <v/>
      </c>
      <c r="CR24" s="7" t="str">
        <f>IF(AND(ISNUMBER($C24),ISNUMBER($D24),CR$1&lt;=$D24,CR$1+6&gt;=$C24),1,"")</f>
        <v/>
      </c>
      <c r="CS24" s="7" t="str">
        <f>IF(AND(ISNUMBER($C24),ISNUMBER($D24),CS$1&lt;=$D24,CS$1+6&gt;=$C24),1,"")</f>
        <v/>
      </c>
      <c r="CT24" s="7" t="str">
        <f>IF(AND(ISNUMBER($C24),ISNUMBER($D24),CT$1&lt;=$D24,CT$1+6&gt;=$C24),1,"")</f>
        <v/>
      </c>
      <c r="CU24" s="7" t="str">
        <f>IF(AND(ISNUMBER($C24),ISNUMBER($D24),CU$1&lt;=$D24,CU$1+6&gt;=$C24),1,"")</f>
        <v/>
      </c>
      <c r="CV24" s="7" t="str">
        <f>IF(AND(ISNUMBER($C24),ISNUMBER($D24),CV$1&lt;=$D24,CV$1+6&gt;=$C24),1,"")</f>
        <v/>
      </c>
      <c r="CW24" s="7" t="str">
        <f>IF(AND(ISNUMBER($C24),ISNUMBER($D24),CW$1&lt;=$D24,CW$1+6&gt;=$C24),1,"")</f>
        <v/>
      </c>
      <c r="CX24" s="7" t="str">
        <f>IF(AND(ISNUMBER($C24),ISNUMBER($D24),CX$1&lt;=$D24,CX$1+6&gt;=$C24),1,"")</f>
        <v/>
      </c>
      <c r="CY24" s="7" t="str">
        <f>IF(AND(ISNUMBER($C24),ISNUMBER($D24),CY$1&lt;=$D24,CY$1+6&gt;=$C24),1,"")</f>
        <v/>
      </c>
      <c r="CZ24" s="7" t="str">
        <f>IF(AND(ISNUMBER($C24),ISNUMBER($D24),CZ$1&lt;=$D24,CZ$1+6&gt;=$C24),1,"")</f>
        <v/>
      </c>
      <c r="DA24" s="7" t="str">
        <f>IF(AND(ISNUMBER($C24),ISNUMBER($D24),DA$1&lt;=$D24,DA$1+6&gt;=$C24),1,"")</f>
        <v/>
      </c>
      <c r="DB24" s="7" t="str">
        <f>IF(AND(ISNUMBER($C24),ISNUMBER($D24),DB$1&lt;=$D24,DB$1+6&gt;=$C24),1,"")</f>
        <v/>
      </c>
      <c r="DC24" s="7" t="str">
        <f>IF(AND(ISNUMBER($C24),ISNUMBER($D24),DC$1&lt;=$D24,DC$1+6&gt;=$C24),1,"")</f>
        <v/>
      </c>
      <c r="DD24" s="7" t="str">
        <f>IF(AND(ISNUMBER($C24),ISNUMBER($D24),DD$1&lt;=$D24,DD$1+6&gt;=$C24),1,"")</f>
        <v/>
      </c>
    </row>
    <row r="25" spans="1:108" x14ac:dyDescent="0.35">
      <c r="A25" s="6" t="str">
        <f>Schedule!B25</f>
        <v>Infrastructure as code and release workflow</v>
      </c>
      <c r="B25" s="6" t="str">
        <f>Schedule!C25</f>
        <v>Core</v>
      </c>
      <c r="C25" s="4">
        <f>IF(Schedule!P25="","",Schedule!P25)</f>
        <v>46790</v>
      </c>
      <c r="D25" s="4">
        <f>IF(Schedule!Q25="","",Schedule!Q25)</f>
        <v>46812</v>
      </c>
      <c r="E25" s="7" t="str">
        <f>IF(AND(ISNUMBER($C25),ISNUMBER($D25),E$1&lt;=$D25,E$1+6&gt;=$C25),1,"")</f>
        <v/>
      </c>
      <c r="F25" s="7" t="str">
        <f>IF(AND(ISNUMBER($C25),ISNUMBER($D25),F$1&lt;=$D25,F$1+6&gt;=$C25),1,"")</f>
        <v/>
      </c>
      <c r="G25" s="7" t="str">
        <f>IF(AND(ISNUMBER($C25),ISNUMBER($D25),G$1&lt;=$D25,G$1+6&gt;=$C25),1,"")</f>
        <v/>
      </c>
      <c r="H25" s="7" t="str">
        <f>IF(AND(ISNUMBER($C25),ISNUMBER($D25),H$1&lt;=$D25,H$1+6&gt;=$C25),1,"")</f>
        <v/>
      </c>
      <c r="I25" s="7" t="str">
        <f>IF(AND(ISNUMBER($C25),ISNUMBER($D25),I$1&lt;=$D25,I$1+6&gt;=$C25),1,"")</f>
        <v/>
      </c>
      <c r="J25" s="7" t="str">
        <f>IF(AND(ISNUMBER($C25),ISNUMBER($D25),J$1&lt;=$D25,J$1+6&gt;=$C25),1,"")</f>
        <v/>
      </c>
      <c r="K25" s="7" t="str">
        <f>IF(AND(ISNUMBER($C25),ISNUMBER($D25),K$1&lt;=$D25,K$1+6&gt;=$C25),1,"")</f>
        <v/>
      </c>
      <c r="L25" s="7" t="str">
        <f>IF(AND(ISNUMBER($C25),ISNUMBER($D25),L$1&lt;=$D25,L$1+6&gt;=$C25),1,"")</f>
        <v/>
      </c>
      <c r="M25" s="7" t="str">
        <f>IF(AND(ISNUMBER($C25),ISNUMBER($D25),M$1&lt;=$D25,M$1+6&gt;=$C25),1,"")</f>
        <v/>
      </c>
      <c r="N25" s="7" t="str">
        <f>IF(AND(ISNUMBER($C25),ISNUMBER($D25),N$1&lt;=$D25,N$1+6&gt;=$C25),1,"")</f>
        <v/>
      </c>
      <c r="O25" s="7" t="str">
        <f>IF(AND(ISNUMBER($C25),ISNUMBER($D25),O$1&lt;=$D25,O$1+6&gt;=$C25),1,"")</f>
        <v/>
      </c>
      <c r="P25" s="7" t="str">
        <f>IF(AND(ISNUMBER($C25),ISNUMBER($D25),P$1&lt;=$D25,P$1+6&gt;=$C25),1,"")</f>
        <v/>
      </c>
      <c r="Q25" s="7" t="str">
        <f>IF(AND(ISNUMBER($C25),ISNUMBER($D25),Q$1&lt;=$D25,Q$1+6&gt;=$C25),1,"")</f>
        <v/>
      </c>
      <c r="R25" s="7" t="str">
        <f>IF(AND(ISNUMBER($C25),ISNUMBER($D25),R$1&lt;=$D25,R$1+6&gt;=$C25),1,"")</f>
        <v/>
      </c>
      <c r="S25" s="7" t="str">
        <f>IF(AND(ISNUMBER($C25),ISNUMBER($D25),S$1&lt;=$D25,S$1+6&gt;=$C25),1,"")</f>
        <v/>
      </c>
      <c r="T25" s="7" t="str">
        <f>IF(AND(ISNUMBER($C25),ISNUMBER($D25),T$1&lt;=$D25,T$1+6&gt;=$C25),1,"")</f>
        <v/>
      </c>
      <c r="U25" s="7" t="str">
        <f>IF(AND(ISNUMBER($C25),ISNUMBER($D25),U$1&lt;=$D25,U$1+6&gt;=$C25),1,"")</f>
        <v/>
      </c>
      <c r="V25" s="7" t="str">
        <f>IF(AND(ISNUMBER($C25),ISNUMBER($D25),V$1&lt;=$D25,V$1+6&gt;=$C25),1,"")</f>
        <v/>
      </c>
      <c r="W25" s="7" t="str">
        <f>IF(AND(ISNUMBER($C25),ISNUMBER($D25),W$1&lt;=$D25,W$1+6&gt;=$C25),1,"")</f>
        <v/>
      </c>
      <c r="X25" s="7" t="str">
        <f>IF(AND(ISNUMBER($C25),ISNUMBER($D25),X$1&lt;=$D25,X$1+6&gt;=$C25),1,"")</f>
        <v/>
      </c>
      <c r="Y25" s="7" t="str">
        <f>IF(AND(ISNUMBER($C25),ISNUMBER($D25),Y$1&lt;=$D25,Y$1+6&gt;=$C25),1,"")</f>
        <v/>
      </c>
      <c r="Z25" s="7" t="str">
        <f>IF(AND(ISNUMBER($C25),ISNUMBER($D25),Z$1&lt;=$D25,Z$1+6&gt;=$C25),1,"")</f>
        <v/>
      </c>
      <c r="AA25" s="7" t="str">
        <f>IF(AND(ISNUMBER($C25),ISNUMBER($D25),AA$1&lt;=$D25,AA$1+6&gt;=$C25),1,"")</f>
        <v/>
      </c>
      <c r="AB25" s="7" t="str">
        <f>IF(AND(ISNUMBER($C25),ISNUMBER($D25),AB$1&lt;=$D25,AB$1+6&gt;=$C25),1,"")</f>
        <v/>
      </c>
      <c r="AC25" s="7" t="str">
        <f>IF(AND(ISNUMBER($C25),ISNUMBER($D25),AC$1&lt;=$D25,AC$1+6&gt;=$C25),1,"")</f>
        <v/>
      </c>
      <c r="AD25" s="7" t="str">
        <f>IF(AND(ISNUMBER($C25),ISNUMBER($D25),AD$1&lt;=$D25,AD$1+6&gt;=$C25),1,"")</f>
        <v/>
      </c>
      <c r="AE25" s="7" t="str">
        <f>IF(AND(ISNUMBER($C25),ISNUMBER($D25),AE$1&lt;=$D25,AE$1+6&gt;=$C25),1,"")</f>
        <v/>
      </c>
      <c r="AF25" s="7" t="str">
        <f>IF(AND(ISNUMBER($C25),ISNUMBER($D25),AF$1&lt;=$D25,AF$1+6&gt;=$C25),1,"")</f>
        <v/>
      </c>
      <c r="AG25" s="7" t="str">
        <f>IF(AND(ISNUMBER($C25),ISNUMBER($D25),AG$1&lt;=$D25,AG$1+6&gt;=$C25),1,"")</f>
        <v/>
      </c>
      <c r="AH25" s="7" t="str">
        <f>IF(AND(ISNUMBER($C25),ISNUMBER($D25),AH$1&lt;=$D25,AH$1+6&gt;=$C25),1,"")</f>
        <v/>
      </c>
      <c r="AI25" s="7" t="str">
        <f>IF(AND(ISNUMBER($C25),ISNUMBER($D25),AI$1&lt;=$D25,AI$1+6&gt;=$C25),1,"")</f>
        <v/>
      </c>
      <c r="AJ25" s="7" t="str">
        <f>IF(AND(ISNUMBER($C25),ISNUMBER($D25),AJ$1&lt;=$D25,AJ$1+6&gt;=$C25),1,"")</f>
        <v/>
      </c>
      <c r="AK25" s="7" t="str">
        <f>IF(AND(ISNUMBER($C25),ISNUMBER($D25),AK$1&lt;=$D25,AK$1+6&gt;=$C25),1,"")</f>
        <v/>
      </c>
      <c r="AL25" s="7" t="str">
        <f>IF(AND(ISNUMBER($C25),ISNUMBER($D25),AL$1&lt;=$D25,AL$1+6&gt;=$C25),1,"")</f>
        <v/>
      </c>
      <c r="AM25" s="7" t="str">
        <f>IF(AND(ISNUMBER($C25),ISNUMBER($D25),AM$1&lt;=$D25,AM$1+6&gt;=$C25),1,"")</f>
        <v/>
      </c>
      <c r="AN25" s="7" t="str">
        <f>IF(AND(ISNUMBER($C25),ISNUMBER($D25),AN$1&lt;=$D25,AN$1+6&gt;=$C25),1,"")</f>
        <v/>
      </c>
      <c r="AO25" s="7" t="str">
        <f>IF(AND(ISNUMBER($C25),ISNUMBER($D25),AO$1&lt;=$D25,AO$1+6&gt;=$C25),1,"")</f>
        <v/>
      </c>
      <c r="AP25" s="7" t="str">
        <f>IF(AND(ISNUMBER($C25),ISNUMBER($D25),AP$1&lt;=$D25,AP$1+6&gt;=$C25),1,"")</f>
        <v/>
      </c>
      <c r="AQ25" s="7" t="str">
        <f>IF(AND(ISNUMBER($C25),ISNUMBER($D25),AQ$1&lt;=$D25,AQ$1+6&gt;=$C25),1,"")</f>
        <v/>
      </c>
      <c r="AR25" s="7" t="str">
        <f>IF(AND(ISNUMBER($C25),ISNUMBER($D25),AR$1&lt;=$D25,AR$1+6&gt;=$C25),1,"")</f>
        <v/>
      </c>
      <c r="AS25" s="7" t="str">
        <f>IF(AND(ISNUMBER($C25),ISNUMBER($D25),AS$1&lt;=$D25,AS$1+6&gt;=$C25),1,"")</f>
        <v/>
      </c>
      <c r="AT25" s="7" t="str">
        <f>IF(AND(ISNUMBER($C25),ISNUMBER($D25),AT$1&lt;=$D25,AT$1+6&gt;=$C25),1,"")</f>
        <v/>
      </c>
      <c r="AU25" s="7" t="str">
        <f>IF(AND(ISNUMBER($C25),ISNUMBER($D25),AU$1&lt;=$D25,AU$1+6&gt;=$C25),1,"")</f>
        <v/>
      </c>
      <c r="AV25" s="7" t="str">
        <f>IF(AND(ISNUMBER($C25),ISNUMBER($D25),AV$1&lt;=$D25,AV$1+6&gt;=$C25),1,"")</f>
        <v/>
      </c>
      <c r="AW25" s="7" t="str">
        <f>IF(AND(ISNUMBER($C25),ISNUMBER($D25),AW$1&lt;=$D25,AW$1+6&gt;=$C25),1,"")</f>
        <v/>
      </c>
      <c r="AX25" s="7" t="str">
        <f>IF(AND(ISNUMBER($C25),ISNUMBER($D25),AX$1&lt;=$D25,AX$1+6&gt;=$C25),1,"")</f>
        <v/>
      </c>
      <c r="AY25" s="7" t="str">
        <f>IF(AND(ISNUMBER($C25),ISNUMBER($D25),AY$1&lt;=$D25,AY$1+6&gt;=$C25),1,"")</f>
        <v/>
      </c>
      <c r="AZ25" s="7" t="str">
        <f>IF(AND(ISNUMBER($C25),ISNUMBER($D25),AZ$1&lt;=$D25,AZ$1+6&gt;=$C25),1,"")</f>
        <v/>
      </c>
      <c r="BA25" s="7" t="str">
        <f>IF(AND(ISNUMBER($C25),ISNUMBER($D25),BA$1&lt;=$D25,BA$1+6&gt;=$C25),1,"")</f>
        <v/>
      </c>
      <c r="BB25" s="7" t="str">
        <f>IF(AND(ISNUMBER($C25),ISNUMBER($D25),BB$1&lt;=$D25,BB$1+6&gt;=$C25),1,"")</f>
        <v/>
      </c>
      <c r="BC25" s="7" t="str">
        <f>IF(AND(ISNUMBER($C25),ISNUMBER($D25),BC$1&lt;=$D25,BC$1+6&gt;=$C25),1,"")</f>
        <v/>
      </c>
      <c r="BD25" s="7" t="str">
        <f>IF(AND(ISNUMBER($C25),ISNUMBER($D25),BD$1&lt;=$D25,BD$1+6&gt;=$C25),1,"")</f>
        <v/>
      </c>
      <c r="BE25" s="7" t="str">
        <f>IF(AND(ISNUMBER($C25),ISNUMBER($D25),BE$1&lt;=$D25,BE$1+6&gt;=$C25),1,"")</f>
        <v/>
      </c>
      <c r="BF25" s="7" t="str">
        <f>IF(AND(ISNUMBER($C25),ISNUMBER($D25),BF$1&lt;=$D25,BF$1+6&gt;=$C25),1,"")</f>
        <v/>
      </c>
      <c r="BG25" s="7" t="str">
        <f>IF(AND(ISNUMBER($C25),ISNUMBER($D25),BG$1&lt;=$D25,BG$1+6&gt;=$C25),1,"")</f>
        <v/>
      </c>
      <c r="BH25" s="7" t="str">
        <f>IF(AND(ISNUMBER($C25),ISNUMBER($D25),BH$1&lt;=$D25,BH$1+6&gt;=$C25),1,"")</f>
        <v/>
      </c>
      <c r="BI25" s="7" t="str">
        <f>IF(AND(ISNUMBER($C25),ISNUMBER($D25),BI$1&lt;=$D25,BI$1+6&gt;=$C25),1,"")</f>
        <v/>
      </c>
      <c r="BJ25" s="7" t="str">
        <f>IF(AND(ISNUMBER($C25),ISNUMBER($D25),BJ$1&lt;=$D25,BJ$1+6&gt;=$C25),1,"")</f>
        <v/>
      </c>
      <c r="BK25" s="7" t="str">
        <f>IF(AND(ISNUMBER($C25),ISNUMBER($D25),BK$1&lt;=$D25,BK$1+6&gt;=$C25),1,"")</f>
        <v/>
      </c>
      <c r="BL25" s="7" t="str">
        <f>IF(AND(ISNUMBER($C25),ISNUMBER($D25),BL$1&lt;=$D25,BL$1+6&gt;=$C25),1,"")</f>
        <v/>
      </c>
      <c r="BM25" s="7" t="str">
        <f>IF(AND(ISNUMBER($C25),ISNUMBER($D25),BM$1&lt;=$D25,BM$1+6&gt;=$C25),1,"")</f>
        <v/>
      </c>
      <c r="BN25" s="7" t="str">
        <f>IF(AND(ISNUMBER($C25),ISNUMBER($D25),BN$1&lt;=$D25,BN$1+6&gt;=$C25),1,"")</f>
        <v/>
      </c>
      <c r="BO25" s="7" t="str">
        <f>IF(AND(ISNUMBER($C25),ISNUMBER($D25),BO$1&lt;=$D25,BO$1+6&gt;=$C25),1,"")</f>
        <v/>
      </c>
      <c r="BP25" s="7" t="str">
        <f>IF(AND(ISNUMBER($C25),ISNUMBER($D25),BP$1&lt;=$D25,BP$1+6&gt;=$C25),1,"")</f>
        <v/>
      </c>
      <c r="BQ25" s="7" t="str">
        <f>IF(AND(ISNUMBER($C25),ISNUMBER($D25),BQ$1&lt;=$D25,BQ$1+6&gt;=$C25),1,"")</f>
        <v/>
      </c>
      <c r="BR25" s="7" t="str">
        <f>IF(AND(ISNUMBER($C25),ISNUMBER($D25),BR$1&lt;=$D25,BR$1+6&gt;=$C25),1,"")</f>
        <v/>
      </c>
      <c r="BS25" s="7" t="str">
        <f>IF(AND(ISNUMBER($C25),ISNUMBER($D25),BS$1&lt;=$D25,BS$1+6&gt;=$C25),1,"")</f>
        <v/>
      </c>
      <c r="BT25" s="7">
        <f>IF(AND(ISNUMBER($C25),ISNUMBER($D25),BT$1&lt;=$D25,BT$1+6&gt;=$C25),1,"")</f>
        <v>1</v>
      </c>
      <c r="BU25" s="7">
        <f>IF(AND(ISNUMBER($C25),ISNUMBER($D25),BU$1&lt;=$D25,BU$1+6&gt;=$C25),1,"")</f>
        <v>1</v>
      </c>
      <c r="BV25" s="7">
        <f>IF(AND(ISNUMBER($C25),ISNUMBER($D25),BV$1&lt;=$D25,BV$1+6&gt;=$C25),1,"")</f>
        <v>1</v>
      </c>
      <c r="BW25" s="7">
        <f>IF(AND(ISNUMBER($C25),ISNUMBER($D25),BW$1&lt;=$D25,BW$1+6&gt;=$C25),1,"")</f>
        <v>1</v>
      </c>
      <c r="BX25" s="7" t="str">
        <f>IF(AND(ISNUMBER($C25),ISNUMBER($D25),BX$1&lt;=$D25,BX$1+6&gt;=$C25),1,"")</f>
        <v/>
      </c>
      <c r="BY25" s="7" t="str">
        <f>IF(AND(ISNUMBER($C25),ISNUMBER($D25),BY$1&lt;=$D25,BY$1+6&gt;=$C25),1,"")</f>
        <v/>
      </c>
      <c r="BZ25" s="7" t="str">
        <f>IF(AND(ISNUMBER($C25),ISNUMBER($D25),BZ$1&lt;=$D25,BZ$1+6&gt;=$C25),1,"")</f>
        <v/>
      </c>
      <c r="CA25" s="7" t="str">
        <f>IF(AND(ISNUMBER($C25),ISNUMBER($D25),CA$1&lt;=$D25,CA$1+6&gt;=$C25),1,"")</f>
        <v/>
      </c>
      <c r="CB25" s="7" t="str">
        <f>IF(AND(ISNUMBER($C25),ISNUMBER($D25),CB$1&lt;=$D25,CB$1+6&gt;=$C25),1,"")</f>
        <v/>
      </c>
      <c r="CC25" s="7" t="str">
        <f>IF(AND(ISNUMBER($C25),ISNUMBER($D25),CC$1&lt;=$D25,CC$1+6&gt;=$C25),1,"")</f>
        <v/>
      </c>
      <c r="CD25" s="7" t="str">
        <f>IF(AND(ISNUMBER($C25),ISNUMBER($D25),CD$1&lt;=$D25,CD$1+6&gt;=$C25),1,"")</f>
        <v/>
      </c>
      <c r="CE25" s="7" t="str">
        <f>IF(AND(ISNUMBER($C25),ISNUMBER($D25),CE$1&lt;=$D25,CE$1+6&gt;=$C25),1,"")</f>
        <v/>
      </c>
      <c r="CF25" s="7" t="str">
        <f>IF(AND(ISNUMBER($C25),ISNUMBER($D25),CF$1&lt;=$D25,CF$1+6&gt;=$C25),1,"")</f>
        <v/>
      </c>
      <c r="CG25" s="7" t="str">
        <f>IF(AND(ISNUMBER($C25),ISNUMBER($D25),CG$1&lt;=$D25,CG$1+6&gt;=$C25),1,"")</f>
        <v/>
      </c>
      <c r="CH25" s="7" t="str">
        <f>IF(AND(ISNUMBER($C25),ISNUMBER($D25),CH$1&lt;=$D25,CH$1+6&gt;=$C25),1,"")</f>
        <v/>
      </c>
      <c r="CI25" s="7" t="str">
        <f>IF(AND(ISNUMBER($C25),ISNUMBER($D25),CI$1&lt;=$D25,CI$1+6&gt;=$C25),1,"")</f>
        <v/>
      </c>
      <c r="CJ25" s="7" t="str">
        <f>IF(AND(ISNUMBER($C25),ISNUMBER($D25),CJ$1&lt;=$D25,CJ$1+6&gt;=$C25),1,"")</f>
        <v/>
      </c>
      <c r="CK25" s="7" t="str">
        <f>IF(AND(ISNUMBER($C25),ISNUMBER($D25),CK$1&lt;=$D25,CK$1+6&gt;=$C25),1,"")</f>
        <v/>
      </c>
      <c r="CL25" s="7" t="str">
        <f>IF(AND(ISNUMBER($C25),ISNUMBER($D25),CL$1&lt;=$D25,CL$1+6&gt;=$C25),1,"")</f>
        <v/>
      </c>
      <c r="CM25" s="7" t="str">
        <f>IF(AND(ISNUMBER($C25),ISNUMBER($D25),CM$1&lt;=$D25,CM$1+6&gt;=$C25),1,"")</f>
        <v/>
      </c>
      <c r="CN25" s="7" t="str">
        <f>IF(AND(ISNUMBER($C25),ISNUMBER($D25),CN$1&lt;=$D25,CN$1+6&gt;=$C25),1,"")</f>
        <v/>
      </c>
      <c r="CO25" s="7" t="str">
        <f>IF(AND(ISNUMBER($C25),ISNUMBER($D25),CO$1&lt;=$D25,CO$1+6&gt;=$C25),1,"")</f>
        <v/>
      </c>
      <c r="CP25" s="7" t="str">
        <f>IF(AND(ISNUMBER($C25),ISNUMBER($D25),CP$1&lt;=$D25,CP$1+6&gt;=$C25),1,"")</f>
        <v/>
      </c>
      <c r="CQ25" s="7" t="str">
        <f>IF(AND(ISNUMBER($C25),ISNUMBER($D25),CQ$1&lt;=$D25,CQ$1+6&gt;=$C25),1,"")</f>
        <v/>
      </c>
      <c r="CR25" s="7" t="str">
        <f>IF(AND(ISNUMBER($C25),ISNUMBER($D25),CR$1&lt;=$D25,CR$1+6&gt;=$C25),1,"")</f>
        <v/>
      </c>
      <c r="CS25" s="7" t="str">
        <f>IF(AND(ISNUMBER($C25),ISNUMBER($D25),CS$1&lt;=$D25,CS$1+6&gt;=$C25),1,"")</f>
        <v/>
      </c>
      <c r="CT25" s="7" t="str">
        <f>IF(AND(ISNUMBER($C25),ISNUMBER($D25),CT$1&lt;=$D25,CT$1+6&gt;=$C25),1,"")</f>
        <v/>
      </c>
      <c r="CU25" s="7" t="str">
        <f>IF(AND(ISNUMBER($C25),ISNUMBER($D25),CU$1&lt;=$D25,CU$1+6&gt;=$C25),1,"")</f>
        <v/>
      </c>
      <c r="CV25" s="7" t="str">
        <f>IF(AND(ISNUMBER($C25),ISNUMBER($D25),CV$1&lt;=$D25,CV$1+6&gt;=$C25),1,"")</f>
        <v/>
      </c>
      <c r="CW25" s="7" t="str">
        <f>IF(AND(ISNUMBER($C25),ISNUMBER($D25),CW$1&lt;=$D25,CW$1+6&gt;=$C25),1,"")</f>
        <v/>
      </c>
      <c r="CX25" s="7" t="str">
        <f>IF(AND(ISNUMBER($C25),ISNUMBER($D25),CX$1&lt;=$D25,CX$1+6&gt;=$C25),1,"")</f>
        <v/>
      </c>
      <c r="CY25" s="7" t="str">
        <f>IF(AND(ISNUMBER($C25),ISNUMBER($D25),CY$1&lt;=$D25,CY$1+6&gt;=$C25),1,"")</f>
        <v/>
      </c>
      <c r="CZ25" s="7" t="str">
        <f>IF(AND(ISNUMBER($C25),ISNUMBER($D25),CZ$1&lt;=$D25,CZ$1+6&gt;=$C25),1,"")</f>
        <v/>
      </c>
      <c r="DA25" s="7" t="str">
        <f>IF(AND(ISNUMBER($C25),ISNUMBER($D25),DA$1&lt;=$D25,DA$1+6&gt;=$C25),1,"")</f>
        <v/>
      </c>
      <c r="DB25" s="7" t="str">
        <f>IF(AND(ISNUMBER($C25),ISNUMBER($D25),DB$1&lt;=$D25,DB$1+6&gt;=$C25),1,"")</f>
        <v/>
      </c>
      <c r="DC25" s="7" t="str">
        <f>IF(AND(ISNUMBER($C25),ISNUMBER($D25),DC$1&lt;=$D25,DC$1+6&gt;=$C25),1,"")</f>
        <v/>
      </c>
      <c r="DD25" s="7" t="str">
        <f>IF(AND(ISNUMBER($C25),ISNUMBER($D25),DD$1&lt;=$D25,DD$1+6&gt;=$C25),1,"")</f>
        <v/>
      </c>
    </row>
    <row r="26" spans="1:108" x14ac:dyDescent="0.35">
      <c r="A26" s="6" t="str">
        <f>Schedule!B26</f>
        <v>Observability and inference measurement</v>
      </c>
      <c r="B26" s="6" t="str">
        <f>Schedule!C26</f>
        <v>Core</v>
      </c>
      <c r="C26" s="4">
        <f>IF(Schedule!P26="","",Schedule!P26)</f>
        <v>46812</v>
      </c>
      <c r="D26" s="4">
        <f>IF(Schedule!Q26="","",Schedule!Q26)</f>
        <v>46834</v>
      </c>
      <c r="E26" s="7" t="str">
        <f>IF(AND(ISNUMBER($C26),ISNUMBER($D26),E$1&lt;=$D26,E$1+6&gt;=$C26),1,"")</f>
        <v/>
      </c>
      <c r="F26" s="7" t="str">
        <f>IF(AND(ISNUMBER($C26),ISNUMBER($D26),F$1&lt;=$D26,F$1+6&gt;=$C26),1,"")</f>
        <v/>
      </c>
      <c r="G26" s="7" t="str">
        <f>IF(AND(ISNUMBER($C26),ISNUMBER($D26),G$1&lt;=$D26,G$1+6&gt;=$C26),1,"")</f>
        <v/>
      </c>
      <c r="H26" s="7" t="str">
        <f>IF(AND(ISNUMBER($C26),ISNUMBER($D26),H$1&lt;=$D26,H$1+6&gt;=$C26),1,"")</f>
        <v/>
      </c>
      <c r="I26" s="7" t="str">
        <f>IF(AND(ISNUMBER($C26),ISNUMBER($D26),I$1&lt;=$D26,I$1+6&gt;=$C26),1,"")</f>
        <v/>
      </c>
      <c r="J26" s="7" t="str">
        <f>IF(AND(ISNUMBER($C26),ISNUMBER($D26),J$1&lt;=$D26,J$1+6&gt;=$C26),1,"")</f>
        <v/>
      </c>
      <c r="K26" s="7" t="str">
        <f>IF(AND(ISNUMBER($C26),ISNUMBER($D26),K$1&lt;=$D26,K$1+6&gt;=$C26),1,"")</f>
        <v/>
      </c>
      <c r="L26" s="7" t="str">
        <f>IF(AND(ISNUMBER($C26),ISNUMBER($D26),L$1&lt;=$D26,L$1+6&gt;=$C26),1,"")</f>
        <v/>
      </c>
      <c r="M26" s="7" t="str">
        <f>IF(AND(ISNUMBER($C26),ISNUMBER($D26),M$1&lt;=$D26,M$1+6&gt;=$C26),1,"")</f>
        <v/>
      </c>
      <c r="N26" s="7" t="str">
        <f>IF(AND(ISNUMBER($C26),ISNUMBER($D26),N$1&lt;=$D26,N$1+6&gt;=$C26),1,"")</f>
        <v/>
      </c>
      <c r="O26" s="7" t="str">
        <f>IF(AND(ISNUMBER($C26),ISNUMBER($D26),O$1&lt;=$D26,O$1+6&gt;=$C26),1,"")</f>
        <v/>
      </c>
      <c r="P26" s="7" t="str">
        <f>IF(AND(ISNUMBER($C26),ISNUMBER($D26),P$1&lt;=$D26,P$1+6&gt;=$C26),1,"")</f>
        <v/>
      </c>
      <c r="Q26" s="7" t="str">
        <f>IF(AND(ISNUMBER($C26),ISNUMBER($D26),Q$1&lt;=$D26,Q$1+6&gt;=$C26),1,"")</f>
        <v/>
      </c>
      <c r="R26" s="7" t="str">
        <f>IF(AND(ISNUMBER($C26),ISNUMBER($D26),R$1&lt;=$D26,R$1+6&gt;=$C26),1,"")</f>
        <v/>
      </c>
      <c r="S26" s="7" t="str">
        <f>IF(AND(ISNUMBER($C26),ISNUMBER($D26),S$1&lt;=$D26,S$1+6&gt;=$C26),1,"")</f>
        <v/>
      </c>
      <c r="T26" s="7" t="str">
        <f>IF(AND(ISNUMBER($C26),ISNUMBER($D26),T$1&lt;=$D26,T$1+6&gt;=$C26),1,"")</f>
        <v/>
      </c>
      <c r="U26" s="7" t="str">
        <f>IF(AND(ISNUMBER($C26),ISNUMBER($D26),U$1&lt;=$D26,U$1+6&gt;=$C26),1,"")</f>
        <v/>
      </c>
      <c r="V26" s="7" t="str">
        <f>IF(AND(ISNUMBER($C26),ISNUMBER($D26),V$1&lt;=$D26,V$1+6&gt;=$C26),1,"")</f>
        <v/>
      </c>
      <c r="W26" s="7" t="str">
        <f>IF(AND(ISNUMBER($C26),ISNUMBER($D26),W$1&lt;=$D26,W$1+6&gt;=$C26),1,"")</f>
        <v/>
      </c>
      <c r="X26" s="7" t="str">
        <f>IF(AND(ISNUMBER($C26),ISNUMBER($D26),X$1&lt;=$D26,X$1+6&gt;=$C26),1,"")</f>
        <v/>
      </c>
      <c r="Y26" s="7" t="str">
        <f>IF(AND(ISNUMBER($C26),ISNUMBER($D26),Y$1&lt;=$D26,Y$1+6&gt;=$C26),1,"")</f>
        <v/>
      </c>
      <c r="Z26" s="7" t="str">
        <f>IF(AND(ISNUMBER($C26),ISNUMBER($D26),Z$1&lt;=$D26,Z$1+6&gt;=$C26),1,"")</f>
        <v/>
      </c>
      <c r="AA26" s="7" t="str">
        <f>IF(AND(ISNUMBER($C26),ISNUMBER($D26),AA$1&lt;=$D26,AA$1+6&gt;=$C26),1,"")</f>
        <v/>
      </c>
      <c r="AB26" s="7" t="str">
        <f>IF(AND(ISNUMBER($C26),ISNUMBER($D26),AB$1&lt;=$D26,AB$1+6&gt;=$C26),1,"")</f>
        <v/>
      </c>
      <c r="AC26" s="7" t="str">
        <f>IF(AND(ISNUMBER($C26),ISNUMBER($D26),AC$1&lt;=$D26,AC$1+6&gt;=$C26),1,"")</f>
        <v/>
      </c>
      <c r="AD26" s="7" t="str">
        <f>IF(AND(ISNUMBER($C26),ISNUMBER($D26),AD$1&lt;=$D26,AD$1+6&gt;=$C26),1,"")</f>
        <v/>
      </c>
      <c r="AE26" s="7" t="str">
        <f>IF(AND(ISNUMBER($C26),ISNUMBER($D26),AE$1&lt;=$D26,AE$1+6&gt;=$C26),1,"")</f>
        <v/>
      </c>
      <c r="AF26" s="7" t="str">
        <f>IF(AND(ISNUMBER($C26),ISNUMBER($D26),AF$1&lt;=$D26,AF$1+6&gt;=$C26),1,"")</f>
        <v/>
      </c>
      <c r="AG26" s="7" t="str">
        <f>IF(AND(ISNUMBER($C26),ISNUMBER($D26),AG$1&lt;=$D26,AG$1+6&gt;=$C26),1,"")</f>
        <v/>
      </c>
      <c r="AH26" s="7" t="str">
        <f>IF(AND(ISNUMBER($C26),ISNUMBER($D26),AH$1&lt;=$D26,AH$1+6&gt;=$C26),1,"")</f>
        <v/>
      </c>
      <c r="AI26" s="7" t="str">
        <f>IF(AND(ISNUMBER($C26),ISNUMBER($D26),AI$1&lt;=$D26,AI$1+6&gt;=$C26),1,"")</f>
        <v/>
      </c>
      <c r="AJ26" s="7" t="str">
        <f>IF(AND(ISNUMBER($C26),ISNUMBER($D26),AJ$1&lt;=$D26,AJ$1+6&gt;=$C26),1,"")</f>
        <v/>
      </c>
      <c r="AK26" s="7" t="str">
        <f>IF(AND(ISNUMBER($C26),ISNUMBER($D26),AK$1&lt;=$D26,AK$1+6&gt;=$C26),1,"")</f>
        <v/>
      </c>
      <c r="AL26" s="7" t="str">
        <f>IF(AND(ISNUMBER($C26),ISNUMBER($D26),AL$1&lt;=$D26,AL$1+6&gt;=$C26),1,"")</f>
        <v/>
      </c>
      <c r="AM26" s="7" t="str">
        <f>IF(AND(ISNUMBER($C26),ISNUMBER($D26),AM$1&lt;=$D26,AM$1+6&gt;=$C26),1,"")</f>
        <v/>
      </c>
      <c r="AN26" s="7" t="str">
        <f>IF(AND(ISNUMBER($C26),ISNUMBER($D26),AN$1&lt;=$D26,AN$1+6&gt;=$C26),1,"")</f>
        <v/>
      </c>
      <c r="AO26" s="7" t="str">
        <f>IF(AND(ISNUMBER($C26),ISNUMBER($D26),AO$1&lt;=$D26,AO$1+6&gt;=$C26),1,"")</f>
        <v/>
      </c>
      <c r="AP26" s="7" t="str">
        <f>IF(AND(ISNUMBER($C26),ISNUMBER($D26),AP$1&lt;=$D26,AP$1+6&gt;=$C26),1,"")</f>
        <v/>
      </c>
      <c r="AQ26" s="7" t="str">
        <f>IF(AND(ISNUMBER($C26),ISNUMBER($D26),AQ$1&lt;=$D26,AQ$1+6&gt;=$C26),1,"")</f>
        <v/>
      </c>
      <c r="AR26" s="7" t="str">
        <f>IF(AND(ISNUMBER($C26),ISNUMBER($D26),AR$1&lt;=$D26,AR$1+6&gt;=$C26),1,"")</f>
        <v/>
      </c>
      <c r="AS26" s="7" t="str">
        <f>IF(AND(ISNUMBER($C26),ISNUMBER($D26),AS$1&lt;=$D26,AS$1+6&gt;=$C26),1,"")</f>
        <v/>
      </c>
      <c r="AT26" s="7" t="str">
        <f>IF(AND(ISNUMBER($C26),ISNUMBER($D26),AT$1&lt;=$D26,AT$1+6&gt;=$C26),1,"")</f>
        <v/>
      </c>
      <c r="AU26" s="7" t="str">
        <f>IF(AND(ISNUMBER($C26),ISNUMBER($D26),AU$1&lt;=$D26,AU$1+6&gt;=$C26),1,"")</f>
        <v/>
      </c>
      <c r="AV26" s="7" t="str">
        <f>IF(AND(ISNUMBER($C26),ISNUMBER($D26),AV$1&lt;=$D26,AV$1+6&gt;=$C26),1,"")</f>
        <v/>
      </c>
      <c r="AW26" s="7" t="str">
        <f>IF(AND(ISNUMBER($C26),ISNUMBER($D26),AW$1&lt;=$D26,AW$1+6&gt;=$C26),1,"")</f>
        <v/>
      </c>
      <c r="AX26" s="7" t="str">
        <f>IF(AND(ISNUMBER($C26),ISNUMBER($D26),AX$1&lt;=$D26,AX$1+6&gt;=$C26),1,"")</f>
        <v/>
      </c>
      <c r="AY26" s="7" t="str">
        <f>IF(AND(ISNUMBER($C26),ISNUMBER($D26),AY$1&lt;=$D26,AY$1+6&gt;=$C26),1,"")</f>
        <v/>
      </c>
      <c r="AZ26" s="7" t="str">
        <f>IF(AND(ISNUMBER($C26),ISNUMBER($D26),AZ$1&lt;=$D26,AZ$1+6&gt;=$C26),1,"")</f>
        <v/>
      </c>
      <c r="BA26" s="7" t="str">
        <f>IF(AND(ISNUMBER($C26),ISNUMBER($D26),BA$1&lt;=$D26,BA$1+6&gt;=$C26),1,"")</f>
        <v/>
      </c>
      <c r="BB26" s="7" t="str">
        <f>IF(AND(ISNUMBER($C26),ISNUMBER($D26),BB$1&lt;=$D26,BB$1+6&gt;=$C26),1,"")</f>
        <v/>
      </c>
      <c r="BC26" s="7" t="str">
        <f>IF(AND(ISNUMBER($C26),ISNUMBER($D26),BC$1&lt;=$D26,BC$1+6&gt;=$C26),1,"")</f>
        <v/>
      </c>
      <c r="BD26" s="7" t="str">
        <f>IF(AND(ISNUMBER($C26),ISNUMBER($D26),BD$1&lt;=$D26,BD$1+6&gt;=$C26),1,"")</f>
        <v/>
      </c>
      <c r="BE26" s="7" t="str">
        <f>IF(AND(ISNUMBER($C26),ISNUMBER($D26),BE$1&lt;=$D26,BE$1+6&gt;=$C26),1,"")</f>
        <v/>
      </c>
      <c r="BF26" s="7" t="str">
        <f>IF(AND(ISNUMBER($C26),ISNUMBER($D26),BF$1&lt;=$D26,BF$1+6&gt;=$C26),1,"")</f>
        <v/>
      </c>
      <c r="BG26" s="7" t="str">
        <f>IF(AND(ISNUMBER($C26),ISNUMBER($D26),BG$1&lt;=$D26,BG$1+6&gt;=$C26),1,"")</f>
        <v/>
      </c>
      <c r="BH26" s="7" t="str">
        <f>IF(AND(ISNUMBER($C26),ISNUMBER($D26),BH$1&lt;=$D26,BH$1+6&gt;=$C26),1,"")</f>
        <v/>
      </c>
      <c r="BI26" s="7" t="str">
        <f>IF(AND(ISNUMBER($C26),ISNUMBER($D26),BI$1&lt;=$D26,BI$1+6&gt;=$C26),1,"")</f>
        <v/>
      </c>
      <c r="BJ26" s="7" t="str">
        <f>IF(AND(ISNUMBER($C26),ISNUMBER($D26),BJ$1&lt;=$D26,BJ$1+6&gt;=$C26),1,"")</f>
        <v/>
      </c>
      <c r="BK26" s="7" t="str">
        <f>IF(AND(ISNUMBER($C26),ISNUMBER($D26),BK$1&lt;=$D26,BK$1+6&gt;=$C26),1,"")</f>
        <v/>
      </c>
      <c r="BL26" s="7" t="str">
        <f>IF(AND(ISNUMBER($C26),ISNUMBER($D26),BL$1&lt;=$D26,BL$1+6&gt;=$C26),1,"")</f>
        <v/>
      </c>
      <c r="BM26" s="7" t="str">
        <f>IF(AND(ISNUMBER($C26),ISNUMBER($D26),BM$1&lt;=$D26,BM$1+6&gt;=$C26),1,"")</f>
        <v/>
      </c>
      <c r="BN26" s="7" t="str">
        <f>IF(AND(ISNUMBER($C26),ISNUMBER($D26),BN$1&lt;=$D26,BN$1+6&gt;=$C26),1,"")</f>
        <v/>
      </c>
      <c r="BO26" s="7" t="str">
        <f>IF(AND(ISNUMBER($C26),ISNUMBER($D26),BO$1&lt;=$D26,BO$1+6&gt;=$C26),1,"")</f>
        <v/>
      </c>
      <c r="BP26" s="7" t="str">
        <f>IF(AND(ISNUMBER($C26),ISNUMBER($D26),BP$1&lt;=$D26,BP$1+6&gt;=$C26),1,"")</f>
        <v/>
      </c>
      <c r="BQ26" s="7" t="str">
        <f>IF(AND(ISNUMBER($C26),ISNUMBER($D26),BQ$1&lt;=$D26,BQ$1+6&gt;=$C26),1,"")</f>
        <v/>
      </c>
      <c r="BR26" s="7" t="str">
        <f>IF(AND(ISNUMBER($C26),ISNUMBER($D26),BR$1&lt;=$D26,BR$1+6&gt;=$C26),1,"")</f>
        <v/>
      </c>
      <c r="BS26" s="7" t="str">
        <f>IF(AND(ISNUMBER($C26),ISNUMBER($D26),BS$1&lt;=$D26,BS$1+6&gt;=$C26),1,"")</f>
        <v/>
      </c>
      <c r="BT26" s="7" t="str">
        <f>IF(AND(ISNUMBER($C26),ISNUMBER($D26),BT$1&lt;=$D26,BT$1+6&gt;=$C26),1,"")</f>
        <v/>
      </c>
      <c r="BU26" s="7" t="str">
        <f>IF(AND(ISNUMBER($C26),ISNUMBER($D26),BU$1&lt;=$D26,BU$1+6&gt;=$C26),1,"")</f>
        <v/>
      </c>
      <c r="BV26" s="7" t="str">
        <f>IF(AND(ISNUMBER($C26),ISNUMBER($D26),BV$1&lt;=$D26,BV$1+6&gt;=$C26),1,"")</f>
        <v/>
      </c>
      <c r="BW26" s="7">
        <f>IF(AND(ISNUMBER($C26),ISNUMBER($D26),BW$1&lt;=$D26,BW$1+6&gt;=$C26),1,"")</f>
        <v>1</v>
      </c>
      <c r="BX26" s="7">
        <f>IF(AND(ISNUMBER($C26),ISNUMBER($D26),BX$1&lt;=$D26,BX$1+6&gt;=$C26),1,"")</f>
        <v>1</v>
      </c>
      <c r="BY26" s="7">
        <f>IF(AND(ISNUMBER($C26),ISNUMBER($D26),BY$1&lt;=$D26,BY$1+6&gt;=$C26),1,"")</f>
        <v>1</v>
      </c>
      <c r="BZ26" s="7">
        <f>IF(AND(ISNUMBER($C26),ISNUMBER($D26),BZ$1&lt;=$D26,BZ$1+6&gt;=$C26),1,"")</f>
        <v>1</v>
      </c>
      <c r="CA26" s="7" t="str">
        <f>IF(AND(ISNUMBER($C26),ISNUMBER($D26),CA$1&lt;=$D26,CA$1+6&gt;=$C26),1,"")</f>
        <v/>
      </c>
      <c r="CB26" s="7" t="str">
        <f>IF(AND(ISNUMBER($C26),ISNUMBER($D26),CB$1&lt;=$D26,CB$1+6&gt;=$C26),1,"")</f>
        <v/>
      </c>
      <c r="CC26" s="7" t="str">
        <f>IF(AND(ISNUMBER($C26),ISNUMBER($D26),CC$1&lt;=$D26,CC$1+6&gt;=$C26),1,"")</f>
        <v/>
      </c>
      <c r="CD26" s="7" t="str">
        <f>IF(AND(ISNUMBER($C26),ISNUMBER($D26),CD$1&lt;=$D26,CD$1+6&gt;=$C26),1,"")</f>
        <v/>
      </c>
      <c r="CE26" s="7" t="str">
        <f>IF(AND(ISNUMBER($C26),ISNUMBER($D26),CE$1&lt;=$D26,CE$1+6&gt;=$C26),1,"")</f>
        <v/>
      </c>
      <c r="CF26" s="7" t="str">
        <f>IF(AND(ISNUMBER($C26),ISNUMBER($D26),CF$1&lt;=$D26,CF$1+6&gt;=$C26),1,"")</f>
        <v/>
      </c>
      <c r="CG26" s="7" t="str">
        <f>IF(AND(ISNUMBER($C26),ISNUMBER($D26),CG$1&lt;=$D26,CG$1+6&gt;=$C26),1,"")</f>
        <v/>
      </c>
      <c r="CH26" s="7" t="str">
        <f>IF(AND(ISNUMBER($C26),ISNUMBER($D26),CH$1&lt;=$D26,CH$1+6&gt;=$C26),1,"")</f>
        <v/>
      </c>
      <c r="CI26" s="7" t="str">
        <f>IF(AND(ISNUMBER($C26),ISNUMBER($D26),CI$1&lt;=$D26,CI$1+6&gt;=$C26),1,"")</f>
        <v/>
      </c>
      <c r="CJ26" s="7" t="str">
        <f>IF(AND(ISNUMBER($C26),ISNUMBER($D26),CJ$1&lt;=$D26,CJ$1+6&gt;=$C26),1,"")</f>
        <v/>
      </c>
      <c r="CK26" s="7" t="str">
        <f>IF(AND(ISNUMBER($C26),ISNUMBER($D26),CK$1&lt;=$D26,CK$1+6&gt;=$C26),1,"")</f>
        <v/>
      </c>
      <c r="CL26" s="7" t="str">
        <f>IF(AND(ISNUMBER($C26),ISNUMBER($D26),CL$1&lt;=$D26,CL$1+6&gt;=$C26),1,"")</f>
        <v/>
      </c>
      <c r="CM26" s="7" t="str">
        <f>IF(AND(ISNUMBER($C26),ISNUMBER($D26),CM$1&lt;=$D26,CM$1+6&gt;=$C26),1,"")</f>
        <v/>
      </c>
      <c r="CN26" s="7" t="str">
        <f>IF(AND(ISNUMBER($C26),ISNUMBER($D26),CN$1&lt;=$D26,CN$1+6&gt;=$C26),1,"")</f>
        <v/>
      </c>
      <c r="CO26" s="7" t="str">
        <f>IF(AND(ISNUMBER($C26),ISNUMBER($D26),CO$1&lt;=$D26,CO$1+6&gt;=$C26),1,"")</f>
        <v/>
      </c>
      <c r="CP26" s="7" t="str">
        <f>IF(AND(ISNUMBER($C26),ISNUMBER($D26),CP$1&lt;=$D26,CP$1+6&gt;=$C26),1,"")</f>
        <v/>
      </c>
      <c r="CQ26" s="7" t="str">
        <f>IF(AND(ISNUMBER($C26),ISNUMBER($D26),CQ$1&lt;=$D26,CQ$1+6&gt;=$C26),1,"")</f>
        <v/>
      </c>
      <c r="CR26" s="7" t="str">
        <f>IF(AND(ISNUMBER($C26),ISNUMBER($D26),CR$1&lt;=$D26,CR$1+6&gt;=$C26),1,"")</f>
        <v/>
      </c>
      <c r="CS26" s="7" t="str">
        <f>IF(AND(ISNUMBER($C26),ISNUMBER($D26),CS$1&lt;=$D26,CS$1+6&gt;=$C26),1,"")</f>
        <v/>
      </c>
      <c r="CT26" s="7" t="str">
        <f>IF(AND(ISNUMBER($C26),ISNUMBER($D26),CT$1&lt;=$D26,CT$1+6&gt;=$C26),1,"")</f>
        <v/>
      </c>
      <c r="CU26" s="7" t="str">
        <f>IF(AND(ISNUMBER($C26),ISNUMBER($D26),CU$1&lt;=$D26,CU$1+6&gt;=$C26),1,"")</f>
        <v/>
      </c>
      <c r="CV26" s="7" t="str">
        <f>IF(AND(ISNUMBER($C26),ISNUMBER($D26),CV$1&lt;=$D26,CV$1+6&gt;=$C26),1,"")</f>
        <v/>
      </c>
      <c r="CW26" s="7" t="str">
        <f>IF(AND(ISNUMBER($C26),ISNUMBER($D26),CW$1&lt;=$D26,CW$1+6&gt;=$C26),1,"")</f>
        <v/>
      </c>
      <c r="CX26" s="7" t="str">
        <f>IF(AND(ISNUMBER($C26),ISNUMBER($D26),CX$1&lt;=$D26,CX$1+6&gt;=$C26),1,"")</f>
        <v/>
      </c>
      <c r="CY26" s="7" t="str">
        <f>IF(AND(ISNUMBER($C26),ISNUMBER($D26),CY$1&lt;=$D26,CY$1+6&gt;=$C26),1,"")</f>
        <v/>
      </c>
      <c r="CZ26" s="7" t="str">
        <f>IF(AND(ISNUMBER($C26),ISNUMBER($D26),CZ$1&lt;=$D26,CZ$1+6&gt;=$C26),1,"")</f>
        <v/>
      </c>
      <c r="DA26" s="7" t="str">
        <f>IF(AND(ISNUMBER($C26),ISNUMBER($D26),DA$1&lt;=$D26,DA$1+6&gt;=$C26),1,"")</f>
        <v/>
      </c>
      <c r="DB26" s="7" t="str">
        <f>IF(AND(ISNUMBER($C26),ISNUMBER($D26),DB$1&lt;=$D26,DB$1+6&gt;=$C26),1,"")</f>
        <v/>
      </c>
      <c r="DC26" s="7" t="str">
        <f>IF(AND(ISNUMBER($C26),ISNUMBER($D26),DC$1&lt;=$D26,DC$1+6&gt;=$C26),1,"")</f>
        <v/>
      </c>
      <c r="DD26" s="7" t="str">
        <f>IF(AND(ISNUMBER($C26),ISNUMBER($D26),DD$1&lt;=$D26,DD$1+6&gt;=$C26),1,"")</f>
        <v/>
      </c>
    </row>
    <row r="27" spans="1:108" x14ac:dyDescent="0.35">
      <c r="A27" s="6" t="str">
        <f>Schedule!B27</f>
        <v>Model and application release lifecycle</v>
      </c>
      <c r="B27" s="6" t="str">
        <f>Schedule!C27</f>
        <v>Core</v>
      </c>
      <c r="C27" s="4">
        <f>IF(Schedule!P27="","",Schedule!P27)</f>
        <v>46834</v>
      </c>
      <c r="D27" s="4">
        <f>IF(Schedule!Q27="","",Schedule!Q27)</f>
        <v>46847</v>
      </c>
      <c r="E27" s="7" t="str">
        <f>IF(AND(ISNUMBER($C27),ISNUMBER($D27),E$1&lt;=$D27,E$1+6&gt;=$C27),1,"")</f>
        <v/>
      </c>
      <c r="F27" s="7" t="str">
        <f>IF(AND(ISNUMBER($C27),ISNUMBER($D27),F$1&lt;=$D27,F$1+6&gt;=$C27),1,"")</f>
        <v/>
      </c>
      <c r="G27" s="7" t="str">
        <f>IF(AND(ISNUMBER($C27),ISNUMBER($D27),G$1&lt;=$D27,G$1+6&gt;=$C27),1,"")</f>
        <v/>
      </c>
      <c r="H27" s="7" t="str">
        <f>IF(AND(ISNUMBER($C27),ISNUMBER($D27),H$1&lt;=$D27,H$1+6&gt;=$C27),1,"")</f>
        <v/>
      </c>
      <c r="I27" s="7" t="str">
        <f>IF(AND(ISNUMBER($C27),ISNUMBER($D27),I$1&lt;=$D27,I$1+6&gt;=$C27),1,"")</f>
        <v/>
      </c>
      <c r="J27" s="7" t="str">
        <f>IF(AND(ISNUMBER($C27),ISNUMBER($D27),J$1&lt;=$D27,J$1+6&gt;=$C27),1,"")</f>
        <v/>
      </c>
      <c r="K27" s="7" t="str">
        <f>IF(AND(ISNUMBER($C27),ISNUMBER($D27),K$1&lt;=$D27,K$1+6&gt;=$C27),1,"")</f>
        <v/>
      </c>
      <c r="L27" s="7" t="str">
        <f>IF(AND(ISNUMBER($C27),ISNUMBER($D27),L$1&lt;=$D27,L$1+6&gt;=$C27),1,"")</f>
        <v/>
      </c>
      <c r="M27" s="7" t="str">
        <f>IF(AND(ISNUMBER($C27),ISNUMBER($D27),M$1&lt;=$D27,M$1+6&gt;=$C27),1,"")</f>
        <v/>
      </c>
      <c r="N27" s="7" t="str">
        <f>IF(AND(ISNUMBER($C27),ISNUMBER($D27),N$1&lt;=$D27,N$1+6&gt;=$C27),1,"")</f>
        <v/>
      </c>
      <c r="O27" s="7" t="str">
        <f>IF(AND(ISNUMBER($C27),ISNUMBER($D27),O$1&lt;=$D27,O$1+6&gt;=$C27),1,"")</f>
        <v/>
      </c>
      <c r="P27" s="7" t="str">
        <f>IF(AND(ISNUMBER($C27),ISNUMBER($D27),P$1&lt;=$D27,P$1+6&gt;=$C27),1,"")</f>
        <v/>
      </c>
      <c r="Q27" s="7" t="str">
        <f>IF(AND(ISNUMBER($C27),ISNUMBER($D27),Q$1&lt;=$D27,Q$1+6&gt;=$C27),1,"")</f>
        <v/>
      </c>
      <c r="R27" s="7" t="str">
        <f>IF(AND(ISNUMBER($C27),ISNUMBER($D27),R$1&lt;=$D27,R$1+6&gt;=$C27),1,"")</f>
        <v/>
      </c>
      <c r="S27" s="7" t="str">
        <f>IF(AND(ISNUMBER($C27),ISNUMBER($D27),S$1&lt;=$D27,S$1+6&gt;=$C27),1,"")</f>
        <v/>
      </c>
      <c r="T27" s="7" t="str">
        <f>IF(AND(ISNUMBER($C27),ISNUMBER($D27),T$1&lt;=$D27,T$1+6&gt;=$C27),1,"")</f>
        <v/>
      </c>
      <c r="U27" s="7" t="str">
        <f>IF(AND(ISNUMBER($C27),ISNUMBER($D27),U$1&lt;=$D27,U$1+6&gt;=$C27),1,"")</f>
        <v/>
      </c>
      <c r="V27" s="7" t="str">
        <f>IF(AND(ISNUMBER($C27),ISNUMBER($D27),V$1&lt;=$D27,V$1+6&gt;=$C27),1,"")</f>
        <v/>
      </c>
      <c r="W27" s="7" t="str">
        <f>IF(AND(ISNUMBER($C27),ISNUMBER($D27),W$1&lt;=$D27,W$1+6&gt;=$C27),1,"")</f>
        <v/>
      </c>
      <c r="X27" s="7" t="str">
        <f>IF(AND(ISNUMBER($C27),ISNUMBER($D27),X$1&lt;=$D27,X$1+6&gt;=$C27),1,"")</f>
        <v/>
      </c>
      <c r="Y27" s="7" t="str">
        <f>IF(AND(ISNUMBER($C27),ISNUMBER($D27),Y$1&lt;=$D27,Y$1+6&gt;=$C27),1,"")</f>
        <v/>
      </c>
      <c r="Z27" s="7" t="str">
        <f>IF(AND(ISNUMBER($C27),ISNUMBER($D27),Z$1&lt;=$D27,Z$1+6&gt;=$C27),1,"")</f>
        <v/>
      </c>
      <c r="AA27" s="7" t="str">
        <f>IF(AND(ISNUMBER($C27),ISNUMBER($D27),AA$1&lt;=$D27,AA$1+6&gt;=$C27),1,"")</f>
        <v/>
      </c>
      <c r="AB27" s="7" t="str">
        <f>IF(AND(ISNUMBER($C27),ISNUMBER($D27),AB$1&lt;=$D27,AB$1+6&gt;=$C27),1,"")</f>
        <v/>
      </c>
      <c r="AC27" s="7" t="str">
        <f>IF(AND(ISNUMBER($C27),ISNUMBER($D27),AC$1&lt;=$D27,AC$1+6&gt;=$C27),1,"")</f>
        <v/>
      </c>
      <c r="AD27" s="7" t="str">
        <f>IF(AND(ISNUMBER($C27),ISNUMBER($D27),AD$1&lt;=$D27,AD$1+6&gt;=$C27),1,"")</f>
        <v/>
      </c>
      <c r="AE27" s="7" t="str">
        <f>IF(AND(ISNUMBER($C27),ISNUMBER($D27),AE$1&lt;=$D27,AE$1+6&gt;=$C27),1,"")</f>
        <v/>
      </c>
      <c r="AF27" s="7" t="str">
        <f>IF(AND(ISNUMBER($C27),ISNUMBER($D27),AF$1&lt;=$D27,AF$1+6&gt;=$C27),1,"")</f>
        <v/>
      </c>
      <c r="AG27" s="7" t="str">
        <f>IF(AND(ISNUMBER($C27),ISNUMBER($D27),AG$1&lt;=$D27,AG$1+6&gt;=$C27),1,"")</f>
        <v/>
      </c>
      <c r="AH27" s="7" t="str">
        <f>IF(AND(ISNUMBER($C27),ISNUMBER($D27),AH$1&lt;=$D27,AH$1+6&gt;=$C27),1,"")</f>
        <v/>
      </c>
      <c r="AI27" s="7" t="str">
        <f>IF(AND(ISNUMBER($C27),ISNUMBER($D27),AI$1&lt;=$D27,AI$1+6&gt;=$C27),1,"")</f>
        <v/>
      </c>
      <c r="AJ27" s="7" t="str">
        <f>IF(AND(ISNUMBER($C27),ISNUMBER($D27),AJ$1&lt;=$D27,AJ$1+6&gt;=$C27),1,"")</f>
        <v/>
      </c>
      <c r="AK27" s="7" t="str">
        <f>IF(AND(ISNUMBER($C27),ISNUMBER($D27),AK$1&lt;=$D27,AK$1+6&gt;=$C27),1,"")</f>
        <v/>
      </c>
      <c r="AL27" s="7" t="str">
        <f>IF(AND(ISNUMBER($C27),ISNUMBER($D27),AL$1&lt;=$D27,AL$1+6&gt;=$C27),1,"")</f>
        <v/>
      </c>
      <c r="AM27" s="7" t="str">
        <f>IF(AND(ISNUMBER($C27),ISNUMBER($D27),AM$1&lt;=$D27,AM$1+6&gt;=$C27),1,"")</f>
        <v/>
      </c>
      <c r="AN27" s="7" t="str">
        <f>IF(AND(ISNUMBER($C27),ISNUMBER($D27),AN$1&lt;=$D27,AN$1+6&gt;=$C27),1,"")</f>
        <v/>
      </c>
      <c r="AO27" s="7" t="str">
        <f>IF(AND(ISNUMBER($C27),ISNUMBER($D27),AO$1&lt;=$D27,AO$1+6&gt;=$C27),1,"")</f>
        <v/>
      </c>
      <c r="AP27" s="7" t="str">
        <f>IF(AND(ISNUMBER($C27),ISNUMBER($D27),AP$1&lt;=$D27,AP$1+6&gt;=$C27),1,"")</f>
        <v/>
      </c>
      <c r="AQ27" s="7" t="str">
        <f>IF(AND(ISNUMBER($C27),ISNUMBER($D27),AQ$1&lt;=$D27,AQ$1+6&gt;=$C27),1,"")</f>
        <v/>
      </c>
      <c r="AR27" s="7" t="str">
        <f>IF(AND(ISNUMBER($C27),ISNUMBER($D27),AR$1&lt;=$D27,AR$1+6&gt;=$C27),1,"")</f>
        <v/>
      </c>
      <c r="AS27" s="7" t="str">
        <f>IF(AND(ISNUMBER($C27),ISNUMBER($D27),AS$1&lt;=$D27,AS$1+6&gt;=$C27),1,"")</f>
        <v/>
      </c>
      <c r="AT27" s="7" t="str">
        <f>IF(AND(ISNUMBER($C27),ISNUMBER($D27),AT$1&lt;=$D27,AT$1+6&gt;=$C27),1,"")</f>
        <v/>
      </c>
      <c r="AU27" s="7" t="str">
        <f>IF(AND(ISNUMBER($C27),ISNUMBER($D27),AU$1&lt;=$D27,AU$1+6&gt;=$C27),1,"")</f>
        <v/>
      </c>
      <c r="AV27" s="7" t="str">
        <f>IF(AND(ISNUMBER($C27),ISNUMBER($D27),AV$1&lt;=$D27,AV$1+6&gt;=$C27),1,"")</f>
        <v/>
      </c>
      <c r="AW27" s="7" t="str">
        <f>IF(AND(ISNUMBER($C27),ISNUMBER($D27),AW$1&lt;=$D27,AW$1+6&gt;=$C27),1,"")</f>
        <v/>
      </c>
      <c r="AX27" s="7" t="str">
        <f>IF(AND(ISNUMBER($C27),ISNUMBER($D27),AX$1&lt;=$D27,AX$1+6&gt;=$C27),1,"")</f>
        <v/>
      </c>
      <c r="AY27" s="7" t="str">
        <f>IF(AND(ISNUMBER($C27),ISNUMBER($D27),AY$1&lt;=$D27,AY$1+6&gt;=$C27),1,"")</f>
        <v/>
      </c>
      <c r="AZ27" s="7" t="str">
        <f>IF(AND(ISNUMBER($C27),ISNUMBER($D27),AZ$1&lt;=$D27,AZ$1+6&gt;=$C27),1,"")</f>
        <v/>
      </c>
      <c r="BA27" s="7" t="str">
        <f>IF(AND(ISNUMBER($C27),ISNUMBER($D27),BA$1&lt;=$D27,BA$1+6&gt;=$C27),1,"")</f>
        <v/>
      </c>
      <c r="BB27" s="7" t="str">
        <f>IF(AND(ISNUMBER($C27),ISNUMBER($D27),BB$1&lt;=$D27,BB$1+6&gt;=$C27),1,"")</f>
        <v/>
      </c>
      <c r="BC27" s="7" t="str">
        <f>IF(AND(ISNUMBER($C27),ISNUMBER($D27),BC$1&lt;=$D27,BC$1+6&gt;=$C27),1,"")</f>
        <v/>
      </c>
      <c r="BD27" s="7" t="str">
        <f>IF(AND(ISNUMBER($C27),ISNUMBER($D27),BD$1&lt;=$D27,BD$1+6&gt;=$C27),1,"")</f>
        <v/>
      </c>
      <c r="BE27" s="7" t="str">
        <f>IF(AND(ISNUMBER($C27),ISNUMBER($D27),BE$1&lt;=$D27,BE$1+6&gt;=$C27),1,"")</f>
        <v/>
      </c>
      <c r="BF27" s="7" t="str">
        <f>IF(AND(ISNUMBER($C27),ISNUMBER($D27),BF$1&lt;=$D27,BF$1+6&gt;=$C27),1,"")</f>
        <v/>
      </c>
      <c r="BG27" s="7" t="str">
        <f>IF(AND(ISNUMBER($C27),ISNUMBER($D27),BG$1&lt;=$D27,BG$1+6&gt;=$C27),1,"")</f>
        <v/>
      </c>
      <c r="BH27" s="7" t="str">
        <f>IF(AND(ISNUMBER($C27),ISNUMBER($D27),BH$1&lt;=$D27,BH$1+6&gt;=$C27),1,"")</f>
        <v/>
      </c>
      <c r="BI27" s="7" t="str">
        <f>IF(AND(ISNUMBER($C27),ISNUMBER($D27),BI$1&lt;=$D27,BI$1+6&gt;=$C27),1,"")</f>
        <v/>
      </c>
      <c r="BJ27" s="7" t="str">
        <f>IF(AND(ISNUMBER($C27),ISNUMBER($D27),BJ$1&lt;=$D27,BJ$1+6&gt;=$C27),1,"")</f>
        <v/>
      </c>
      <c r="BK27" s="7" t="str">
        <f>IF(AND(ISNUMBER($C27),ISNUMBER($D27),BK$1&lt;=$D27,BK$1+6&gt;=$C27),1,"")</f>
        <v/>
      </c>
      <c r="BL27" s="7" t="str">
        <f>IF(AND(ISNUMBER($C27),ISNUMBER($D27),BL$1&lt;=$D27,BL$1+6&gt;=$C27),1,"")</f>
        <v/>
      </c>
      <c r="BM27" s="7" t="str">
        <f>IF(AND(ISNUMBER($C27),ISNUMBER($D27),BM$1&lt;=$D27,BM$1+6&gt;=$C27),1,"")</f>
        <v/>
      </c>
      <c r="BN27" s="7" t="str">
        <f>IF(AND(ISNUMBER($C27),ISNUMBER($D27),BN$1&lt;=$D27,BN$1+6&gt;=$C27),1,"")</f>
        <v/>
      </c>
      <c r="BO27" s="7" t="str">
        <f>IF(AND(ISNUMBER($C27),ISNUMBER($D27),BO$1&lt;=$D27,BO$1+6&gt;=$C27),1,"")</f>
        <v/>
      </c>
      <c r="BP27" s="7" t="str">
        <f>IF(AND(ISNUMBER($C27),ISNUMBER($D27),BP$1&lt;=$D27,BP$1+6&gt;=$C27),1,"")</f>
        <v/>
      </c>
      <c r="BQ27" s="7" t="str">
        <f>IF(AND(ISNUMBER($C27),ISNUMBER($D27),BQ$1&lt;=$D27,BQ$1+6&gt;=$C27),1,"")</f>
        <v/>
      </c>
      <c r="BR27" s="7" t="str">
        <f>IF(AND(ISNUMBER($C27),ISNUMBER($D27),BR$1&lt;=$D27,BR$1+6&gt;=$C27),1,"")</f>
        <v/>
      </c>
      <c r="BS27" s="7" t="str">
        <f>IF(AND(ISNUMBER($C27),ISNUMBER($D27),BS$1&lt;=$D27,BS$1+6&gt;=$C27),1,"")</f>
        <v/>
      </c>
      <c r="BT27" s="7" t="str">
        <f>IF(AND(ISNUMBER($C27),ISNUMBER($D27),BT$1&lt;=$D27,BT$1+6&gt;=$C27),1,"")</f>
        <v/>
      </c>
      <c r="BU27" s="7" t="str">
        <f>IF(AND(ISNUMBER($C27),ISNUMBER($D27),BU$1&lt;=$D27,BU$1+6&gt;=$C27),1,"")</f>
        <v/>
      </c>
      <c r="BV27" s="7" t="str">
        <f>IF(AND(ISNUMBER($C27),ISNUMBER($D27),BV$1&lt;=$D27,BV$1+6&gt;=$C27),1,"")</f>
        <v/>
      </c>
      <c r="BW27" s="7" t="str">
        <f>IF(AND(ISNUMBER($C27),ISNUMBER($D27),BW$1&lt;=$D27,BW$1+6&gt;=$C27),1,"")</f>
        <v/>
      </c>
      <c r="BX27" s="7" t="str">
        <f>IF(AND(ISNUMBER($C27),ISNUMBER($D27),BX$1&lt;=$D27,BX$1+6&gt;=$C27),1,"")</f>
        <v/>
      </c>
      <c r="BY27" s="7" t="str">
        <f>IF(AND(ISNUMBER($C27),ISNUMBER($D27),BY$1&lt;=$D27,BY$1+6&gt;=$C27),1,"")</f>
        <v/>
      </c>
      <c r="BZ27" s="7">
        <f>IF(AND(ISNUMBER($C27),ISNUMBER($D27),BZ$1&lt;=$D27,BZ$1+6&gt;=$C27),1,"")</f>
        <v>1</v>
      </c>
      <c r="CA27" s="7">
        <f>IF(AND(ISNUMBER($C27),ISNUMBER($D27),CA$1&lt;=$D27,CA$1+6&gt;=$C27),1,"")</f>
        <v>1</v>
      </c>
      <c r="CB27" s="7">
        <f>IF(AND(ISNUMBER($C27),ISNUMBER($D27),CB$1&lt;=$D27,CB$1+6&gt;=$C27),1,"")</f>
        <v>1</v>
      </c>
      <c r="CC27" s="7" t="str">
        <f>IF(AND(ISNUMBER($C27),ISNUMBER($D27),CC$1&lt;=$D27,CC$1+6&gt;=$C27),1,"")</f>
        <v/>
      </c>
      <c r="CD27" s="7" t="str">
        <f>IF(AND(ISNUMBER($C27),ISNUMBER($D27),CD$1&lt;=$D27,CD$1+6&gt;=$C27),1,"")</f>
        <v/>
      </c>
      <c r="CE27" s="7" t="str">
        <f>IF(AND(ISNUMBER($C27),ISNUMBER($D27),CE$1&lt;=$D27,CE$1+6&gt;=$C27),1,"")</f>
        <v/>
      </c>
      <c r="CF27" s="7" t="str">
        <f>IF(AND(ISNUMBER($C27),ISNUMBER($D27),CF$1&lt;=$D27,CF$1+6&gt;=$C27),1,"")</f>
        <v/>
      </c>
      <c r="CG27" s="7" t="str">
        <f>IF(AND(ISNUMBER($C27),ISNUMBER($D27),CG$1&lt;=$D27,CG$1+6&gt;=$C27),1,"")</f>
        <v/>
      </c>
      <c r="CH27" s="7" t="str">
        <f>IF(AND(ISNUMBER($C27),ISNUMBER($D27),CH$1&lt;=$D27,CH$1+6&gt;=$C27),1,"")</f>
        <v/>
      </c>
      <c r="CI27" s="7" t="str">
        <f>IF(AND(ISNUMBER($C27),ISNUMBER($D27),CI$1&lt;=$D27,CI$1+6&gt;=$C27),1,"")</f>
        <v/>
      </c>
      <c r="CJ27" s="7" t="str">
        <f>IF(AND(ISNUMBER($C27),ISNUMBER($D27),CJ$1&lt;=$D27,CJ$1+6&gt;=$C27),1,"")</f>
        <v/>
      </c>
      <c r="CK27" s="7" t="str">
        <f>IF(AND(ISNUMBER($C27),ISNUMBER($D27),CK$1&lt;=$D27,CK$1+6&gt;=$C27),1,"")</f>
        <v/>
      </c>
      <c r="CL27" s="7" t="str">
        <f>IF(AND(ISNUMBER($C27),ISNUMBER($D27),CL$1&lt;=$D27,CL$1+6&gt;=$C27),1,"")</f>
        <v/>
      </c>
      <c r="CM27" s="7" t="str">
        <f>IF(AND(ISNUMBER($C27),ISNUMBER($D27),CM$1&lt;=$D27,CM$1+6&gt;=$C27),1,"")</f>
        <v/>
      </c>
      <c r="CN27" s="7" t="str">
        <f>IF(AND(ISNUMBER($C27),ISNUMBER($D27),CN$1&lt;=$D27,CN$1+6&gt;=$C27),1,"")</f>
        <v/>
      </c>
      <c r="CO27" s="7" t="str">
        <f>IF(AND(ISNUMBER($C27),ISNUMBER($D27),CO$1&lt;=$D27,CO$1+6&gt;=$C27),1,"")</f>
        <v/>
      </c>
      <c r="CP27" s="7" t="str">
        <f>IF(AND(ISNUMBER($C27),ISNUMBER($D27),CP$1&lt;=$D27,CP$1+6&gt;=$C27),1,"")</f>
        <v/>
      </c>
      <c r="CQ27" s="7" t="str">
        <f>IF(AND(ISNUMBER($C27),ISNUMBER($D27),CQ$1&lt;=$D27,CQ$1+6&gt;=$C27),1,"")</f>
        <v/>
      </c>
      <c r="CR27" s="7" t="str">
        <f>IF(AND(ISNUMBER($C27),ISNUMBER($D27),CR$1&lt;=$D27,CR$1+6&gt;=$C27),1,"")</f>
        <v/>
      </c>
      <c r="CS27" s="7" t="str">
        <f>IF(AND(ISNUMBER($C27),ISNUMBER($D27),CS$1&lt;=$D27,CS$1+6&gt;=$C27),1,"")</f>
        <v/>
      </c>
      <c r="CT27" s="7" t="str">
        <f>IF(AND(ISNUMBER($C27),ISNUMBER($D27),CT$1&lt;=$D27,CT$1+6&gt;=$C27),1,"")</f>
        <v/>
      </c>
      <c r="CU27" s="7" t="str">
        <f>IF(AND(ISNUMBER($C27),ISNUMBER($D27),CU$1&lt;=$D27,CU$1+6&gt;=$C27),1,"")</f>
        <v/>
      </c>
      <c r="CV27" s="7" t="str">
        <f>IF(AND(ISNUMBER($C27),ISNUMBER($D27),CV$1&lt;=$D27,CV$1+6&gt;=$C27),1,"")</f>
        <v/>
      </c>
      <c r="CW27" s="7" t="str">
        <f>IF(AND(ISNUMBER($C27),ISNUMBER($D27),CW$1&lt;=$D27,CW$1+6&gt;=$C27),1,"")</f>
        <v/>
      </c>
      <c r="CX27" s="7" t="str">
        <f>IF(AND(ISNUMBER($C27),ISNUMBER($D27),CX$1&lt;=$D27,CX$1+6&gt;=$C27),1,"")</f>
        <v/>
      </c>
      <c r="CY27" s="7" t="str">
        <f>IF(AND(ISNUMBER($C27),ISNUMBER($D27),CY$1&lt;=$D27,CY$1+6&gt;=$C27),1,"")</f>
        <v/>
      </c>
      <c r="CZ27" s="7" t="str">
        <f>IF(AND(ISNUMBER($C27),ISNUMBER($D27),CZ$1&lt;=$D27,CZ$1+6&gt;=$C27),1,"")</f>
        <v/>
      </c>
      <c r="DA27" s="7" t="str">
        <f>IF(AND(ISNUMBER($C27),ISNUMBER($D27),DA$1&lt;=$D27,DA$1+6&gt;=$C27),1,"")</f>
        <v/>
      </c>
      <c r="DB27" s="7" t="str">
        <f>IF(AND(ISNUMBER($C27),ISNUMBER($D27),DB$1&lt;=$D27,DB$1+6&gt;=$C27),1,"")</f>
        <v/>
      </c>
      <c r="DC27" s="7" t="str">
        <f>IF(AND(ISNUMBER($C27),ISNUMBER($D27),DC$1&lt;=$D27,DC$1+6&gt;=$C27),1,"")</f>
        <v/>
      </c>
      <c r="DD27" s="7" t="str">
        <f>IF(AND(ISNUMBER($C27),ISNUMBER($D27),DD$1&lt;=$D27,DD$1+6&gt;=$C27),1,"")</f>
        <v/>
      </c>
    </row>
    <row r="28" spans="1:108" x14ac:dyDescent="0.35">
      <c r="A28" s="6" t="str">
        <f>Schedule!B28</f>
        <v>DSA fundamentals and first pattern exercises</v>
      </c>
      <c r="B28" s="6" t="str">
        <f>Schedule!C28</f>
        <v>Practice</v>
      </c>
      <c r="C28" s="4">
        <f>IF(Schedule!P28="","",Schedule!P28)</f>
        <v>46351</v>
      </c>
      <c r="D28" s="4">
        <f>IF(Schedule!Q28="","",Schedule!Q28)</f>
        <v>46410</v>
      </c>
      <c r="E28" s="7" t="str">
        <f>IF(AND(ISNUMBER($C28),ISNUMBER($D28),E$1&lt;=$D28,E$1+6&gt;=$C28),1,"")</f>
        <v/>
      </c>
      <c r="F28" s="7" t="str">
        <f>IF(AND(ISNUMBER($C28),ISNUMBER($D28),F$1&lt;=$D28,F$1+6&gt;=$C28),1,"")</f>
        <v/>
      </c>
      <c r="G28" s="7" t="str">
        <f>IF(AND(ISNUMBER($C28),ISNUMBER($D28),G$1&lt;=$D28,G$1+6&gt;=$C28),1,"")</f>
        <v/>
      </c>
      <c r="H28" s="7" t="str">
        <f>IF(AND(ISNUMBER($C28),ISNUMBER($D28),H$1&lt;=$D28,H$1+6&gt;=$C28),1,"")</f>
        <v/>
      </c>
      <c r="I28" s="7">
        <f>IF(AND(ISNUMBER($C28),ISNUMBER($D28),I$1&lt;=$D28,I$1+6&gt;=$C28),1,"")</f>
        <v>1</v>
      </c>
      <c r="J28" s="7">
        <f>IF(AND(ISNUMBER($C28),ISNUMBER($D28),J$1&lt;=$D28,J$1+6&gt;=$C28),1,"")</f>
        <v>1</v>
      </c>
      <c r="K28" s="7">
        <f>IF(AND(ISNUMBER($C28),ISNUMBER($D28),K$1&lt;=$D28,K$1+6&gt;=$C28),1,"")</f>
        <v>1</v>
      </c>
      <c r="L28" s="7">
        <f>IF(AND(ISNUMBER($C28),ISNUMBER($D28),L$1&lt;=$D28,L$1+6&gt;=$C28),1,"")</f>
        <v>1</v>
      </c>
      <c r="M28" s="7">
        <f>IF(AND(ISNUMBER($C28),ISNUMBER($D28),M$1&lt;=$D28,M$1+6&gt;=$C28),1,"")</f>
        <v>1</v>
      </c>
      <c r="N28" s="7">
        <f>IF(AND(ISNUMBER($C28),ISNUMBER($D28),N$1&lt;=$D28,N$1+6&gt;=$C28),1,"")</f>
        <v>1</v>
      </c>
      <c r="O28" s="7">
        <f>IF(AND(ISNUMBER($C28),ISNUMBER($D28),O$1&lt;=$D28,O$1+6&gt;=$C28),1,"")</f>
        <v>1</v>
      </c>
      <c r="P28" s="7">
        <f>IF(AND(ISNUMBER($C28),ISNUMBER($D28),P$1&lt;=$D28,P$1+6&gt;=$C28),1,"")</f>
        <v>1</v>
      </c>
      <c r="Q28" s="7">
        <f>IF(AND(ISNUMBER($C28),ISNUMBER($D28),Q$1&lt;=$D28,Q$1+6&gt;=$C28),1,"")</f>
        <v>1</v>
      </c>
      <c r="R28" s="7">
        <f>IF(AND(ISNUMBER($C28),ISNUMBER($D28),R$1&lt;=$D28,R$1+6&gt;=$C28),1,"")</f>
        <v>1</v>
      </c>
      <c r="S28" s="7" t="str">
        <f>IF(AND(ISNUMBER($C28),ISNUMBER($D28),S$1&lt;=$D28,S$1+6&gt;=$C28),1,"")</f>
        <v/>
      </c>
      <c r="T28" s="7" t="str">
        <f>IF(AND(ISNUMBER($C28),ISNUMBER($D28),T$1&lt;=$D28,T$1+6&gt;=$C28),1,"")</f>
        <v/>
      </c>
      <c r="U28" s="7" t="str">
        <f>IF(AND(ISNUMBER($C28),ISNUMBER($D28),U$1&lt;=$D28,U$1+6&gt;=$C28),1,"")</f>
        <v/>
      </c>
      <c r="V28" s="7" t="str">
        <f>IF(AND(ISNUMBER($C28),ISNUMBER($D28),V$1&lt;=$D28,V$1+6&gt;=$C28),1,"")</f>
        <v/>
      </c>
      <c r="W28" s="7" t="str">
        <f>IF(AND(ISNUMBER($C28),ISNUMBER($D28),W$1&lt;=$D28,W$1+6&gt;=$C28),1,"")</f>
        <v/>
      </c>
      <c r="X28" s="7" t="str">
        <f>IF(AND(ISNUMBER($C28),ISNUMBER($D28),X$1&lt;=$D28,X$1+6&gt;=$C28),1,"")</f>
        <v/>
      </c>
      <c r="Y28" s="7" t="str">
        <f>IF(AND(ISNUMBER($C28),ISNUMBER($D28),Y$1&lt;=$D28,Y$1+6&gt;=$C28),1,"")</f>
        <v/>
      </c>
      <c r="Z28" s="7" t="str">
        <f>IF(AND(ISNUMBER($C28),ISNUMBER($D28),Z$1&lt;=$D28,Z$1+6&gt;=$C28),1,"")</f>
        <v/>
      </c>
      <c r="AA28" s="7" t="str">
        <f>IF(AND(ISNUMBER($C28),ISNUMBER($D28),AA$1&lt;=$D28,AA$1+6&gt;=$C28),1,"")</f>
        <v/>
      </c>
      <c r="AB28" s="7" t="str">
        <f>IF(AND(ISNUMBER($C28),ISNUMBER($D28),AB$1&lt;=$D28,AB$1+6&gt;=$C28),1,"")</f>
        <v/>
      </c>
      <c r="AC28" s="7" t="str">
        <f>IF(AND(ISNUMBER($C28),ISNUMBER($D28),AC$1&lt;=$D28,AC$1+6&gt;=$C28),1,"")</f>
        <v/>
      </c>
      <c r="AD28" s="7" t="str">
        <f>IF(AND(ISNUMBER($C28),ISNUMBER($D28),AD$1&lt;=$D28,AD$1+6&gt;=$C28),1,"")</f>
        <v/>
      </c>
      <c r="AE28" s="7" t="str">
        <f>IF(AND(ISNUMBER($C28),ISNUMBER($D28),AE$1&lt;=$D28,AE$1+6&gt;=$C28),1,"")</f>
        <v/>
      </c>
      <c r="AF28" s="7" t="str">
        <f>IF(AND(ISNUMBER($C28),ISNUMBER($D28),AF$1&lt;=$D28,AF$1+6&gt;=$C28),1,"")</f>
        <v/>
      </c>
      <c r="AG28" s="7" t="str">
        <f>IF(AND(ISNUMBER($C28),ISNUMBER($D28),AG$1&lt;=$D28,AG$1+6&gt;=$C28),1,"")</f>
        <v/>
      </c>
      <c r="AH28" s="7" t="str">
        <f>IF(AND(ISNUMBER($C28),ISNUMBER($D28),AH$1&lt;=$D28,AH$1+6&gt;=$C28),1,"")</f>
        <v/>
      </c>
      <c r="AI28" s="7" t="str">
        <f>IF(AND(ISNUMBER($C28),ISNUMBER($D28),AI$1&lt;=$D28,AI$1+6&gt;=$C28),1,"")</f>
        <v/>
      </c>
      <c r="AJ28" s="7" t="str">
        <f>IF(AND(ISNUMBER($C28),ISNUMBER($D28),AJ$1&lt;=$D28,AJ$1+6&gt;=$C28),1,"")</f>
        <v/>
      </c>
      <c r="AK28" s="7" t="str">
        <f>IF(AND(ISNUMBER($C28),ISNUMBER($D28),AK$1&lt;=$D28,AK$1+6&gt;=$C28),1,"")</f>
        <v/>
      </c>
      <c r="AL28" s="7" t="str">
        <f>IF(AND(ISNUMBER($C28),ISNUMBER($D28),AL$1&lt;=$D28,AL$1+6&gt;=$C28),1,"")</f>
        <v/>
      </c>
      <c r="AM28" s="7" t="str">
        <f>IF(AND(ISNUMBER($C28),ISNUMBER($D28),AM$1&lt;=$D28,AM$1+6&gt;=$C28),1,"")</f>
        <v/>
      </c>
      <c r="AN28" s="7" t="str">
        <f>IF(AND(ISNUMBER($C28),ISNUMBER($D28),AN$1&lt;=$D28,AN$1+6&gt;=$C28),1,"")</f>
        <v/>
      </c>
      <c r="AO28" s="7" t="str">
        <f>IF(AND(ISNUMBER($C28),ISNUMBER($D28),AO$1&lt;=$D28,AO$1+6&gt;=$C28),1,"")</f>
        <v/>
      </c>
      <c r="AP28" s="7" t="str">
        <f>IF(AND(ISNUMBER($C28),ISNUMBER($D28),AP$1&lt;=$D28,AP$1+6&gt;=$C28),1,"")</f>
        <v/>
      </c>
      <c r="AQ28" s="7" t="str">
        <f>IF(AND(ISNUMBER($C28),ISNUMBER($D28),AQ$1&lt;=$D28,AQ$1+6&gt;=$C28),1,"")</f>
        <v/>
      </c>
      <c r="AR28" s="7" t="str">
        <f>IF(AND(ISNUMBER($C28),ISNUMBER($D28),AR$1&lt;=$D28,AR$1+6&gt;=$C28),1,"")</f>
        <v/>
      </c>
      <c r="AS28" s="7" t="str">
        <f>IF(AND(ISNUMBER($C28),ISNUMBER($D28),AS$1&lt;=$D28,AS$1+6&gt;=$C28),1,"")</f>
        <v/>
      </c>
      <c r="AT28" s="7" t="str">
        <f>IF(AND(ISNUMBER($C28),ISNUMBER($D28),AT$1&lt;=$D28,AT$1+6&gt;=$C28),1,"")</f>
        <v/>
      </c>
      <c r="AU28" s="7" t="str">
        <f>IF(AND(ISNUMBER($C28),ISNUMBER($D28),AU$1&lt;=$D28,AU$1+6&gt;=$C28),1,"")</f>
        <v/>
      </c>
      <c r="AV28" s="7" t="str">
        <f>IF(AND(ISNUMBER($C28),ISNUMBER($D28),AV$1&lt;=$D28,AV$1+6&gt;=$C28),1,"")</f>
        <v/>
      </c>
      <c r="AW28" s="7" t="str">
        <f>IF(AND(ISNUMBER($C28),ISNUMBER($D28),AW$1&lt;=$D28,AW$1+6&gt;=$C28),1,"")</f>
        <v/>
      </c>
      <c r="AX28" s="7" t="str">
        <f>IF(AND(ISNUMBER($C28),ISNUMBER($D28),AX$1&lt;=$D28,AX$1+6&gt;=$C28),1,"")</f>
        <v/>
      </c>
      <c r="AY28" s="7" t="str">
        <f>IF(AND(ISNUMBER($C28),ISNUMBER($D28),AY$1&lt;=$D28,AY$1+6&gt;=$C28),1,"")</f>
        <v/>
      </c>
      <c r="AZ28" s="7" t="str">
        <f>IF(AND(ISNUMBER($C28),ISNUMBER($D28),AZ$1&lt;=$D28,AZ$1+6&gt;=$C28),1,"")</f>
        <v/>
      </c>
      <c r="BA28" s="7" t="str">
        <f>IF(AND(ISNUMBER($C28),ISNUMBER($D28),BA$1&lt;=$D28,BA$1+6&gt;=$C28),1,"")</f>
        <v/>
      </c>
      <c r="BB28" s="7" t="str">
        <f>IF(AND(ISNUMBER($C28),ISNUMBER($D28),BB$1&lt;=$D28,BB$1+6&gt;=$C28),1,"")</f>
        <v/>
      </c>
      <c r="BC28" s="7" t="str">
        <f>IF(AND(ISNUMBER($C28),ISNUMBER($D28),BC$1&lt;=$D28,BC$1+6&gt;=$C28),1,"")</f>
        <v/>
      </c>
      <c r="BD28" s="7" t="str">
        <f>IF(AND(ISNUMBER($C28),ISNUMBER($D28),BD$1&lt;=$D28,BD$1+6&gt;=$C28),1,"")</f>
        <v/>
      </c>
      <c r="BE28" s="7" t="str">
        <f>IF(AND(ISNUMBER($C28),ISNUMBER($D28),BE$1&lt;=$D28,BE$1+6&gt;=$C28),1,"")</f>
        <v/>
      </c>
      <c r="BF28" s="7" t="str">
        <f>IF(AND(ISNUMBER($C28),ISNUMBER($D28),BF$1&lt;=$D28,BF$1+6&gt;=$C28),1,"")</f>
        <v/>
      </c>
      <c r="BG28" s="7" t="str">
        <f>IF(AND(ISNUMBER($C28),ISNUMBER($D28),BG$1&lt;=$D28,BG$1+6&gt;=$C28),1,"")</f>
        <v/>
      </c>
      <c r="BH28" s="7" t="str">
        <f>IF(AND(ISNUMBER($C28),ISNUMBER($D28),BH$1&lt;=$D28,BH$1+6&gt;=$C28),1,"")</f>
        <v/>
      </c>
      <c r="BI28" s="7" t="str">
        <f>IF(AND(ISNUMBER($C28),ISNUMBER($D28),BI$1&lt;=$D28,BI$1+6&gt;=$C28),1,"")</f>
        <v/>
      </c>
      <c r="BJ28" s="7" t="str">
        <f>IF(AND(ISNUMBER($C28),ISNUMBER($D28),BJ$1&lt;=$D28,BJ$1+6&gt;=$C28),1,"")</f>
        <v/>
      </c>
      <c r="BK28" s="7" t="str">
        <f>IF(AND(ISNUMBER($C28),ISNUMBER($D28),BK$1&lt;=$D28,BK$1+6&gt;=$C28),1,"")</f>
        <v/>
      </c>
      <c r="BL28" s="7" t="str">
        <f>IF(AND(ISNUMBER($C28),ISNUMBER($D28),BL$1&lt;=$D28,BL$1+6&gt;=$C28),1,"")</f>
        <v/>
      </c>
      <c r="BM28" s="7" t="str">
        <f>IF(AND(ISNUMBER($C28),ISNUMBER($D28),BM$1&lt;=$D28,BM$1+6&gt;=$C28),1,"")</f>
        <v/>
      </c>
      <c r="BN28" s="7" t="str">
        <f>IF(AND(ISNUMBER($C28),ISNUMBER($D28),BN$1&lt;=$D28,BN$1+6&gt;=$C28),1,"")</f>
        <v/>
      </c>
      <c r="BO28" s="7" t="str">
        <f>IF(AND(ISNUMBER($C28),ISNUMBER($D28),BO$1&lt;=$D28,BO$1+6&gt;=$C28),1,"")</f>
        <v/>
      </c>
      <c r="BP28" s="7" t="str">
        <f>IF(AND(ISNUMBER($C28),ISNUMBER($D28),BP$1&lt;=$D28,BP$1+6&gt;=$C28),1,"")</f>
        <v/>
      </c>
      <c r="BQ28" s="7" t="str">
        <f>IF(AND(ISNUMBER($C28),ISNUMBER($D28),BQ$1&lt;=$D28,BQ$1+6&gt;=$C28),1,"")</f>
        <v/>
      </c>
      <c r="BR28" s="7" t="str">
        <f>IF(AND(ISNUMBER($C28),ISNUMBER($D28),BR$1&lt;=$D28,BR$1+6&gt;=$C28),1,"")</f>
        <v/>
      </c>
      <c r="BS28" s="7" t="str">
        <f>IF(AND(ISNUMBER($C28),ISNUMBER($D28),BS$1&lt;=$D28,BS$1+6&gt;=$C28),1,"")</f>
        <v/>
      </c>
      <c r="BT28" s="7" t="str">
        <f>IF(AND(ISNUMBER($C28),ISNUMBER($D28),BT$1&lt;=$D28,BT$1+6&gt;=$C28),1,"")</f>
        <v/>
      </c>
      <c r="BU28" s="7" t="str">
        <f>IF(AND(ISNUMBER($C28),ISNUMBER($D28),BU$1&lt;=$D28,BU$1+6&gt;=$C28),1,"")</f>
        <v/>
      </c>
      <c r="BV28" s="7" t="str">
        <f>IF(AND(ISNUMBER($C28),ISNUMBER($D28),BV$1&lt;=$D28,BV$1+6&gt;=$C28),1,"")</f>
        <v/>
      </c>
      <c r="BW28" s="7" t="str">
        <f>IF(AND(ISNUMBER($C28),ISNUMBER($D28),BW$1&lt;=$D28,BW$1+6&gt;=$C28),1,"")</f>
        <v/>
      </c>
      <c r="BX28" s="7" t="str">
        <f>IF(AND(ISNUMBER($C28),ISNUMBER($D28),BX$1&lt;=$D28,BX$1+6&gt;=$C28),1,"")</f>
        <v/>
      </c>
      <c r="BY28" s="7" t="str">
        <f>IF(AND(ISNUMBER($C28),ISNUMBER($D28),BY$1&lt;=$D28,BY$1+6&gt;=$C28),1,"")</f>
        <v/>
      </c>
      <c r="BZ28" s="7" t="str">
        <f>IF(AND(ISNUMBER($C28),ISNUMBER($D28),BZ$1&lt;=$D28,BZ$1+6&gt;=$C28),1,"")</f>
        <v/>
      </c>
      <c r="CA28" s="7" t="str">
        <f>IF(AND(ISNUMBER($C28),ISNUMBER($D28),CA$1&lt;=$D28,CA$1+6&gt;=$C28),1,"")</f>
        <v/>
      </c>
      <c r="CB28" s="7" t="str">
        <f>IF(AND(ISNUMBER($C28),ISNUMBER($D28),CB$1&lt;=$D28,CB$1+6&gt;=$C28),1,"")</f>
        <v/>
      </c>
      <c r="CC28" s="7" t="str">
        <f>IF(AND(ISNUMBER($C28),ISNUMBER($D28),CC$1&lt;=$D28,CC$1+6&gt;=$C28),1,"")</f>
        <v/>
      </c>
      <c r="CD28" s="7" t="str">
        <f>IF(AND(ISNUMBER($C28),ISNUMBER($D28),CD$1&lt;=$D28,CD$1+6&gt;=$C28),1,"")</f>
        <v/>
      </c>
      <c r="CE28" s="7" t="str">
        <f>IF(AND(ISNUMBER($C28),ISNUMBER($D28),CE$1&lt;=$D28,CE$1+6&gt;=$C28),1,"")</f>
        <v/>
      </c>
      <c r="CF28" s="7" t="str">
        <f>IF(AND(ISNUMBER($C28),ISNUMBER($D28),CF$1&lt;=$D28,CF$1+6&gt;=$C28),1,"")</f>
        <v/>
      </c>
      <c r="CG28" s="7" t="str">
        <f>IF(AND(ISNUMBER($C28),ISNUMBER($D28),CG$1&lt;=$D28,CG$1+6&gt;=$C28),1,"")</f>
        <v/>
      </c>
      <c r="CH28" s="7" t="str">
        <f>IF(AND(ISNUMBER($C28),ISNUMBER($D28),CH$1&lt;=$D28,CH$1+6&gt;=$C28),1,"")</f>
        <v/>
      </c>
      <c r="CI28" s="7" t="str">
        <f>IF(AND(ISNUMBER($C28),ISNUMBER($D28),CI$1&lt;=$D28,CI$1+6&gt;=$C28),1,"")</f>
        <v/>
      </c>
      <c r="CJ28" s="7" t="str">
        <f>IF(AND(ISNUMBER($C28),ISNUMBER($D28),CJ$1&lt;=$D28,CJ$1+6&gt;=$C28),1,"")</f>
        <v/>
      </c>
      <c r="CK28" s="7" t="str">
        <f>IF(AND(ISNUMBER($C28),ISNUMBER($D28),CK$1&lt;=$D28,CK$1+6&gt;=$C28),1,"")</f>
        <v/>
      </c>
      <c r="CL28" s="7" t="str">
        <f>IF(AND(ISNUMBER($C28),ISNUMBER($D28),CL$1&lt;=$D28,CL$1+6&gt;=$C28),1,"")</f>
        <v/>
      </c>
      <c r="CM28" s="7" t="str">
        <f>IF(AND(ISNUMBER($C28),ISNUMBER($D28),CM$1&lt;=$D28,CM$1+6&gt;=$C28),1,"")</f>
        <v/>
      </c>
      <c r="CN28" s="7" t="str">
        <f>IF(AND(ISNUMBER($C28),ISNUMBER($D28),CN$1&lt;=$D28,CN$1+6&gt;=$C28),1,"")</f>
        <v/>
      </c>
      <c r="CO28" s="7" t="str">
        <f>IF(AND(ISNUMBER($C28),ISNUMBER($D28),CO$1&lt;=$D28,CO$1+6&gt;=$C28),1,"")</f>
        <v/>
      </c>
      <c r="CP28" s="7" t="str">
        <f>IF(AND(ISNUMBER($C28),ISNUMBER($D28),CP$1&lt;=$D28,CP$1+6&gt;=$C28),1,"")</f>
        <v/>
      </c>
      <c r="CQ28" s="7" t="str">
        <f>IF(AND(ISNUMBER($C28),ISNUMBER($D28),CQ$1&lt;=$D28,CQ$1+6&gt;=$C28),1,"")</f>
        <v/>
      </c>
      <c r="CR28" s="7" t="str">
        <f>IF(AND(ISNUMBER($C28),ISNUMBER($D28),CR$1&lt;=$D28,CR$1+6&gt;=$C28),1,"")</f>
        <v/>
      </c>
      <c r="CS28" s="7" t="str">
        <f>IF(AND(ISNUMBER($C28),ISNUMBER($D28),CS$1&lt;=$D28,CS$1+6&gt;=$C28),1,"")</f>
        <v/>
      </c>
      <c r="CT28" s="7" t="str">
        <f>IF(AND(ISNUMBER($C28),ISNUMBER($D28),CT$1&lt;=$D28,CT$1+6&gt;=$C28),1,"")</f>
        <v/>
      </c>
      <c r="CU28" s="7" t="str">
        <f>IF(AND(ISNUMBER($C28),ISNUMBER($D28),CU$1&lt;=$D28,CU$1+6&gt;=$C28),1,"")</f>
        <v/>
      </c>
      <c r="CV28" s="7" t="str">
        <f>IF(AND(ISNUMBER($C28),ISNUMBER($D28),CV$1&lt;=$D28,CV$1+6&gt;=$C28),1,"")</f>
        <v/>
      </c>
      <c r="CW28" s="7" t="str">
        <f>IF(AND(ISNUMBER($C28),ISNUMBER($D28),CW$1&lt;=$D28,CW$1+6&gt;=$C28),1,"")</f>
        <v/>
      </c>
      <c r="CX28" s="7" t="str">
        <f>IF(AND(ISNUMBER($C28),ISNUMBER($D28),CX$1&lt;=$D28,CX$1+6&gt;=$C28),1,"")</f>
        <v/>
      </c>
      <c r="CY28" s="7" t="str">
        <f>IF(AND(ISNUMBER($C28),ISNUMBER($D28),CY$1&lt;=$D28,CY$1+6&gt;=$C28),1,"")</f>
        <v/>
      </c>
      <c r="CZ28" s="7" t="str">
        <f>IF(AND(ISNUMBER($C28),ISNUMBER($D28),CZ$1&lt;=$D28,CZ$1+6&gt;=$C28),1,"")</f>
        <v/>
      </c>
      <c r="DA28" s="7" t="str">
        <f>IF(AND(ISNUMBER($C28),ISNUMBER($D28),DA$1&lt;=$D28,DA$1+6&gt;=$C28),1,"")</f>
        <v/>
      </c>
      <c r="DB28" s="7" t="str">
        <f>IF(AND(ISNUMBER($C28),ISNUMBER($D28),DB$1&lt;=$D28,DB$1+6&gt;=$C28),1,"")</f>
        <v/>
      </c>
      <c r="DC28" s="7" t="str">
        <f>IF(AND(ISNUMBER($C28),ISNUMBER($D28),DC$1&lt;=$D28,DC$1+6&gt;=$C28),1,"")</f>
        <v/>
      </c>
      <c r="DD28" s="7" t="str">
        <f>IF(AND(ISNUMBER($C28),ISNUMBER($D28),DD$1&lt;=$D28,DD$1+6&gt;=$C28),1,"")</f>
        <v/>
      </c>
    </row>
    <row r="29" spans="1:108" x14ac:dyDescent="0.35">
      <c r="A29" s="6" t="str">
        <f>Schedule!B29</f>
        <v>SQL practice with duplicates NULL and windows</v>
      </c>
      <c r="B29" s="6" t="str">
        <f>Schedule!C29</f>
        <v>Practice</v>
      </c>
      <c r="C29" s="4">
        <f>IF(Schedule!P29="","",Schedule!P29)</f>
        <v>46442</v>
      </c>
      <c r="D29" s="4">
        <f>IF(Schedule!Q29="","",Schedule!Q29)</f>
        <v>46513</v>
      </c>
      <c r="E29" s="7" t="str">
        <f>IF(AND(ISNUMBER($C29),ISNUMBER($D29),E$1&lt;=$D29,E$1+6&gt;=$C29),1,"")</f>
        <v/>
      </c>
      <c r="F29" s="7" t="str">
        <f>IF(AND(ISNUMBER($C29),ISNUMBER($D29),F$1&lt;=$D29,F$1+6&gt;=$C29),1,"")</f>
        <v/>
      </c>
      <c r="G29" s="7" t="str">
        <f>IF(AND(ISNUMBER($C29),ISNUMBER($D29),G$1&lt;=$D29,G$1+6&gt;=$C29),1,"")</f>
        <v/>
      </c>
      <c r="H29" s="7" t="str">
        <f>IF(AND(ISNUMBER($C29),ISNUMBER($D29),H$1&lt;=$D29,H$1+6&gt;=$C29),1,"")</f>
        <v/>
      </c>
      <c r="I29" s="7" t="str">
        <f>IF(AND(ISNUMBER($C29),ISNUMBER($D29),I$1&lt;=$D29,I$1+6&gt;=$C29),1,"")</f>
        <v/>
      </c>
      <c r="J29" s="7" t="str">
        <f>IF(AND(ISNUMBER($C29),ISNUMBER($D29),J$1&lt;=$D29,J$1+6&gt;=$C29),1,"")</f>
        <v/>
      </c>
      <c r="K29" s="7" t="str">
        <f>IF(AND(ISNUMBER($C29),ISNUMBER($D29),K$1&lt;=$D29,K$1+6&gt;=$C29),1,"")</f>
        <v/>
      </c>
      <c r="L29" s="7" t="str">
        <f>IF(AND(ISNUMBER($C29),ISNUMBER($D29),L$1&lt;=$D29,L$1+6&gt;=$C29),1,"")</f>
        <v/>
      </c>
      <c r="M29" s="7" t="str">
        <f>IF(AND(ISNUMBER($C29),ISNUMBER($D29),M$1&lt;=$D29,M$1+6&gt;=$C29),1,"")</f>
        <v/>
      </c>
      <c r="N29" s="7" t="str">
        <f>IF(AND(ISNUMBER($C29),ISNUMBER($D29),N$1&lt;=$D29,N$1+6&gt;=$C29),1,"")</f>
        <v/>
      </c>
      <c r="O29" s="7" t="str">
        <f>IF(AND(ISNUMBER($C29),ISNUMBER($D29),O$1&lt;=$D29,O$1+6&gt;=$C29),1,"")</f>
        <v/>
      </c>
      <c r="P29" s="7" t="str">
        <f>IF(AND(ISNUMBER($C29),ISNUMBER($D29),P$1&lt;=$D29,P$1+6&gt;=$C29),1,"")</f>
        <v/>
      </c>
      <c r="Q29" s="7" t="str">
        <f>IF(AND(ISNUMBER($C29),ISNUMBER($D29),Q$1&lt;=$D29,Q$1+6&gt;=$C29),1,"")</f>
        <v/>
      </c>
      <c r="R29" s="7" t="str">
        <f>IF(AND(ISNUMBER($C29),ISNUMBER($D29),R$1&lt;=$D29,R$1+6&gt;=$C29),1,"")</f>
        <v/>
      </c>
      <c r="S29" s="7" t="str">
        <f>IF(AND(ISNUMBER($C29),ISNUMBER($D29),S$1&lt;=$D29,S$1+6&gt;=$C29),1,"")</f>
        <v/>
      </c>
      <c r="T29" s="7" t="str">
        <f>IF(AND(ISNUMBER($C29),ISNUMBER($D29),T$1&lt;=$D29,T$1+6&gt;=$C29),1,"")</f>
        <v/>
      </c>
      <c r="U29" s="7" t="str">
        <f>IF(AND(ISNUMBER($C29),ISNUMBER($D29),U$1&lt;=$D29,U$1+6&gt;=$C29),1,"")</f>
        <v/>
      </c>
      <c r="V29" s="7">
        <f>IF(AND(ISNUMBER($C29),ISNUMBER($D29),V$1&lt;=$D29,V$1+6&gt;=$C29),1,"")</f>
        <v>1</v>
      </c>
      <c r="W29" s="7">
        <f>IF(AND(ISNUMBER($C29),ISNUMBER($D29),W$1&lt;=$D29,W$1+6&gt;=$C29),1,"")</f>
        <v>1</v>
      </c>
      <c r="X29" s="7">
        <f>IF(AND(ISNUMBER($C29),ISNUMBER($D29),X$1&lt;=$D29,X$1+6&gt;=$C29),1,"")</f>
        <v>1</v>
      </c>
      <c r="Y29" s="7">
        <f>IF(AND(ISNUMBER($C29),ISNUMBER($D29),Y$1&lt;=$D29,Y$1+6&gt;=$C29),1,"")</f>
        <v>1</v>
      </c>
      <c r="Z29" s="7">
        <f>IF(AND(ISNUMBER($C29),ISNUMBER($D29),Z$1&lt;=$D29,Z$1+6&gt;=$C29),1,"")</f>
        <v>1</v>
      </c>
      <c r="AA29" s="7">
        <f>IF(AND(ISNUMBER($C29),ISNUMBER($D29),AA$1&lt;=$D29,AA$1+6&gt;=$C29),1,"")</f>
        <v>1</v>
      </c>
      <c r="AB29" s="7">
        <f>IF(AND(ISNUMBER($C29),ISNUMBER($D29),AB$1&lt;=$D29,AB$1+6&gt;=$C29),1,"")</f>
        <v>1</v>
      </c>
      <c r="AC29" s="7">
        <f>IF(AND(ISNUMBER($C29),ISNUMBER($D29),AC$1&lt;=$D29,AC$1+6&gt;=$C29),1,"")</f>
        <v>1</v>
      </c>
      <c r="AD29" s="7">
        <f>IF(AND(ISNUMBER($C29),ISNUMBER($D29),AD$1&lt;=$D29,AD$1+6&gt;=$C29),1,"")</f>
        <v>1</v>
      </c>
      <c r="AE29" s="7">
        <f>IF(AND(ISNUMBER($C29),ISNUMBER($D29),AE$1&lt;=$D29,AE$1+6&gt;=$C29),1,"")</f>
        <v>1</v>
      </c>
      <c r="AF29" s="7">
        <f>IF(AND(ISNUMBER($C29),ISNUMBER($D29),AF$1&lt;=$D29,AF$1+6&gt;=$C29),1,"")</f>
        <v>1</v>
      </c>
      <c r="AG29" s="7" t="str">
        <f>IF(AND(ISNUMBER($C29),ISNUMBER($D29),AG$1&lt;=$D29,AG$1+6&gt;=$C29),1,"")</f>
        <v/>
      </c>
      <c r="AH29" s="7" t="str">
        <f>IF(AND(ISNUMBER($C29),ISNUMBER($D29),AH$1&lt;=$D29,AH$1+6&gt;=$C29),1,"")</f>
        <v/>
      </c>
      <c r="AI29" s="7" t="str">
        <f>IF(AND(ISNUMBER($C29),ISNUMBER($D29),AI$1&lt;=$D29,AI$1+6&gt;=$C29),1,"")</f>
        <v/>
      </c>
      <c r="AJ29" s="7" t="str">
        <f>IF(AND(ISNUMBER($C29),ISNUMBER($D29),AJ$1&lt;=$D29,AJ$1+6&gt;=$C29),1,"")</f>
        <v/>
      </c>
      <c r="AK29" s="7" t="str">
        <f>IF(AND(ISNUMBER($C29),ISNUMBER($D29),AK$1&lt;=$D29,AK$1+6&gt;=$C29),1,"")</f>
        <v/>
      </c>
      <c r="AL29" s="7" t="str">
        <f>IF(AND(ISNUMBER($C29),ISNUMBER($D29),AL$1&lt;=$D29,AL$1+6&gt;=$C29),1,"")</f>
        <v/>
      </c>
      <c r="AM29" s="7" t="str">
        <f>IF(AND(ISNUMBER($C29),ISNUMBER($D29),AM$1&lt;=$D29,AM$1+6&gt;=$C29),1,"")</f>
        <v/>
      </c>
      <c r="AN29" s="7" t="str">
        <f>IF(AND(ISNUMBER($C29),ISNUMBER($D29),AN$1&lt;=$D29,AN$1+6&gt;=$C29),1,"")</f>
        <v/>
      </c>
      <c r="AO29" s="7" t="str">
        <f>IF(AND(ISNUMBER($C29),ISNUMBER($D29),AO$1&lt;=$D29,AO$1+6&gt;=$C29),1,"")</f>
        <v/>
      </c>
      <c r="AP29" s="7" t="str">
        <f>IF(AND(ISNUMBER($C29),ISNUMBER($D29),AP$1&lt;=$D29,AP$1+6&gt;=$C29),1,"")</f>
        <v/>
      </c>
      <c r="AQ29" s="7" t="str">
        <f>IF(AND(ISNUMBER($C29),ISNUMBER($D29),AQ$1&lt;=$D29,AQ$1+6&gt;=$C29),1,"")</f>
        <v/>
      </c>
      <c r="AR29" s="7" t="str">
        <f>IF(AND(ISNUMBER($C29),ISNUMBER($D29),AR$1&lt;=$D29,AR$1+6&gt;=$C29),1,"")</f>
        <v/>
      </c>
      <c r="AS29" s="7" t="str">
        <f>IF(AND(ISNUMBER($C29),ISNUMBER($D29),AS$1&lt;=$D29,AS$1+6&gt;=$C29),1,"")</f>
        <v/>
      </c>
      <c r="AT29" s="7" t="str">
        <f>IF(AND(ISNUMBER($C29),ISNUMBER($D29),AT$1&lt;=$D29,AT$1+6&gt;=$C29),1,"")</f>
        <v/>
      </c>
      <c r="AU29" s="7" t="str">
        <f>IF(AND(ISNUMBER($C29),ISNUMBER($D29),AU$1&lt;=$D29,AU$1+6&gt;=$C29),1,"")</f>
        <v/>
      </c>
      <c r="AV29" s="7" t="str">
        <f>IF(AND(ISNUMBER($C29),ISNUMBER($D29),AV$1&lt;=$D29,AV$1+6&gt;=$C29),1,"")</f>
        <v/>
      </c>
      <c r="AW29" s="7" t="str">
        <f>IF(AND(ISNUMBER($C29),ISNUMBER($D29),AW$1&lt;=$D29,AW$1+6&gt;=$C29),1,"")</f>
        <v/>
      </c>
      <c r="AX29" s="7" t="str">
        <f>IF(AND(ISNUMBER($C29),ISNUMBER($D29),AX$1&lt;=$D29,AX$1+6&gt;=$C29),1,"")</f>
        <v/>
      </c>
      <c r="AY29" s="7" t="str">
        <f>IF(AND(ISNUMBER($C29),ISNUMBER($D29),AY$1&lt;=$D29,AY$1+6&gt;=$C29),1,"")</f>
        <v/>
      </c>
      <c r="AZ29" s="7" t="str">
        <f>IF(AND(ISNUMBER($C29),ISNUMBER($D29),AZ$1&lt;=$D29,AZ$1+6&gt;=$C29),1,"")</f>
        <v/>
      </c>
      <c r="BA29" s="7" t="str">
        <f>IF(AND(ISNUMBER($C29),ISNUMBER($D29),BA$1&lt;=$D29,BA$1+6&gt;=$C29),1,"")</f>
        <v/>
      </c>
      <c r="BB29" s="7" t="str">
        <f>IF(AND(ISNUMBER($C29),ISNUMBER($D29),BB$1&lt;=$D29,BB$1+6&gt;=$C29),1,"")</f>
        <v/>
      </c>
      <c r="BC29" s="7" t="str">
        <f>IF(AND(ISNUMBER($C29),ISNUMBER($D29),BC$1&lt;=$D29,BC$1+6&gt;=$C29),1,"")</f>
        <v/>
      </c>
      <c r="BD29" s="7" t="str">
        <f>IF(AND(ISNUMBER($C29),ISNUMBER($D29),BD$1&lt;=$D29,BD$1+6&gt;=$C29),1,"")</f>
        <v/>
      </c>
      <c r="BE29" s="7" t="str">
        <f>IF(AND(ISNUMBER($C29),ISNUMBER($D29),BE$1&lt;=$D29,BE$1+6&gt;=$C29),1,"")</f>
        <v/>
      </c>
      <c r="BF29" s="7" t="str">
        <f>IF(AND(ISNUMBER($C29),ISNUMBER($D29),BF$1&lt;=$D29,BF$1+6&gt;=$C29),1,"")</f>
        <v/>
      </c>
      <c r="BG29" s="7" t="str">
        <f>IF(AND(ISNUMBER($C29),ISNUMBER($D29),BG$1&lt;=$D29,BG$1+6&gt;=$C29),1,"")</f>
        <v/>
      </c>
      <c r="BH29" s="7" t="str">
        <f>IF(AND(ISNUMBER($C29),ISNUMBER($D29),BH$1&lt;=$D29,BH$1+6&gt;=$C29),1,"")</f>
        <v/>
      </c>
      <c r="BI29" s="7" t="str">
        <f>IF(AND(ISNUMBER($C29),ISNUMBER($D29),BI$1&lt;=$D29,BI$1+6&gt;=$C29),1,"")</f>
        <v/>
      </c>
      <c r="BJ29" s="7" t="str">
        <f>IF(AND(ISNUMBER($C29),ISNUMBER($D29),BJ$1&lt;=$D29,BJ$1+6&gt;=$C29),1,"")</f>
        <v/>
      </c>
      <c r="BK29" s="7" t="str">
        <f>IF(AND(ISNUMBER($C29),ISNUMBER($D29),BK$1&lt;=$D29,BK$1+6&gt;=$C29),1,"")</f>
        <v/>
      </c>
      <c r="BL29" s="7" t="str">
        <f>IF(AND(ISNUMBER($C29),ISNUMBER($D29),BL$1&lt;=$D29,BL$1+6&gt;=$C29),1,"")</f>
        <v/>
      </c>
      <c r="BM29" s="7" t="str">
        <f>IF(AND(ISNUMBER($C29),ISNUMBER($D29),BM$1&lt;=$D29,BM$1+6&gt;=$C29),1,"")</f>
        <v/>
      </c>
      <c r="BN29" s="7" t="str">
        <f>IF(AND(ISNUMBER($C29),ISNUMBER($D29),BN$1&lt;=$D29,BN$1+6&gt;=$C29),1,"")</f>
        <v/>
      </c>
      <c r="BO29" s="7" t="str">
        <f>IF(AND(ISNUMBER($C29),ISNUMBER($D29),BO$1&lt;=$D29,BO$1+6&gt;=$C29),1,"")</f>
        <v/>
      </c>
      <c r="BP29" s="7" t="str">
        <f>IF(AND(ISNUMBER($C29),ISNUMBER($D29),BP$1&lt;=$D29,BP$1+6&gt;=$C29),1,"")</f>
        <v/>
      </c>
      <c r="BQ29" s="7" t="str">
        <f>IF(AND(ISNUMBER($C29),ISNUMBER($D29),BQ$1&lt;=$D29,BQ$1+6&gt;=$C29),1,"")</f>
        <v/>
      </c>
      <c r="BR29" s="7" t="str">
        <f>IF(AND(ISNUMBER($C29),ISNUMBER($D29),BR$1&lt;=$D29,BR$1+6&gt;=$C29),1,"")</f>
        <v/>
      </c>
      <c r="BS29" s="7" t="str">
        <f>IF(AND(ISNUMBER($C29),ISNUMBER($D29),BS$1&lt;=$D29,BS$1+6&gt;=$C29),1,"")</f>
        <v/>
      </c>
      <c r="BT29" s="7" t="str">
        <f>IF(AND(ISNUMBER($C29),ISNUMBER($D29),BT$1&lt;=$D29,BT$1+6&gt;=$C29),1,"")</f>
        <v/>
      </c>
      <c r="BU29" s="7" t="str">
        <f>IF(AND(ISNUMBER($C29),ISNUMBER($D29),BU$1&lt;=$D29,BU$1+6&gt;=$C29),1,"")</f>
        <v/>
      </c>
      <c r="BV29" s="7" t="str">
        <f>IF(AND(ISNUMBER($C29),ISNUMBER($D29),BV$1&lt;=$D29,BV$1+6&gt;=$C29),1,"")</f>
        <v/>
      </c>
      <c r="BW29" s="7" t="str">
        <f>IF(AND(ISNUMBER($C29),ISNUMBER($D29),BW$1&lt;=$D29,BW$1+6&gt;=$C29),1,"")</f>
        <v/>
      </c>
      <c r="BX29" s="7" t="str">
        <f>IF(AND(ISNUMBER($C29),ISNUMBER($D29),BX$1&lt;=$D29,BX$1+6&gt;=$C29),1,"")</f>
        <v/>
      </c>
      <c r="BY29" s="7" t="str">
        <f>IF(AND(ISNUMBER($C29),ISNUMBER($D29),BY$1&lt;=$D29,BY$1+6&gt;=$C29),1,"")</f>
        <v/>
      </c>
      <c r="BZ29" s="7" t="str">
        <f>IF(AND(ISNUMBER($C29),ISNUMBER($D29),BZ$1&lt;=$D29,BZ$1+6&gt;=$C29),1,"")</f>
        <v/>
      </c>
      <c r="CA29" s="7" t="str">
        <f>IF(AND(ISNUMBER($C29),ISNUMBER($D29),CA$1&lt;=$D29,CA$1+6&gt;=$C29),1,"")</f>
        <v/>
      </c>
      <c r="CB29" s="7" t="str">
        <f>IF(AND(ISNUMBER($C29),ISNUMBER($D29),CB$1&lt;=$D29,CB$1+6&gt;=$C29),1,"")</f>
        <v/>
      </c>
      <c r="CC29" s="7" t="str">
        <f>IF(AND(ISNUMBER($C29),ISNUMBER($D29),CC$1&lt;=$D29,CC$1+6&gt;=$C29),1,"")</f>
        <v/>
      </c>
      <c r="CD29" s="7" t="str">
        <f>IF(AND(ISNUMBER($C29),ISNUMBER($D29),CD$1&lt;=$D29,CD$1+6&gt;=$C29),1,"")</f>
        <v/>
      </c>
      <c r="CE29" s="7" t="str">
        <f>IF(AND(ISNUMBER($C29),ISNUMBER($D29),CE$1&lt;=$D29,CE$1+6&gt;=$C29),1,"")</f>
        <v/>
      </c>
      <c r="CF29" s="7" t="str">
        <f>IF(AND(ISNUMBER($C29),ISNUMBER($D29),CF$1&lt;=$D29,CF$1+6&gt;=$C29),1,"")</f>
        <v/>
      </c>
      <c r="CG29" s="7" t="str">
        <f>IF(AND(ISNUMBER($C29),ISNUMBER($D29),CG$1&lt;=$D29,CG$1+6&gt;=$C29),1,"")</f>
        <v/>
      </c>
      <c r="CH29" s="7" t="str">
        <f>IF(AND(ISNUMBER($C29),ISNUMBER($D29),CH$1&lt;=$D29,CH$1+6&gt;=$C29),1,"")</f>
        <v/>
      </c>
      <c r="CI29" s="7" t="str">
        <f>IF(AND(ISNUMBER($C29),ISNUMBER($D29),CI$1&lt;=$D29,CI$1+6&gt;=$C29),1,"")</f>
        <v/>
      </c>
      <c r="CJ29" s="7" t="str">
        <f>IF(AND(ISNUMBER($C29),ISNUMBER($D29),CJ$1&lt;=$D29,CJ$1+6&gt;=$C29),1,"")</f>
        <v/>
      </c>
      <c r="CK29" s="7" t="str">
        <f>IF(AND(ISNUMBER($C29),ISNUMBER($D29),CK$1&lt;=$D29,CK$1+6&gt;=$C29),1,"")</f>
        <v/>
      </c>
      <c r="CL29" s="7" t="str">
        <f>IF(AND(ISNUMBER($C29),ISNUMBER($D29),CL$1&lt;=$D29,CL$1+6&gt;=$C29),1,"")</f>
        <v/>
      </c>
      <c r="CM29" s="7" t="str">
        <f>IF(AND(ISNUMBER($C29),ISNUMBER($D29),CM$1&lt;=$D29,CM$1+6&gt;=$C29),1,"")</f>
        <v/>
      </c>
      <c r="CN29" s="7" t="str">
        <f>IF(AND(ISNUMBER($C29),ISNUMBER($D29),CN$1&lt;=$D29,CN$1+6&gt;=$C29),1,"")</f>
        <v/>
      </c>
      <c r="CO29" s="7" t="str">
        <f>IF(AND(ISNUMBER($C29),ISNUMBER($D29),CO$1&lt;=$D29,CO$1+6&gt;=$C29),1,"")</f>
        <v/>
      </c>
      <c r="CP29" s="7" t="str">
        <f>IF(AND(ISNUMBER($C29),ISNUMBER($D29),CP$1&lt;=$D29,CP$1+6&gt;=$C29),1,"")</f>
        <v/>
      </c>
      <c r="CQ29" s="7" t="str">
        <f>IF(AND(ISNUMBER($C29),ISNUMBER($D29),CQ$1&lt;=$D29,CQ$1+6&gt;=$C29),1,"")</f>
        <v/>
      </c>
      <c r="CR29" s="7" t="str">
        <f>IF(AND(ISNUMBER($C29),ISNUMBER($D29),CR$1&lt;=$D29,CR$1+6&gt;=$C29),1,"")</f>
        <v/>
      </c>
      <c r="CS29" s="7" t="str">
        <f>IF(AND(ISNUMBER($C29),ISNUMBER($D29),CS$1&lt;=$D29,CS$1+6&gt;=$C29),1,"")</f>
        <v/>
      </c>
      <c r="CT29" s="7" t="str">
        <f>IF(AND(ISNUMBER($C29),ISNUMBER($D29),CT$1&lt;=$D29,CT$1+6&gt;=$C29),1,"")</f>
        <v/>
      </c>
      <c r="CU29" s="7" t="str">
        <f>IF(AND(ISNUMBER($C29),ISNUMBER($D29),CU$1&lt;=$D29,CU$1+6&gt;=$C29),1,"")</f>
        <v/>
      </c>
      <c r="CV29" s="7" t="str">
        <f>IF(AND(ISNUMBER($C29),ISNUMBER($D29),CV$1&lt;=$D29,CV$1+6&gt;=$C29),1,"")</f>
        <v/>
      </c>
      <c r="CW29" s="7" t="str">
        <f>IF(AND(ISNUMBER($C29),ISNUMBER($D29),CW$1&lt;=$D29,CW$1+6&gt;=$C29),1,"")</f>
        <v/>
      </c>
      <c r="CX29" s="7" t="str">
        <f>IF(AND(ISNUMBER($C29),ISNUMBER($D29),CX$1&lt;=$D29,CX$1+6&gt;=$C29),1,"")</f>
        <v/>
      </c>
      <c r="CY29" s="7" t="str">
        <f>IF(AND(ISNUMBER($C29),ISNUMBER($D29),CY$1&lt;=$D29,CY$1+6&gt;=$C29),1,"")</f>
        <v/>
      </c>
      <c r="CZ29" s="7" t="str">
        <f>IF(AND(ISNUMBER($C29),ISNUMBER($D29),CZ$1&lt;=$D29,CZ$1+6&gt;=$C29),1,"")</f>
        <v/>
      </c>
      <c r="DA29" s="7" t="str">
        <f>IF(AND(ISNUMBER($C29),ISNUMBER($D29),DA$1&lt;=$D29,DA$1+6&gt;=$C29),1,"")</f>
        <v/>
      </c>
      <c r="DB29" s="7" t="str">
        <f>IF(AND(ISNUMBER($C29),ISNUMBER($D29),DB$1&lt;=$D29,DB$1+6&gt;=$C29),1,"")</f>
        <v/>
      </c>
      <c r="DC29" s="7" t="str">
        <f>IF(AND(ISNUMBER($C29),ISNUMBER($D29),DC$1&lt;=$D29,DC$1+6&gt;=$C29),1,"")</f>
        <v/>
      </c>
      <c r="DD29" s="7" t="str">
        <f>IF(AND(ISNUMBER($C29),ISNUMBER($D29),DD$1&lt;=$D29,DD$1+6&gt;=$C29),1,"")</f>
        <v/>
      </c>
    </row>
    <row r="30" spans="1:108" x14ac:dyDescent="0.35">
      <c r="A30" s="6" t="str">
        <f>Schedule!B30</f>
        <v>DSA pattern practice and spaced review</v>
      </c>
      <c r="B30" s="6" t="str">
        <f>Schedule!C30</f>
        <v>Practice</v>
      </c>
      <c r="C30" s="4">
        <f>IF(Schedule!P30="","",Schedule!P30)</f>
        <v>46513</v>
      </c>
      <c r="D30" s="4">
        <f>IF(Schedule!Q30="","",Schedule!Q30)</f>
        <v>46634</v>
      </c>
      <c r="E30" s="7" t="str">
        <f>IF(AND(ISNUMBER($C30),ISNUMBER($D30),E$1&lt;=$D30,E$1+6&gt;=$C30),1,"")</f>
        <v/>
      </c>
      <c r="F30" s="7" t="str">
        <f>IF(AND(ISNUMBER($C30),ISNUMBER($D30),F$1&lt;=$D30,F$1+6&gt;=$C30),1,"")</f>
        <v/>
      </c>
      <c r="G30" s="7" t="str">
        <f>IF(AND(ISNUMBER($C30),ISNUMBER($D30),G$1&lt;=$D30,G$1+6&gt;=$C30),1,"")</f>
        <v/>
      </c>
      <c r="H30" s="7" t="str">
        <f>IF(AND(ISNUMBER($C30),ISNUMBER($D30),H$1&lt;=$D30,H$1+6&gt;=$C30),1,"")</f>
        <v/>
      </c>
      <c r="I30" s="7" t="str">
        <f>IF(AND(ISNUMBER($C30),ISNUMBER($D30),I$1&lt;=$D30,I$1+6&gt;=$C30),1,"")</f>
        <v/>
      </c>
      <c r="J30" s="7" t="str">
        <f>IF(AND(ISNUMBER($C30),ISNUMBER($D30),J$1&lt;=$D30,J$1+6&gt;=$C30),1,"")</f>
        <v/>
      </c>
      <c r="K30" s="7" t="str">
        <f>IF(AND(ISNUMBER($C30),ISNUMBER($D30),K$1&lt;=$D30,K$1+6&gt;=$C30),1,"")</f>
        <v/>
      </c>
      <c r="L30" s="7" t="str">
        <f>IF(AND(ISNUMBER($C30),ISNUMBER($D30),L$1&lt;=$D30,L$1+6&gt;=$C30),1,"")</f>
        <v/>
      </c>
      <c r="M30" s="7" t="str">
        <f>IF(AND(ISNUMBER($C30),ISNUMBER($D30),M$1&lt;=$D30,M$1+6&gt;=$C30),1,"")</f>
        <v/>
      </c>
      <c r="N30" s="7" t="str">
        <f>IF(AND(ISNUMBER($C30),ISNUMBER($D30),N$1&lt;=$D30,N$1+6&gt;=$C30),1,"")</f>
        <v/>
      </c>
      <c r="O30" s="7" t="str">
        <f>IF(AND(ISNUMBER($C30),ISNUMBER($D30),O$1&lt;=$D30,O$1+6&gt;=$C30),1,"")</f>
        <v/>
      </c>
      <c r="P30" s="7" t="str">
        <f>IF(AND(ISNUMBER($C30),ISNUMBER($D30),P$1&lt;=$D30,P$1+6&gt;=$C30),1,"")</f>
        <v/>
      </c>
      <c r="Q30" s="7" t="str">
        <f>IF(AND(ISNUMBER($C30),ISNUMBER($D30),Q$1&lt;=$D30,Q$1+6&gt;=$C30),1,"")</f>
        <v/>
      </c>
      <c r="R30" s="7" t="str">
        <f>IF(AND(ISNUMBER($C30),ISNUMBER($D30),R$1&lt;=$D30,R$1+6&gt;=$C30),1,"")</f>
        <v/>
      </c>
      <c r="S30" s="7" t="str">
        <f>IF(AND(ISNUMBER($C30),ISNUMBER($D30),S$1&lt;=$D30,S$1+6&gt;=$C30),1,"")</f>
        <v/>
      </c>
      <c r="T30" s="7" t="str">
        <f>IF(AND(ISNUMBER($C30),ISNUMBER($D30),T$1&lt;=$D30,T$1+6&gt;=$C30),1,"")</f>
        <v/>
      </c>
      <c r="U30" s="7" t="str">
        <f>IF(AND(ISNUMBER($C30),ISNUMBER($D30),U$1&lt;=$D30,U$1+6&gt;=$C30),1,"")</f>
        <v/>
      </c>
      <c r="V30" s="7" t="str">
        <f>IF(AND(ISNUMBER($C30),ISNUMBER($D30),V$1&lt;=$D30,V$1+6&gt;=$C30),1,"")</f>
        <v/>
      </c>
      <c r="W30" s="7" t="str">
        <f>IF(AND(ISNUMBER($C30),ISNUMBER($D30),W$1&lt;=$D30,W$1+6&gt;=$C30),1,"")</f>
        <v/>
      </c>
      <c r="X30" s="7" t="str">
        <f>IF(AND(ISNUMBER($C30),ISNUMBER($D30),X$1&lt;=$D30,X$1+6&gt;=$C30),1,"")</f>
        <v/>
      </c>
      <c r="Y30" s="7" t="str">
        <f>IF(AND(ISNUMBER($C30),ISNUMBER($D30),Y$1&lt;=$D30,Y$1+6&gt;=$C30),1,"")</f>
        <v/>
      </c>
      <c r="Z30" s="7" t="str">
        <f>IF(AND(ISNUMBER($C30),ISNUMBER($D30),Z$1&lt;=$D30,Z$1+6&gt;=$C30),1,"")</f>
        <v/>
      </c>
      <c r="AA30" s="7" t="str">
        <f>IF(AND(ISNUMBER($C30),ISNUMBER($D30),AA$1&lt;=$D30,AA$1+6&gt;=$C30),1,"")</f>
        <v/>
      </c>
      <c r="AB30" s="7" t="str">
        <f>IF(AND(ISNUMBER($C30),ISNUMBER($D30),AB$1&lt;=$D30,AB$1+6&gt;=$C30),1,"")</f>
        <v/>
      </c>
      <c r="AC30" s="7" t="str">
        <f>IF(AND(ISNUMBER($C30),ISNUMBER($D30),AC$1&lt;=$D30,AC$1+6&gt;=$C30),1,"")</f>
        <v/>
      </c>
      <c r="AD30" s="7" t="str">
        <f>IF(AND(ISNUMBER($C30),ISNUMBER($D30),AD$1&lt;=$D30,AD$1+6&gt;=$C30),1,"")</f>
        <v/>
      </c>
      <c r="AE30" s="7" t="str">
        <f>IF(AND(ISNUMBER($C30),ISNUMBER($D30),AE$1&lt;=$D30,AE$1+6&gt;=$C30),1,"")</f>
        <v/>
      </c>
      <c r="AF30" s="7">
        <f>IF(AND(ISNUMBER($C30),ISNUMBER($D30),AF$1&lt;=$D30,AF$1+6&gt;=$C30),1,"")</f>
        <v>1</v>
      </c>
      <c r="AG30" s="7">
        <f>IF(AND(ISNUMBER($C30),ISNUMBER($D30),AG$1&lt;=$D30,AG$1+6&gt;=$C30),1,"")</f>
        <v>1</v>
      </c>
      <c r="AH30" s="7">
        <f>IF(AND(ISNUMBER($C30),ISNUMBER($D30),AH$1&lt;=$D30,AH$1+6&gt;=$C30),1,"")</f>
        <v>1</v>
      </c>
      <c r="AI30" s="7">
        <f>IF(AND(ISNUMBER($C30),ISNUMBER($D30),AI$1&lt;=$D30,AI$1+6&gt;=$C30),1,"")</f>
        <v>1</v>
      </c>
      <c r="AJ30" s="7">
        <f>IF(AND(ISNUMBER($C30),ISNUMBER($D30),AJ$1&lt;=$D30,AJ$1+6&gt;=$C30),1,"")</f>
        <v>1</v>
      </c>
      <c r="AK30" s="7">
        <f>IF(AND(ISNUMBER($C30),ISNUMBER($D30),AK$1&lt;=$D30,AK$1+6&gt;=$C30),1,"")</f>
        <v>1</v>
      </c>
      <c r="AL30" s="7">
        <f>IF(AND(ISNUMBER($C30),ISNUMBER($D30),AL$1&lt;=$D30,AL$1+6&gt;=$C30),1,"")</f>
        <v>1</v>
      </c>
      <c r="AM30" s="7">
        <f>IF(AND(ISNUMBER($C30),ISNUMBER($D30),AM$1&lt;=$D30,AM$1+6&gt;=$C30),1,"")</f>
        <v>1</v>
      </c>
      <c r="AN30" s="7">
        <f>IF(AND(ISNUMBER($C30),ISNUMBER($D30),AN$1&lt;=$D30,AN$1+6&gt;=$C30),1,"")</f>
        <v>1</v>
      </c>
      <c r="AO30" s="7">
        <f>IF(AND(ISNUMBER($C30),ISNUMBER($D30),AO$1&lt;=$D30,AO$1+6&gt;=$C30),1,"")</f>
        <v>1</v>
      </c>
      <c r="AP30" s="7">
        <f>IF(AND(ISNUMBER($C30),ISNUMBER($D30),AP$1&lt;=$D30,AP$1+6&gt;=$C30),1,"")</f>
        <v>1</v>
      </c>
      <c r="AQ30" s="7">
        <f>IF(AND(ISNUMBER($C30),ISNUMBER($D30),AQ$1&lt;=$D30,AQ$1+6&gt;=$C30),1,"")</f>
        <v>1</v>
      </c>
      <c r="AR30" s="7">
        <f>IF(AND(ISNUMBER($C30),ISNUMBER($D30),AR$1&lt;=$D30,AR$1+6&gt;=$C30),1,"")</f>
        <v>1</v>
      </c>
      <c r="AS30" s="7">
        <f>IF(AND(ISNUMBER($C30),ISNUMBER($D30),AS$1&lt;=$D30,AS$1+6&gt;=$C30),1,"")</f>
        <v>1</v>
      </c>
      <c r="AT30" s="7">
        <f>IF(AND(ISNUMBER($C30),ISNUMBER($D30),AT$1&lt;=$D30,AT$1+6&gt;=$C30),1,"")</f>
        <v>1</v>
      </c>
      <c r="AU30" s="7">
        <f>IF(AND(ISNUMBER($C30),ISNUMBER($D30),AU$1&lt;=$D30,AU$1+6&gt;=$C30),1,"")</f>
        <v>1</v>
      </c>
      <c r="AV30" s="7">
        <f>IF(AND(ISNUMBER($C30),ISNUMBER($D30),AV$1&lt;=$D30,AV$1+6&gt;=$C30),1,"")</f>
        <v>1</v>
      </c>
      <c r="AW30" s="7">
        <f>IF(AND(ISNUMBER($C30),ISNUMBER($D30),AW$1&lt;=$D30,AW$1+6&gt;=$C30),1,"")</f>
        <v>1</v>
      </c>
      <c r="AX30" s="7">
        <f>IF(AND(ISNUMBER($C30),ISNUMBER($D30),AX$1&lt;=$D30,AX$1+6&gt;=$C30),1,"")</f>
        <v>1</v>
      </c>
      <c r="AY30" s="7" t="str">
        <f>IF(AND(ISNUMBER($C30),ISNUMBER($D30),AY$1&lt;=$D30,AY$1+6&gt;=$C30),1,"")</f>
        <v/>
      </c>
      <c r="AZ30" s="7" t="str">
        <f>IF(AND(ISNUMBER($C30),ISNUMBER($D30),AZ$1&lt;=$D30,AZ$1+6&gt;=$C30),1,"")</f>
        <v/>
      </c>
      <c r="BA30" s="7" t="str">
        <f>IF(AND(ISNUMBER($C30),ISNUMBER($D30),BA$1&lt;=$D30,BA$1+6&gt;=$C30),1,"")</f>
        <v/>
      </c>
      <c r="BB30" s="7" t="str">
        <f>IF(AND(ISNUMBER($C30),ISNUMBER($D30),BB$1&lt;=$D30,BB$1+6&gt;=$C30),1,"")</f>
        <v/>
      </c>
      <c r="BC30" s="7" t="str">
        <f>IF(AND(ISNUMBER($C30),ISNUMBER($D30),BC$1&lt;=$D30,BC$1+6&gt;=$C30),1,"")</f>
        <v/>
      </c>
      <c r="BD30" s="7" t="str">
        <f>IF(AND(ISNUMBER($C30),ISNUMBER($D30),BD$1&lt;=$D30,BD$1+6&gt;=$C30),1,"")</f>
        <v/>
      </c>
      <c r="BE30" s="7" t="str">
        <f>IF(AND(ISNUMBER($C30),ISNUMBER($D30),BE$1&lt;=$D30,BE$1+6&gt;=$C30),1,"")</f>
        <v/>
      </c>
      <c r="BF30" s="7" t="str">
        <f>IF(AND(ISNUMBER($C30),ISNUMBER($D30),BF$1&lt;=$D30,BF$1+6&gt;=$C30),1,"")</f>
        <v/>
      </c>
      <c r="BG30" s="7" t="str">
        <f>IF(AND(ISNUMBER($C30),ISNUMBER($D30),BG$1&lt;=$D30,BG$1+6&gt;=$C30),1,"")</f>
        <v/>
      </c>
      <c r="BH30" s="7" t="str">
        <f>IF(AND(ISNUMBER($C30),ISNUMBER($D30),BH$1&lt;=$D30,BH$1+6&gt;=$C30),1,"")</f>
        <v/>
      </c>
      <c r="BI30" s="7" t="str">
        <f>IF(AND(ISNUMBER($C30),ISNUMBER($D30),BI$1&lt;=$D30,BI$1+6&gt;=$C30),1,"")</f>
        <v/>
      </c>
      <c r="BJ30" s="7" t="str">
        <f>IF(AND(ISNUMBER($C30),ISNUMBER($D30),BJ$1&lt;=$D30,BJ$1+6&gt;=$C30),1,"")</f>
        <v/>
      </c>
      <c r="BK30" s="7" t="str">
        <f>IF(AND(ISNUMBER($C30),ISNUMBER($D30),BK$1&lt;=$D30,BK$1+6&gt;=$C30),1,"")</f>
        <v/>
      </c>
      <c r="BL30" s="7" t="str">
        <f>IF(AND(ISNUMBER($C30),ISNUMBER($D30),BL$1&lt;=$D30,BL$1+6&gt;=$C30),1,"")</f>
        <v/>
      </c>
      <c r="BM30" s="7" t="str">
        <f>IF(AND(ISNUMBER($C30),ISNUMBER($D30),BM$1&lt;=$D30,BM$1+6&gt;=$C30),1,"")</f>
        <v/>
      </c>
      <c r="BN30" s="7" t="str">
        <f>IF(AND(ISNUMBER($C30),ISNUMBER($D30),BN$1&lt;=$D30,BN$1+6&gt;=$C30),1,"")</f>
        <v/>
      </c>
      <c r="BO30" s="7" t="str">
        <f>IF(AND(ISNUMBER($C30),ISNUMBER($D30),BO$1&lt;=$D30,BO$1+6&gt;=$C30),1,"")</f>
        <v/>
      </c>
      <c r="BP30" s="7" t="str">
        <f>IF(AND(ISNUMBER($C30),ISNUMBER($D30),BP$1&lt;=$D30,BP$1+6&gt;=$C30),1,"")</f>
        <v/>
      </c>
      <c r="BQ30" s="7" t="str">
        <f>IF(AND(ISNUMBER($C30),ISNUMBER($D30),BQ$1&lt;=$D30,BQ$1+6&gt;=$C30),1,"")</f>
        <v/>
      </c>
      <c r="BR30" s="7" t="str">
        <f>IF(AND(ISNUMBER($C30),ISNUMBER($D30),BR$1&lt;=$D30,BR$1+6&gt;=$C30),1,"")</f>
        <v/>
      </c>
      <c r="BS30" s="7" t="str">
        <f>IF(AND(ISNUMBER($C30),ISNUMBER($D30),BS$1&lt;=$D30,BS$1+6&gt;=$C30),1,"")</f>
        <v/>
      </c>
      <c r="BT30" s="7" t="str">
        <f>IF(AND(ISNUMBER($C30),ISNUMBER($D30),BT$1&lt;=$D30,BT$1+6&gt;=$C30),1,"")</f>
        <v/>
      </c>
      <c r="BU30" s="7" t="str">
        <f>IF(AND(ISNUMBER($C30),ISNUMBER($D30),BU$1&lt;=$D30,BU$1+6&gt;=$C30),1,"")</f>
        <v/>
      </c>
      <c r="BV30" s="7" t="str">
        <f>IF(AND(ISNUMBER($C30),ISNUMBER($D30),BV$1&lt;=$D30,BV$1+6&gt;=$C30),1,"")</f>
        <v/>
      </c>
      <c r="BW30" s="7" t="str">
        <f>IF(AND(ISNUMBER($C30),ISNUMBER($D30),BW$1&lt;=$D30,BW$1+6&gt;=$C30),1,"")</f>
        <v/>
      </c>
      <c r="BX30" s="7" t="str">
        <f>IF(AND(ISNUMBER($C30),ISNUMBER($D30),BX$1&lt;=$D30,BX$1+6&gt;=$C30),1,"")</f>
        <v/>
      </c>
      <c r="BY30" s="7" t="str">
        <f>IF(AND(ISNUMBER($C30),ISNUMBER($D30),BY$1&lt;=$D30,BY$1+6&gt;=$C30),1,"")</f>
        <v/>
      </c>
      <c r="BZ30" s="7" t="str">
        <f>IF(AND(ISNUMBER($C30),ISNUMBER($D30),BZ$1&lt;=$D30,BZ$1+6&gt;=$C30),1,"")</f>
        <v/>
      </c>
      <c r="CA30" s="7" t="str">
        <f>IF(AND(ISNUMBER($C30),ISNUMBER($D30),CA$1&lt;=$D30,CA$1+6&gt;=$C30),1,"")</f>
        <v/>
      </c>
      <c r="CB30" s="7" t="str">
        <f>IF(AND(ISNUMBER($C30),ISNUMBER($D30),CB$1&lt;=$D30,CB$1+6&gt;=$C30),1,"")</f>
        <v/>
      </c>
      <c r="CC30" s="7" t="str">
        <f>IF(AND(ISNUMBER($C30),ISNUMBER($D30),CC$1&lt;=$D30,CC$1+6&gt;=$C30),1,"")</f>
        <v/>
      </c>
      <c r="CD30" s="7" t="str">
        <f>IF(AND(ISNUMBER($C30),ISNUMBER($D30),CD$1&lt;=$D30,CD$1+6&gt;=$C30),1,"")</f>
        <v/>
      </c>
      <c r="CE30" s="7" t="str">
        <f>IF(AND(ISNUMBER($C30),ISNUMBER($D30),CE$1&lt;=$D30,CE$1+6&gt;=$C30),1,"")</f>
        <v/>
      </c>
      <c r="CF30" s="7" t="str">
        <f>IF(AND(ISNUMBER($C30),ISNUMBER($D30),CF$1&lt;=$D30,CF$1+6&gt;=$C30),1,"")</f>
        <v/>
      </c>
      <c r="CG30" s="7" t="str">
        <f>IF(AND(ISNUMBER($C30),ISNUMBER($D30),CG$1&lt;=$D30,CG$1+6&gt;=$C30),1,"")</f>
        <v/>
      </c>
      <c r="CH30" s="7" t="str">
        <f>IF(AND(ISNUMBER($C30),ISNUMBER($D30),CH$1&lt;=$D30,CH$1+6&gt;=$C30),1,"")</f>
        <v/>
      </c>
      <c r="CI30" s="7" t="str">
        <f>IF(AND(ISNUMBER($C30),ISNUMBER($D30),CI$1&lt;=$D30,CI$1+6&gt;=$C30),1,"")</f>
        <v/>
      </c>
      <c r="CJ30" s="7" t="str">
        <f>IF(AND(ISNUMBER($C30),ISNUMBER($D30),CJ$1&lt;=$D30,CJ$1+6&gt;=$C30),1,"")</f>
        <v/>
      </c>
      <c r="CK30" s="7" t="str">
        <f>IF(AND(ISNUMBER($C30),ISNUMBER($D30),CK$1&lt;=$D30,CK$1+6&gt;=$C30),1,"")</f>
        <v/>
      </c>
      <c r="CL30" s="7" t="str">
        <f>IF(AND(ISNUMBER($C30),ISNUMBER($D30),CL$1&lt;=$D30,CL$1+6&gt;=$C30),1,"")</f>
        <v/>
      </c>
      <c r="CM30" s="7" t="str">
        <f>IF(AND(ISNUMBER($C30),ISNUMBER($D30),CM$1&lt;=$D30,CM$1+6&gt;=$C30),1,"")</f>
        <v/>
      </c>
      <c r="CN30" s="7" t="str">
        <f>IF(AND(ISNUMBER($C30),ISNUMBER($D30),CN$1&lt;=$D30,CN$1+6&gt;=$C30),1,"")</f>
        <v/>
      </c>
      <c r="CO30" s="7" t="str">
        <f>IF(AND(ISNUMBER($C30),ISNUMBER($D30),CO$1&lt;=$D30,CO$1+6&gt;=$C30),1,"")</f>
        <v/>
      </c>
      <c r="CP30" s="7" t="str">
        <f>IF(AND(ISNUMBER($C30),ISNUMBER($D30),CP$1&lt;=$D30,CP$1+6&gt;=$C30),1,"")</f>
        <v/>
      </c>
      <c r="CQ30" s="7" t="str">
        <f>IF(AND(ISNUMBER($C30),ISNUMBER($D30),CQ$1&lt;=$D30,CQ$1+6&gt;=$C30),1,"")</f>
        <v/>
      </c>
      <c r="CR30" s="7" t="str">
        <f>IF(AND(ISNUMBER($C30),ISNUMBER($D30),CR$1&lt;=$D30,CR$1+6&gt;=$C30),1,"")</f>
        <v/>
      </c>
      <c r="CS30" s="7" t="str">
        <f>IF(AND(ISNUMBER($C30),ISNUMBER($D30),CS$1&lt;=$D30,CS$1+6&gt;=$C30),1,"")</f>
        <v/>
      </c>
      <c r="CT30" s="7" t="str">
        <f>IF(AND(ISNUMBER($C30),ISNUMBER($D30),CT$1&lt;=$D30,CT$1+6&gt;=$C30),1,"")</f>
        <v/>
      </c>
      <c r="CU30" s="7" t="str">
        <f>IF(AND(ISNUMBER($C30),ISNUMBER($D30),CU$1&lt;=$D30,CU$1+6&gt;=$C30),1,"")</f>
        <v/>
      </c>
      <c r="CV30" s="7" t="str">
        <f>IF(AND(ISNUMBER($C30),ISNUMBER($D30),CV$1&lt;=$D30,CV$1+6&gt;=$C30),1,"")</f>
        <v/>
      </c>
      <c r="CW30" s="7" t="str">
        <f>IF(AND(ISNUMBER($C30),ISNUMBER($D30),CW$1&lt;=$D30,CW$1+6&gt;=$C30),1,"")</f>
        <v/>
      </c>
      <c r="CX30" s="7" t="str">
        <f>IF(AND(ISNUMBER($C30),ISNUMBER($D30),CX$1&lt;=$D30,CX$1+6&gt;=$C30),1,"")</f>
        <v/>
      </c>
      <c r="CY30" s="7" t="str">
        <f>IF(AND(ISNUMBER($C30),ISNUMBER($D30),CY$1&lt;=$D30,CY$1+6&gt;=$C30),1,"")</f>
        <v/>
      </c>
      <c r="CZ30" s="7" t="str">
        <f>IF(AND(ISNUMBER($C30),ISNUMBER($D30),CZ$1&lt;=$D30,CZ$1+6&gt;=$C30),1,"")</f>
        <v/>
      </c>
      <c r="DA30" s="7" t="str">
        <f>IF(AND(ISNUMBER($C30),ISNUMBER($D30),DA$1&lt;=$D30,DA$1+6&gt;=$C30),1,"")</f>
        <v/>
      </c>
      <c r="DB30" s="7" t="str">
        <f>IF(AND(ISNUMBER($C30),ISNUMBER($D30),DB$1&lt;=$D30,DB$1+6&gt;=$C30),1,"")</f>
        <v/>
      </c>
      <c r="DC30" s="7" t="str">
        <f>IF(AND(ISNUMBER($C30),ISNUMBER($D30),DC$1&lt;=$D30,DC$1+6&gt;=$C30),1,"")</f>
        <v/>
      </c>
      <c r="DD30" s="7" t="str">
        <f>IF(AND(ISNUMBER($C30),ISNUMBER($D30),DD$1&lt;=$D30,DD$1+6&gt;=$C30),1,"")</f>
        <v/>
      </c>
    </row>
    <row r="31" spans="1:108" x14ac:dyDescent="0.35">
      <c r="A31" s="6" t="str">
        <f>Schedule!B31</f>
        <v>ML and mathematical coding practice</v>
      </c>
      <c r="B31" s="6" t="str">
        <f>Schedule!C31</f>
        <v>Practice</v>
      </c>
      <c r="C31" s="4">
        <f>IF(Schedule!P31="","",Schedule!P31)</f>
        <v>46634</v>
      </c>
      <c r="D31" s="4">
        <f>IF(Schedule!Q31="","",Schedule!Q31)</f>
        <v>46706</v>
      </c>
      <c r="E31" s="7" t="str">
        <f>IF(AND(ISNUMBER($C31),ISNUMBER($D31),E$1&lt;=$D31,E$1+6&gt;=$C31),1,"")</f>
        <v/>
      </c>
      <c r="F31" s="7" t="str">
        <f>IF(AND(ISNUMBER($C31),ISNUMBER($D31),F$1&lt;=$D31,F$1+6&gt;=$C31),1,"")</f>
        <v/>
      </c>
      <c r="G31" s="7" t="str">
        <f>IF(AND(ISNUMBER($C31),ISNUMBER($D31),G$1&lt;=$D31,G$1+6&gt;=$C31),1,"")</f>
        <v/>
      </c>
      <c r="H31" s="7" t="str">
        <f>IF(AND(ISNUMBER($C31),ISNUMBER($D31),H$1&lt;=$D31,H$1+6&gt;=$C31),1,"")</f>
        <v/>
      </c>
      <c r="I31" s="7" t="str">
        <f>IF(AND(ISNUMBER($C31),ISNUMBER($D31),I$1&lt;=$D31,I$1+6&gt;=$C31),1,"")</f>
        <v/>
      </c>
      <c r="J31" s="7" t="str">
        <f>IF(AND(ISNUMBER($C31),ISNUMBER($D31),J$1&lt;=$D31,J$1+6&gt;=$C31),1,"")</f>
        <v/>
      </c>
      <c r="K31" s="7" t="str">
        <f>IF(AND(ISNUMBER($C31),ISNUMBER($D31),K$1&lt;=$D31,K$1+6&gt;=$C31),1,"")</f>
        <v/>
      </c>
      <c r="L31" s="7" t="str">
        <f>IF(AND(ISNUMBER($C31),ISNUMBER($D31),L$1&lt;=$D31,L$1+6&gt;=$C31),1,"")</f>
        <v/>
      </c>
      <c r="M31" s="7" t="str">
        <f>IF(AND(ISNUMBER($C31),ISNUMBER($D31),M$1&lt;=$D31,M$1+6&gt;=$C31),1,"")</f>
        <v/>
      </c>
      <c r="N31" s="7" t="str">
        <f>IF(AND(ISNUMBER($C31),ISNUMBER($D31),N$1&lt;=$D31,N$1+6&gt;=$C31),1,"")</f>
        <v/>
      </c>
      <c r="O31" s="7" t="str">
        <f>IF(AND(ISNUMBER($C31),ISNUMBER($D31),O$1&lt;=$D31,O$1+6&gt;=$C31),1,"")</f>
        <v/>
      </c>
      <c r="P31" s="7" t="str">
        <f>IF(AND(ISNUMBER($C31),ISNUMBER($D31),P$1&lt;=$D31,P$1+6&gt;=$C31),1,"")</f>
        <v/>
      </c>
      <c r="Q31" s="7" t="str">
        <f>IF(AND(ISNUMBER($C31),ISNUMBER($D31),Q$1&lt;=$D31,Q$1+6&gt;=$C31),1,"")</f>
        <v/>
      </c>
      <c r="R31" s="7" t="str">
        <f>IF(AND(ISNUMBER($C31),ISNUMBER($D31),R$1&lt;=$D31,R$1+6&gt;=$C31),1,"")</f>
        <v/>
      </c>
      <c r="S31" s="7" t="str">
        <f>IF(AND(ISNUMBER($C31),ISNUMBER($D31),S$1&lt;=$D31,S$1+6&gt;=$C31),1,"")</f>
        <v/>
      </c>
      <c r="T31" s="7" t="str">
        <f>IF(AND(ISNUMBER($C31),ISNUMBER($D31),T$1&lt;=$D31,T$1+6&gt;=$C31),1,"")</f>
        <v/>
      </c>
      <c r="U31" s="7" t="str">
        <f>IF(AND(ISNUMBER($C31),ISNUMBER($D31),U$1&lt;=$D31,U$1+6&gt;=$C31),1,"")</f>
        <v/>
      </c>
      <c r="V31" s="7" t="str">
        <f>IF(AND(ISNUMBER($C31),ISNUMBER($D31),V$1&lt;=$D31,V$1+6&gt;=$C31),1,"")</f>
        <v/>
      </c>
      <c r="W31" s="7" t="str">
        <f>IF(AND(ISNUMBER($C31),ISNUMBER($D31),W$1&lt;=$D31,W$1+6&gt;=$C31),1,"")</f>
        <v/>
      </c>
      <c r="X31" s="7" t="str">
        <f>IF(AND(ISNUMBER($C31),ISNUMBER($D31),X$1&lt;=$D31,X$1+6&gt;=$C31),1,"")</f>
        <v/>
      </c>
      <c r="Y31" s="7" t="str">
        <f>IF(AND(ISNUMBER($C31),ISNUMBER($D31),Y$1&lt;=$D31,Y$1+6&gt;=$C31),1,"")</f>
        <v/>
      </c>
      <c r="Z31" s="7" t="str">
        <f>IF(AND(ISNUMBER($C31),ISNUMBER($D31),Z$1&lt;=$D31,Z$1+6&gt;=$C31),1,"")</f>
        <v/>
      </c>
      <c r="AA31" s="7" t="str">
        <f>IF(AND(ISNUMBER($C31),ISNUMBER($D31),AA$1&lt;=$D31,AA$1+6&gt;=$C31),1,"")</f>
        <v/>
      </c>
      <c r="AB31" s="7" t="str">
        <f>IF(AND(ISNUMBER($C31),ISNUMBER($D31),AB$1&lt;=$D31,AB$1+6&gt;=$C31),1,"")</f>
        <v/>
      </c>
      <c r="AC31" s="7" t="str">
        <f>IF(AND(ISNUMBER($C31),ISNUMBER($D31),AC$1&lt;=$D31,AC$1+6&gt;=$C31),1,"")</f>
        <v/>
      </c>
      <c r="AD31" s="7" t="str">
        <f>IF(AND(ISNUMBER($C31),ISNUMBER($D31),AD$1&lt;=$D31,AD$1+6&gt;=$C31),1,"")</f>
        <v/>
      </c>
      <c r="AE31" s="7" t="str">
        <f>IF(AND(ISNUMBER($C31),ISNUMBER($D31),AE$1&lt;=$D31,AE$1+6&gt;=$C31),1,"")</f>
        <v/>
      </c>
      <c r="AF31" s="7" t="str">
        <f>IF(AND(ISNUMBER($C31),ISNUMBER($D31),AF$1&lt;=$D31,AF$1+6&gt;=$C31),1,"")</f>
        <v/>
      </c>
      <c r="AG31" s="7" t="str">
        <f>IF(AND(ISNUMBER($C31),ISNUMBER($D31),AG$1&lt;=$D31,AG$1+6&gt;=$C31),1,"")</f>
        <v/>
      </c>
      <c r="AH31" s="7" t="str">
        <f>IF(AND(ISNUMBER($C31),ISNUMBER($D31),AH$1&lt;=$D31,AH$1+6&gt;=$C31),1,"")</f>
        <v/>
      </c>
      <c r="AI31" s="7" t="str">
        <f>IF(AND(ISNUMBER($C31),ISNUMBER($D31),AI$1&lt;=$D31,AI$1+6&gt;=$C31),1,"")</f>
        <v/>
      </c>
      <c r="AJ31" s="7" t="str">
        <f>IF(AND(ISNUMBER($C31),ISNUMBER($D31),AJ$1&lt;=$D31,AJ$1+6&gt;=$C31),1,"")</f>
        <v/>
      </c>
      <c r="AK31" s="7" t="str">
        <f>IF(AND(ISNUMBER($C31),ISNUMBER($D31),AK$1&lt;=$D31,AK$1+6&gt;=$C31),1,"")</f>
        <v/>
      </c>
      <c r="AL31" s="7" t="str">
        <f>IF(AND(ISNUMBER($C31),ISNUMBER($D31),AL$1&lt;=$D31,AL$1+6&gt;=$C31),1,"")</f>
        <v/>
      </c>
      <c r="AM31" s="7" t="str">
        <f>IF(AND(ISNUMBER($C31),ISNUMBER($D31),AM$1&lt;=$D31,AM$1+6&gt;=$C31),1,"")</f>
        <v/>
      </c>
      <c r="AN31" s="7" t="str">
        <f>IF(AND(ISNUMBER($C31),ISNUMBER($D31),AN$1&lt;=$D31,AN$1+6&gt;=$C31),1,"")</f>
        <v/>
      </c>
      <c r="AO31" s="7" t="str">
        <f>IF(AND(ISNUMBER($C31),ISNUMBER($D31),AO$1&lt;=$D31,AO$1+6&gt;=$C31),1,"")</f>
        <v/>
      </c>
      <c r="AP31" s="7" t="str">
        <f>IF(AND(ISNUMBER($C31),ISNUMBER($D31),AP$1&lt;=$D31,AP$1+6&gt;=$C31),1,"")</f>
        <v/>
      </c>
      <c r="AQ31" s="7" t="str">
        <f>IF(AND(ISNUMBER($C31),ISNUMBER($D31),AQ$1&lt;=$D31,AQ$1+6&gt;=$C31),1,"")</f>
        <v/>
      </c>
      <c r="AR31" s="7" t="str">
        <f>IF(AND(ISNUMBER($C31),ISNUMBER($D31),AR$1&lt;=$D31,AR$1+6&gt;=$C31),1,"")</f>
        <v/>
      </c>
      <c r="AS31" s="7" t="str">
        <f>IF(AND(ISNUMBER($C31),ISNUMBER($D31),AS$1&lt;=$D31,AS$1+6&gt;=$C31),1,"")</f>
        <v/>
      </c>
      <c r="AT31" s="7" t="str">
        <f>IF(AND(ISNUMBER($C31),ISNUMBER($D31),AT$1&lt;=$D31,AT$1+6&gt;=$C31),1,"")</f>
        <v/>
      </c>
      <c r="AU31" s="7" t="str">
        <f>IF(AND(ISNUMBER($C31),ISNUMBER($D31),AU$1&lt;=$D31,AU$1+6&gt;=$C31),1,"")</f>
        <v/>
      </c>
      <c r="AV31" s="7" t="str">
        <f>IF(AND(ISNUMBER($C31),ISNUMBER($D31),AV$1&lt;=$D31,AV$1+6&gt;=$C31),1,"")</f>
        <v/>
      </c>
      <c r="AW31" s="7" t="str">
        <f>IF(AND(ISNUMBER($C31),ISNUMBER($D31),AW$1&lt;=$D31,AW$1+6&gt;=$C31),1,"")</f>
        <v/>
      </c>
      <c r="AX31" s="7">
        <f>IF(AND(ISNUMBER($C31),ISNUMBER($D31),AX$1&lt;=$D31,AX$1+6&gt;=$C31),1,"")</f>
        <v>1</v>
      </c>
      <c r="AY31" s="7">
        <f>IF(AND(ISNUMBER($C31),ISNUMBER($D31),AY$1&lt;=$D31,AY$1+6&gt;=$C31),1,"")</f>
        <v>1</v>
      </c>
      <c r="AZ31" s="7">
        <f>IF(AND(ISNUMBER($C31),ISNUMBER($D31),AZ$1&lt;=$D31,AZ$1+6&gt;=$C31),1,"")</f>
        <v>1</v>
      </c>
      <c r="BA31" s="7">
        <f>IF(AND(ISNUMBER($C31),ISNUMBER($D31),BA$1&lt;=$D31,BA$1+6&gt;=$C31),1,"")</f>
        <v>1</v>
      </c>
      <c r="BB31" s="7">
        <f>IF(AND(ISNUMBER($C31),ISNUMBER($D31),BB$1&lt;=$D31,BB$1+6&gt;=$C31),1,"")</f>
        <v>1</v>
      </c>
      <c r="BC31" s="7">
        <f>IF(AND(ISNUMBER($C31),ISNUMBER($D31),BC$1&lt;=$D31,BC$1+6&gt;=$C31),1,"")</f>
        <v>1</v>
      </c>
      <c r="BD31" s="7">
        <f>IF(AND(ISNUMBER($C31),ISNUMBER($D31),BD$1&lt;=$D31,BD$1+6&gt;=$C31),1,"")</f>
        <v>1</v>
      </c>
      <c r="BE31" s="7">
        <f>IF(AND(ISNUMBER($C31),ISNUMBER($D31),BE$1&lt;=$D31,BE$1+6&gt;=$C31),1,"")</f>
        <v>1</v>
      </c>
      <c r="BF31" s="7">
        <f>IF(AND(ISNUMBER($C31),ISNUMBER($D31),BF$1&lt;=$D31,BF$1+6&gt;=$C31),1,"")</f>
        <v>1</v>
      </c>
      <c r="BG31" s="7">
        <f>IF(AND(ISNUMBER($C31),ISNUMBER($D31),BG$1&lt;=$D31,BG$1+6&gt;=$C31),1,"")</f>
        <v>1</v>
      </c>
      <c r="BH31" s="7">
        <f>IF(AND(ISNUMBER($C31),ISNUMBER($D31),BH$1&lt;=$D31,BH$1+6&gt;=$C31),1,"")</f>
        <v>1</v>
      </c>
      <c r="BI31" s="7" t="str">
        <f>IF(AND(ISNUMBER($C31),ISNUMBER($D31),BI$1&lt;=$D31,BI$1+6&gt;=$C31),1,"")</f>
        <v/>
      </c>
      <c r="BJ31" s="7" t="str">
        <f>IF(AND(ISNUMBER($C31),ISNUMBER($D31),BJ$1&lt;=$D31,BJ$1+6&gt;=$C31),1,"")</f>
        <v/>
      </c>
      <c r="BK31" s="7" t="str">
        <f>IF(AND(ISNUMBER($C31),ISNUMBER($D31),BK$1&lt;=$D31,BK$1+6&gt;=$C31),1,"")</f>
        <v/>
      </c>
      <c r="BL31" s="7" t="str">
        <f>IF(AND(ISNUMBER($C31),ISNUMBER($D31),BL$1&lt;=$D31,BL$1+6&gt;=$C31),1,"")</f>
        <v/>
      </c>
      <c r="BM31" s="7" t="str">
        <f>IF(AND(ISNUMBER($C31),ISNUMBER($D31),BM$1&lt;=$D31,BM$1+6&gt;=$C31),1,"")</f>
        <v/>
      </c>
      <c r="BN31" s="7" t="str">
        <f>IF(AND(ISNUMBER($C31),ISNUMBER($D31),BN$1&lt;=$D31,BN$1+6&gt;=$C31),1,"")</f>
        <v/>
      </c>
      <c r="BO31" s="7" t="str">
        <f>IF(AND(ISNUMBER($C31),ISNUMBER($D31),BO$1&lt;=$D31,BO$1+6&gt;=$C31),1,"")</f>
        <v/>
      </c>
      <c r="BP31" s="7" t="str">
        <f>IF(AND(ISNUMBER($C31),ISNUMBER($D31),BP$1&lt;=$D31,BP$1+6&gt;=$C31),1,"")</f>
        <v/>
      </c>
      <c r="BQ31" s="7" t="str">
        <f>IF(AND(ISNUMBER($C31),ISNUMBER($D31),BQ$1&lt;=$D31,BQ$1+6&gt;=$C31),1,"")</f>
        <v/>
      </c>
      <c r="BR31" s="7" t="str">
        <f>IF(AND(ISNUMBER($C31),ISNUMBER($D31),BR$1&lt;=$D31,BR$1+6&gt;=$C31),1,"")</f>
        <v/>
      </c>
      <c r="BS31" s="7" t="str">
        <f>IF(AND(ISNUMBER($C31),ISNUMBER($D31),BS$1&lt;=$D31,BS$1+6&gt;=$C31),1,"")</f>
        <v/>
      </c>
      <c r="BT31" s="7" t="str">
        <f>IF(AND(ISNUMBER($C31),ISNUMBER($D31),BT$1&lt;=$D31,BT$1+6&gt;=$C31),1,"")</f>
        <v/>
      </c>
      <c r="BU31" s="7" t="str">
        <f>IF(AND(ISNUMBER($C31),ISNUMBER($D31),BU$1&lt;=$D31,BU$1+6&gt;=$C31),1,"")</f>
        <v/>
      </c>
      <c r="BV31" s="7" t="str">
        <f>IF(AND(ISNUMBER($C31),ISNUMBER($D31),BV$1&lt;=$D31,BV$1+6&gt;=$C31),1,"")</f>
        <v/>
      </c>
      <c r="BW31" s="7" t="str">
        <f>IF(AND(ISNUMBER($C31),ISNUMBER($D31),BW$1&lt;=$D31,BW$1+6&gt;=$C31),1,"")</f>
        <v/>
      </c>
      <c r="BX31" s="7" t="str">
        <f>IF(AND(ISNUMBER($C31),ISNUMBER($D31),BX$1&lt;=$D31,BX$1+6&gt;=$C31),1,"")</f>
        <v/>
      </c>
      <c r="BY31" s="7" t="str">
        <f>IF(AND(ISNUMBER($C31),ISNUMBER($D31),BY$1&lt;=$D31,BY$1+6&gt;=$C31),1,"")</f>
        <v/>
      </c>
      <c r="BZ31" s="7" t="str">
        <f>IF(AND(ISNUMBER($C31),ISNUMBER($D31),BZ$1&lt;=$D31,BZ$1+6&gt;=$C31),1,"")</f>
        <v/>
      </c>
      <c r="CA31" s="7" t="str">
        <f>IF(AND(ISNUMBER($C31),ISNUMBER($D31),CA$1&lt;=$D31,CA$1+6&gt;=$C31),1,"")</f>
        <v/>
      </c>
      <c r="CB31" s="7" t="str">
        <f>IF(AND(ISNUMBER($C31),ISNUMBER($D31),CB$1&lt;=$D31,CB$1+6&gt;=$C31),1,"")</f>
        <v/>
      </c>
      <c r="CC31" s="7" t="str">
        <f>IF(AND(ISNUMBER($C31),ISNUMBER($D31),CC$1&lt;=$D31,CC$1+6&gt;=$C31),1,"")</f>
        <v/>
      </c>
      <c r="CD31" s="7" t="str">
        <f>IF(AND(ISNUMBER($C31),ISNUMBER($D31),CD$1&lt;=$D31,CD$1+6&gt;=$C31),1,"")</f>
        <v/>
      </c>
      <c r="CE31" s="7" t="str">
        <f>IF(AND(ISNUMBER($C31),ISNUMBER($D31),CE$1&lt;=$D31,CE$1+6&gt;=$C31),1,"")</f>
        <v/>
      </c>
      <c r="CF31" s="7" t="str">
        <f>IF(AND(ISNUMBER($C31),ISNUMBER($D31),CF$1&lt;=$D31,CF$1+6&gt;=$C31),1,"")</f>
        <v/>
      </c>
      <c r="CG31" s="7" t="str">
        <f>IF(AND(ISNUMBER($C31),ISNUMBER($D31),CG$1&lt;=$D31,CG$1+6&gt;=$C31),1,"")</f>
        <v/>
      </c>
      <c r="CH31" s="7" t="str">
        <f>IF(AND(ISNUMBER($C31),ISNUMBER($D31),CH$1&lt;=$D31,CH$1+6&gt;=$C31),1,"")</f>
        <v/>
      </c>
      <c r="CI31" s="7" t="str">
        <f>IF(AND(ISNUMBER($C31),ISNUMBER($D31),CI$1&lt;=$D31,CI$1+6&gt;=$C31),1,"")</f>
        <v/>
      </c>
      <c r="CJ31" s="7" t="str">
        <f>IF(AND(ISNUMBER($C31),ISNUMBER($D31),CJ$1&lt;=$D31,CJ$1+6&gt;=$C31),1,"")</f>
        <v/>
      </c>
      <c r="CK31" s="7" t="str">
        <f>IF(AND(ISNUMBER($C31),ISNUMBER($D31),CK$1&lt;=$D31,CK$1+6&gt;=$C31),1,"")</f>
        <v/>
      </c>
      <c r="CL31" s="7" t="str">
        <f>IF(AND(ISNUMBER($C31),ISNUMBER($D31),CL$1&lt;=$D31,CL$1+6&gt;=$C31),1,"")</f>
        <v/>
      </c>
      <c r="CM31" s="7" t="str">
        <f>IF(AND(ISNUMBER($C31),ISNUMBER($D31),CM$1&lt;=$D31,CM$1+6&gt;=$C31),1,"")</f>
        <v/>
      </c>
      <c r="CN31" s="7" t="str">
        <f>IF(AND(ISNUMBER($C31),ISNUMBER($D31),CN$1&lt;=$D31,CN$1+6&gt;=$C31),1,"")</f>
        <v/>
      </c>
      <c r="CO31" s="7" t="str">
        <f>IF(AND(ISNUMBER($C31),ISNUMBER($D31),CO$1&lt;=$D31,CO$1+6&gt;=$C31),1,"")</f>
        <v/>
      </c>
      <c r="CP31" s="7" t="str">
        <f>IF(AND(ISNUMBER($C31),ISNUMBER($D31),CP$1&lt;=$D31,CP$1+6&gt;=$C31),1,"")</f>
        <v/>
      </c>
      <c r="CQ31" s="7" t="str">
        <f>IF(AND(ISNUMBER($C31),ISNUMBER($D31),CQ$1&lt;=$D31,CQ$1+6&gt;=$C31),1,"")</f>
        <v/>
      </c>
      <c r="CR31" s="7" t="str">
        <f>IF(AND(ISNUMBER($C31),ISNUMBER($D31),CR$1&lt;=$D31,CR$1+6&gt;=$C31),1,"")</f>
        <v/>
      </c>
      <c r="CS31" s="7" t="str">
        <f>IF(AND(ISNUMBER($C31),ISNUMBER($D31),CS$1&lt;=$D31,CS$1+6&gt;=$C31),1,"")</f>
        <v/>
      </c>
      <c r="CT31" s="7" t="str">
        <f>IF(AND(ISNUMBER($C31),ISNUMBER($D31),CT$1&lt;=$D31,CT$1+6&gt;=$C31),1,"")</f>
        <v/>
      </c>
      <c r="CU31" s="7" t="str">
        <f>IF(AND(ISNUMBER($C31),ISNUMBER($D31),CU$1&lt;=$D31,CU$1+6&gt;=$C31),1,"")</f>
        <v/>
      </c>
      <c r="CV31" s="7" t="str">
        <f>IF(AND(ISNUMBER($C31),ISNUMBER($D31),CV$1&lt;=$D31,CV$1+6&gt;=$C31),1,"")</f>
        <v/>
      </c>
      <c r="CW31" s="7" t="str">
        <f>IF(AND(ISNUMBER($C31),ISNUMBER($D31),CW$1&lt;=$D31,CW$1+6&gt;=$C31),1,"")</f>
        <v/>
      </c>
      <c r="CX31" s="7" t="str">
        <f>IF(AND(ISNUMBER($C31),ISNUMBER($D31),CX$1&lt;=$D31,CX$1+6&gt;=$C31),1,"")</f>
        <v/>
      </c>
      <c r="CY31" s="7" t="str">
        <f>IF(AND(ISNUMBER($C31),ISNUMBER($D31),CY$1&lt;=$D31,CY$1+6&gt;=$C31),1,"")</f>
        <v/>
      </c>
      <c r="CZ31" s="7" t="str">
        <f>IF(AND(ISNUMBER($C31),ISNUMBER($D31),CZ$1&lt;=$D31,CZ$1+6&gt;=$C31),1,"")</f>
        <v/>
      </c>
      <c r="DA31" s="7" t="str">
        <f>IF(AND(ISNUMBER($C31),ISNUMBER($D31),DA$1&lt;=$D31,DA$1+6&gt;=$C31),1,"")</f>
        <v/>
      </c>
      <c r="DB31" s="7" t="str">
        <f>IF(AND(ISNUMBER($C31),ISNUMBER($D31),DB$1&lt;=$D31,DB$1+6&gt;=$C31),1,"")</f>
        <v/>
      </c>
      <c r="DC31" s="7" t="str">
        <f>IF(AND(ISNUMBER($C31),ISNUMBER($D31),DC$1&lt;=$D31,DC$1+6&gt;=$C31),1,"")</f>
        <v/>
      </c>
      <c r="DD31" s="7" t="str">
        <f>IF(AND(ISNUMBER($C31),ISNUMBER($D31),DD$1&lt;=$D31,DD$1+6&gt;=$C31),1,"")</f>
        <v/>
      </c>
    </row>
    <row r="32" spans="1:108" x14ac:dyDescent="0.35">
      <c r="A32" s="6" t="str">
        <f>Schedule!B32</f>
        <v>Timed DSA and system-design explanation</v>
      </c>
      <c r="B32" s="6" t="str">
        <f>Schedule!C32</f>
        <v>Practice</v>
      </c>
      <c r="C32" s="4">
        <f>IF(Schedule!P32="","",Schedule!P32)</f>
        <v>46706</v>
      </c>
      <c r="D32" s="4">
        <f>IF(Schedule!Q32="","",Schedule!Q32)</f>
        <v>46766</v>
      </c>
      <c r="E32" s="7" t="str">
        <f>IF(AND(ISNUMBER($C32),ISNUMBER($D32),E$1&lt;=$D32,E$1+6&gt;=$C32),1,"")</f>
        <v/>
      </c>
      <c r="F32" s="7" t="str">
        <f>IF(AND(ISNUMBER($C32),ISNUMBER($D32),F$1&lt;=$D32,F$1+6&gt;=$C32),1,"")</f>
        <v/>
      </c>
      <c r="G32" s="7" t="str">
        <f>IF(AND(ISNUMBER($C32),ISNUMBER($D32),G$1&lt;=$D32,G$1+6&gt;=$C32),1,"")</f>
        <v/>
      </c>
      <c r="H32" s="7" t="str">
        <f>IF(AND(ISNUMBER($C32),ISNUMBER($D32),H$1&lt;=$D32,H$1+6&gt;=$C32),1,"")</f>
        <v/>
      </c>
      <c r="I32" s="7" t="str">
        <f>IF(AND(ISNUMBER($C32),ISNUMBER($D32),I$1&lt;=$D32,I$1+6&gt;=$C32),1,"")</f>
        <v/>
      </c>
      <c r="J32" s="7" t="str">
        <f>IF(AND(ISNUMBER($C32),ISNUMBER($D32),J$1&lt;=$D32,J$1+6&gt;=$C32),1,"")</f>
        <v/>
      </c>
      <c r="K32" s="7" t="str">
        <f>IF(AND(ISNUMBER($C32),ISNUMBER($D32),K$1&lt;=$D32,K$1+6&gt;=$C32),1,"")</f>
        <v/>
      </c>
      <c r="L32" s="7" t="str">
        <f>IF(AND(ISNUMBER($C32),ISNUMBER($D32),L$1&lt;=$D32,L$1+6&gt;=$C32),1,"")</f>
        <v/>
      </c>
      <c r="M32" s="7" t="str">
        <f>IF(AND(ISNUMBER($C32),ISNUMBER($D32),M$1&lt;=$D32,M$1+6&gt;=$C32),1,"")</f>
        <v/>
      </c>
      <c r="N32" s="7" t="str">
        <f>IF(AND(ISNUMBER($C32),ISNUMBER($D32),N$1&lt;=$D32,N$1+6&gt;=$C32),1,"")</f>
        <v/>
      </c>
      <c r="O32" s="7" t="str">
        <f>IF(AND(ISNUMBER($C32),ISNUMBER($D32),O$1&lt;=$D32,O$1+6&gt;=$C32),1,"")</f>
        <v/>
      </c>
      <c r="P32" s="7" t="str">
        <f>IF(AND(ISNUMBER($C32),ISNUMBER($D32),P$1&lt;=$D32,P$1+6&gt;=$C32),1,"")</f>
        <v/>
      </c>
      <c r="Q32" s="7" t="str">
        <f>IF(AND(ISNUMBER($C32),ISNUMBER($D32),Q$1&lt;=$D32,Q$1+6&gt;=$C32),1,"")</f>
        <v/>
      </c>
      <c r="R32" s="7" t="str">
        <f>IF(AND(ISNUMBER($C32),ISNUMBER($D32),R$1&lt;=$D32,R$1+6&gt;=$C32),1,"")</f>
        <v/>
      </c>
      <c r="S32" s="7" t="str">
        <f>IF(AND(ISNUMBER($C32),ISNUMBER($D32),S$1&lt;=$D32,S$1+6&gt;=$C32),1,"")</f>
        <v/>
      </c>
      <c r="T32" s="7" t="str">
        <f>IF(AND(ISNUMBER($C32),ISNUMBER($D32),T$1&lt;=$D32,T$1+6&gt;=$C32),1,"")</f>
        <v/>
      </c>
      <c r="U32" s="7" t="str">
        <f>IF(AND(ISNUMBER($C32),ISNUMBER($D32),U$1&lt;=$D32,U$1+6&gt;=$C32),1,"")</f>
        <v/>
      </c>
      <c r="V32" s="7" t="str">
        <f>IF(AND(ISNUMBER($C32),ISNUMBER($D32),V$1&lt;=$D32,V$1+6&gt;=$C32),1,"")</f>
        <v/>
      </c>
      <c r="W32" s="7" t="str">
        <f>IF(AND(ISNUMBER($C32),ISNUMBER($D32),W$1&lt;=$D32,W$1+6&gt;=$C32),1,"")</f>
        <v/>
      </c>
      <c r="X32" s="7" t="str">
        <f>IF(AND(ISNUMBER($C32),ISNUMBER($D32),X$1&lt;=$D32,X$1+6&gt;=$C32),1,"")</f>
        <v/>
      </c>
      <c r="Y32" s="7" t="str">
        <f>IF(AND(ISNUMBER($C32),ISNUMBER($D32),Y$1&lt;=$D32,Y$1+6&gt;=$C32),1,"")</f>
        <v/>
      </c>
      <c r="Z32" s="7" t="str">
        <f>IF(AND(ISNUMBER($C32),ISNUMBER($D32),Z$1&lt;=$D32,Z$1+6&gt;=$C32),1,"")</f>
        <v/>
      </c>
      <c r="AA32" s="7" t="str">
        <f>IF(AND(ISNUMBER($C32),ISNUMBER($D32),AA$1&lt;=$D32,AA$1+6&gt;=$C32),1,"")</f>
        <v/>
      </c>
      <c r="AB32" s="7" t="str">
        <f>IF(AND(ISNUMBER($C32),ISNUMBER($D32),AB$1&lt;=$D32,AB$1+6&gt;=$C32),1,"")</f>
        <v/>
      </c>
      <c r="AC32" s="7" t="str">
        <f>IF(AND(ISNUMBER($C32),ISNUMBER($D32),AC$1&lt;=$D32,AC$1+6&gt;=$C32),1,"")</f>
        <v/>
      </c>
      <c r="AD32" s="7" t="str">
        <f>IF(AND(ISNUMBER($C32),ISNUMBER($D32),AD$1&lt;=$D32,AD$1+6&gt;=$C32),1,"")</f>
        <v/>
      </c>
      <c r="AE32" s="7" t="str">
        <f>IF(AND(ISNUMBER($C32),ISNUMBER($D32),AE$1&lt;=$D32,AE$1+6&gt;=$C32),1,"")</f>
        <v/>
      </c>
      <c r="AF32" s="7" t="str">
        <f>IF(AND(ISNUMBER($C32),ISNUMBER($D32),AF$1&lt;=$D32,AF$1+6&gt;=$C32),1,"")</f>
        <v/>
      </c>
      <c r="AG32" s="7" t="str">
        <f>IF(AND(ISNUMBER($C32),ISNUMBER($D32),AG$1&lt;=$D32,AG$1+6&gt;=$C32),1,"")</f>
        <v/>
      </c>
      <c r="AH32" s="7" t="str">
        <f>IF(AND(ISNUMBER($C32),ISNUMBER($D32),AH$1&lt;=$D32,AH$1+6&gt;=$C32),1,"")</f>
        <v/>
      </c>
      <c r="AI32" s="7" t="str">
        <f>IF(AND(ISNUMBER($C32),ISNUMBER($D32),AI$1&lt;=$D32,AI$1+6&gt;=$C32),1,"")</f>
        <v/>
      </c>
      <c r="AJ32" s="7" t="str">
        <f>IF(AND(ISNUMBER($C32),ISNUMBER($D32),AJ$1&lt;=$D32,AJ$1+6&gt;=$C32),1,"")</f>
        <v/>
      </c>
      <c r="AK32" s="7" t="str">
        <f>IF(AND(ISNUMBER($C32),ISNUMBER($D32),AK$1&lt;=$D32,AK$1+6&gt;=$C32),1,"")</f>
        <v/>
      </c>
      <c r="AL32" s="7" t="str">
        <f>IF(AND(ISNUMBER($C32),ISNUMBER($D32),AL$1&lt;=$D32,AL$1+6&gt;=$C32),1,"")</f>
        <v/>
      </c>
      <c r="AM32" s="7" t="str">
        <f>IF(AND(ISNUMBER($C32),ISNUMBER($D32),AM$1&lt;=$D32,AM$1+6&gt;=$C32),1,"")</f>
        <v/>
      </c>
      <c r="AN32" s="7" t="str">
        <f>IF(AND(ISNUMBER($C32),ISNUMBER($D32),AN$1&lt;=$D32,AN$1+6&gt;=$C32),1,"")</f>
        <v/>
      </c>
      <c r="AO32" s="7" t="str">
        <f>IF(AND(ISNUMBER($C32),ISNUMBER($D32),AO$1&lt;=$D32,AO$1+6&gt;=$C32),1,"")</f>
        <v/>
      </c>
      <c r="AP32" s="7" t="str">
        <f>IF(AND(ISNUMBER($C32),ISNUMBER($D32),AP$1&lt;=$D32,AP$1+6&gt;=$C32),1,"")</f>
        <v/>
      </c>
      <c r="AQ32" s="7" t="str">
        <f>IF(AND(ISNUMBER($C32),ISNUMBER($D32),AQ$1&lt;=$D32,AQ$1+6&gt;=$C32),1,"")</f>
        <v/>
      </c>
      <c r="AR32" s="7" t="str">
        <f>IF(AND(ISNUMBER($C32),ISNUMBER($D32),AR$1&lt;=$D32,AR$1+6&gt;=$C32),1,"")</f>
        <v/>
      </c>
      <c r="AS32" s="7" t="str">
        <f>IF(AND(ISNUMBER($C32),ISNUMBER($D32),AS$1&lt;=$D32,AS$1+6&gt;=$C32),1,"")</f>
        <v/>
      </c>
      <c r="AT32" s="7" t="str">
        <f>IF(AND(ISNUMBER($C32),ISNUMBER($D32),AT$1&lt;=$D32,AT$1+6&gt;=$C32),1,"")</f>
        <v/>
      </c>
      <c r="AU32" s="7" t="str">
        <f>IF(AND(ISNUMBER($C32),ISNUMBER($D32),AU$1&lt;=$D32,AU$1+6&gt;=$C32),1,"")</f>
        <v/>
      </c>
      <c r="AV32" s="7" t="str">
        <f>IF(AND(ISNUMBER($C32),ISNUMBER($D32),AV$1&lt;=$D32,AV$1+6&gt;=$C32),1,"")</f>
        <v/>
      </c>
      <c r="AW32" s="7" t="str">
        <f>IF(AND(ISNUMBER($C32),ISNUMBER($D32),AW$1&lt;=$D32,AW$1+6&gt;=$C32),1,"")</f>
        <v/>
      </c>
      <c r="AX32" s="7" t="str">
        <f>IF(AND(ISNUMBER($C32),ISNUMBER($D32),AX$1&lt;=$D32,AX$1+6&gt;=$C32),1,"")</f>
        <v/>
      </c>
      <c r="AY32" s="7" t="str">
        <f>IF(AND(ISNUMBER($C32),ISNUMBER($D32),AY$1&lt;=$D32,AY$1+6&gt;=$C32),1,"")</f>
        <v/>
      </c>
      <c r="AZ32" s="7" t="str">
        <f>IF(AND(ISNUMBER($C32),ISNUMBER($D32),AZ$1&lt;=$D32,AZ$1+6&gt;=$C32),1,"")</f>
        <v/>
      </c>
      <c r="BA32" s="7" t="str">
        <f>IF(AND(ISNUMBER($C32),ISNUMBER($D32),BA$1&lt;=$D32,BA$1+6&gt;=$C32),1,"")</f>
        <v/>
      </c>
      <c r="BB32" s="7" t="str">
        <f>IF(AND(ISNUMBER($C32),ISNUMBER($D32),BB$1&lt;=$D32,BB$1+6&gt;=$C32),1,"")</f>
        <v/>
      </c>
      <c r="BC32" s="7" t="str">
        <f>IF(AND(ISNUMBER($C32),ISNUMBER($D32),BC$1&lt;=$D32,BC$1+6&gt;=$C32),1,"")</f>
        <v/>
      </c>
      <c r="BD32" s="7" t="str">
        <f>IF(AND(ISNUMBER($C32),ISNUMBER($D32),BD$1&lt;=$D32,BD$1+6&gt;=$C32),1,"")</f>
        <v/>
      </c>
      <c r="BE32" s="7" t="str">
        <f>IF(AND(ISNUMBER($C32),ISNUMBER($D32),BE$1&lt;=$D32,BE$1+6&gt;=$C32),1,"")</f>
        <v/>
      </c>
      <c r="BF32" s="7" t="str">
        <f>IF(AND(ISNUMBER($C32),ISNUMBER($D32),BF$1&lt;=$D32,BF$1+6&gt;=$C32),1,"")</f>
        <v/>
      </c>
      <c r="BG32" s="7" t="str">
        <f>IF(AND(ISNUMBER($C32),ISNUMBER($D32),BG$1&lt;=$D32,BG$1+6&gt;=$C32),1,"")</f>
        <v/>
      </c>
      <c r="BH32" s="7">
        <f>IF(AND(ISNUMBER($C32),ISNUMBER($D32),BH$1&lt;=$D32,BH$1+6&gt;=$C32),1,"")</f>
        <v>1</v>
      </c>
      <c r="BI32" s="7">
        <f>IF(AND(ISNUMBER($C32),ISNUMBER($D32),BI$1&lt;=$D32,BI$1+6&gt;=$C32),1,"")</f>
        <v>1</v>
      </c>
      <c r="BJ32" s="7">
        <f>IF(AND(ISNUMBER($C32),ISNUMBER($D32),BJ$1&lt;=$D32,BJ$1+6&gt;=$C32),1,"")</f>
        <v>1</v>
      </c>
      <c r="BK32" s="7">
        <f>IF(AND(ISNUMBER($C32),ISNUMBER($D32),BK$1&lt;=$D32,BK$1+6&gt;=$C32),1,"")</f>
        <v>1</v>
      </c>
      <c r="BL32" s="7">
        <f>IF(AND(ISNUMBER($C32),ISNUMBER($D32),BL$1&lt;=$D32,BL$1+6&gt;=$C32),1,"")</f>
        <v>1</v>
      </c>
      <c r="BM32" s="7">
        <f>IF(AND(ISNUMBER($C32),ISNUMBER($D32),BM$1&lt;=$D32,BM$1+6&gt;=$C32),1,"")</f>
        <v>1</v>
      </c>
      <c r="BN32" s="7">
        <f>IF(AND(ISNUMBER($C32),ISNUMBER($D32),BN$1&lt;=$D32,BN$1+6&gt;=$C32),1,"")</f>
        <v>1</v>
      </c>
      <c r="BO32" s="7">
        <f>IF(AND(ISNUMBER($C32),ISNUMBER($D32),BO$1&lt;=$D32,BO$1+6&gt;=$C32),1,"")</f>
        <v>1</v>
      </c>
      <c r="BP32" s="7">
        <f>IF(AND(ISNUMBER($C32),ISNUMBER($D32),BP$1&lt;=$D32,BP$1+6&gt;=$C32),1,"")</f>
        <v>1</v>
      </c>
      <c r="BQ32" s="7">
        <f>IF(AND(ISNUMBER($C32),ISNUMBER($D32),BQ$1&lt;=$D32,BQ$1+6&gt;=$C32),1,"")</f>
        <v>1</v>
      </c>
      <c r="BR32" s="7" t="str">
        <f>IF(AND(ISNUMBER($C32),ISNUMBER($D32),BR$1&lt;=$D32,BR$1+6&gt;=$C32),1,"")</f>
        <v/>
      </c>
      <c r="BS32" s="7" t="str">
        <f>IF(AND(ISNUMBER($C32),ISNUMBER($D32),BS$1&lt;=$D32,BS$1+6&gt;=$C32),1,"")</f>
        <v/>
      </c>
      <c r="BT32" s="7" t="str">
        <f>IF(AND(ISNUMBER($C32),ISNUMBER($D32),BT$1&lt;=$D32,BT$1+6&gt;=$C32),1,"")</f>
        <v/>
      </c>
      <c r="BU32" s="7" t="str">
        <f>IF(AND(ISNUMBER($C32),ISNUMBER($D32),BU$1&lt;=$D32,BU$1+6&gt;=$C32),1,"")</f>
        <v/>
      </c>
      <c r="BV32" s="7" t="str">
        <f>IF(AND(ISNUMBER($C32),ISNUMBER($D32),BV$1&lt;=$D32,BV$1+6&gt;=$C32),1,"")</f>
        <v/>
      </c>
      <c r="BW32" s="7" t="str">
        <f>IF(AND(ISNUMBER($C32),ISNUMBER($D32),BW$1&lt;=$D32,BW$1+6&gt;=$C32),1,"")</f>
        <v/>
      </c>
      <c r="BX32" s="7" t="str">
        <f>IF(AND(ISNUMBER($C32),ISNUMBER($D32),BX$1&lt;=$D32,BX$1+6&gt;=$C32),1,"")</f>
        <v/>
      </c>
      <c r="BY32" s="7" t="str">
        <f>IF(AND(ISNUMBER($C32),ISNUMBER($D32),BY$1&lt;=$D32,BY$1+6&gt;=$C32),1,"")</f>
        <v/>
      </c>
      <c r="BZ32" s="7" t="str">
        <f>IF(AND(ISNUMBER($C32),ISNUMBER($D32),BZ$1&lt;=$D32,BZ$1+6&gt;=$C32),1,"")</f>
        <v/>
      </c>
      <c r="CA32" s="7" t="str">
        <f>IF(AND(ISNUMBER($C32),ISNUMBER($D32),CA$1&lt;=$D32,CA$1+6&gt;=$C32),1,"")</f>
        <v/>
      </c>
      <c r="CB32" s="7" t="str">
        <f>IF(AND(ISNUMBER($C32),ISNUMBER($D32),CB$1&lt;=$D32,CB$1+6&gt;=$C32),1,"")</f>
        <v/>
      </c>
      <c r="CC32" s="7" t="str">
        <f>IF(AND(ISNUMBER($C32),ISNUMBER($D32),CC$1&lt;=$D32,CC$1+6&gt;=$C32),1,"")</f>
        <v/>
      </c>
      <c r="CD32" s="7" t="str">
        <f>IF(AND(ISNUMBER($C32),ISNUMBER($D32),CD$1&lt;=$D32,CD$1+6&gt;=$C32),1,"")</f>
        <v/>
      </c>
      <c r="CE32" s="7" t="str">
        <f>IF(AND(ISNUMBER($C32),ISNUMBER($D32),CE$1&lt;=$D32,CE$1+6&gt;=$C32),1,"")</f>
        <v/>
      </c>
      <c r="CF32" s="7" t="str">
        <f>IF(AND(ISNUMBER($C32),ISNUMBER($D32),CF$1&lt;=$D32,CF$1+6&gt;=$C32),1,"")</f>
        <v/>
      </c>
      <c r="CG32" s="7" t="str">
        <f>IF(AND(ISNUMBER($C32),ISNUMBER($D32),CG$1&lt;=$D32,CG$1+6&gt;=$C32),1,"")</f>
        <v/>
      </c>
      <c r="CH32" s="7" t="str">
        <f>IF(AND(ISNUMBER($C32),ISNUMBER($D32),CH$1&lt;=$D32,CH$1+6&gt;=$C32),1,"")</f>
        <v/>
      </c>
      <c r="CI32" s="7" t="str">
        <f>IF(AND(ISNUMBER($C32),ISNUMBER($D32),CI$1&lt;=$D32,CI$1+6&gt;=$C32),1,"")</f>
        <v/>
      </c>
      <c r="CJ32" s="7" t="str">
        <f>IF(AND(ISNUMBER($C32),ISNUMBER($D32),CJ$1&lt;=$D32,CJ$1+6&gt;=$C32),1,"")</f>
        <v/>
      </c>
      <c r="CK32" s="7" t="str">
        <f>IF(AND(ISNUMBER($C32),ISNUMBER($D32),CK$1&lt;=$D32,CK$1+6&gt;=$C32),1,"")</f>
        <v/>
      </c>
      <c r="CL32" s="7" t="str">
        <f>IF(AND(ISNUMBER($C32),ISNUMBER($D32),CL$1&lt;=$D32,CL$1+6&gt;=$C32),1,"")</f>
        <v/>
      </c>
      <c r="CM32" s="7" t="str">
        <f>IF(AND(ISNUMBER($C32),ISNUMBER($D32),CM$1&lt;=$D32,CM$1+6&gt;=$C32),1,"")</f>
        <v/>
      </c>
      <c r="CN32" s="7" t="str">
        <f>IF(AND(ISNUMBER($C32),ISNUMBER($D32),CN$1&lt;=$D32,CN$1+6&gt;=$C32),1,"")</f>
        <v/>
      </c>
      <c r="CO32" s="7" t="str">
        <f>IF(AND(ISNUMBER($C32),ISNUMBER($D32),CO$1&lt;=$D32,CO$1+6&gt;=$C32),1,"")</f>
        <v/>
      </c>
      <c r="CP32" s="7" t="str">
        <f>IF(AND(ISNUMBER($C32),ISNUMBER($D32),CP$1&lt;=$D32,CP$1+6&gt;=$C32),1,"")</f>
        <v/>
      </c>
      <c r="CQ32" s="7" t="str">
        <f>IF(AND(ISNUMBER($C32),ISNUMBER($D32),CQ$1&lt;=$D32,CQ$1+6&gt;=$C32),1,"")</f>
        <v/>
      </c>
      <c r="CR32" s="7" t="str">
        <f>IF(AND(ISNUMBER($C32),ISNUMBER($D32),CR$1&lt;=$D32,CR$1+6&gt;=$C32),1,"")</f>
        <v/>
      </c>
      <c r="CS32" s="7" t="str">
        <f>IF(AND(ISNUMBER($C32),ISNUMBER($D32),CS$1&lt;=$D32,CS$1+6&gt;=$C32),1,"")</f>
        <v/>
      </c>
      <c r="CT32" s="7" t="str">
        <f>IF(AND(ISNUMBER($C32),ISNUMBER($D32),CT$1&lt;=$D32,CT$1+6&gt;=$C32),1,"")</f>
        <v/>
      </c>
      <c r="CU32" s="7" t="str">
        <f>IF(AND(ISNUMBER($C32),ISNUMBER($D32),CU$1&lt;=$D32,CU$1+6&gt;=$C32),1,"")</f>
        <v/>
      </c>
      <c r="CV32" s="7" t="str">
        <f>IF(AND(ISNUMBER($C32),ISNUMBER($D32),CV$1&lt;=$D32,CV$1+6&gt;=$C32),1,"")</f>
        <v/>
      </c>
      <c r="CW32" s="7" t="str">
        <f>IF(AND(ISNUMBER($C32),ISNUMBER($D32),CW$1&lt;=$D32,CW$1+6&gt;=$C32),1,"")</f>
        <v/>
      </c>
      <c r="CX32" s="7" t="str">
        <f>IF(AND(ISNUMBER($C32),ISNUMBER($D32),CX$1&lt;=$D32,CX$1+6&gt;=$C32),1,"")</f>
        <v/>
      </c>
      <c r="CY32" s="7" t="str">
        <f>IF(AND(ISNUMBER($C32),ISNUMBER($D32),CY$1&lt;=$D32,CY$1+6&gt;=$C32),1,"")</f>
        <v/>
      </c>
      <c r="CZ32" s="7" t="str">
        <f>IF(AND(ISNUMBER($C32),ISNUMBER($D32),CZ$1&lt;=$D32,CZ$1+6&gt;=$C32),1,"")</f>
        <v/>
      </c>
      <c r="DA32" s="7" t="str">
        <f>IF(AND(ISNUMBER($C32),ISNUMBER($D32),DA$1&lt;=$D32,DA$1+6&gt;=$C32),1,"")</f>
        <v/>
      </c>
      <c r="DB32" s="7" t="str">
        <f>IF(AND(ISNUMBER($C32),ISNUMBER($D32),DB$1&lt;=$D32,DB$1+6&gt;=$C32),1,"")</f>
        <v/>
      </c>
      <c r="DC32" s="7" t="str">
        <f>IF(AND(ISNUMBER($C32),ISNUMBER($D32),DC$1&lt;=$D32,DC$1+6&gt;=$C32),1,"")</f>
        <v/>
      </c>
      <c r="DD32" s="7" t="str">
        <f>IF(AND(ISNUMBER($C32),ISNUMBER($D32),DD$1&lt;=$D32,DD$1+6&gt;=$C32),1,"")</f>
        <v/>
      </c>
    </row>
    <row r="33" spans="1:108" x14ac:dyDescent="0.35">
      <c r="A33" s="6" t="str">
        <f>Schedule!B33</f>
        <v>Mixed SQL ML DSA revision and interview evidence</v>
      </c>
      <c r="B33" s="6" t="str">
        <f>Schedule!C33</f>
        <v>Practice</v>
      </c>
      <c r="C33" s="4">
        <f>IF(Schedule!P33="","",Schedule!P33)</f>
        <v>46766</v>
      </c>
      <c r="D33" s="4">
        <f>IF(Schedule!Q33="","",Schedule!Q33)</f>
        <v>46821</v>
      </c>
      <c r="E33" s="7" t="str">
        <f>IF(AND(ISNUMBER($C33),ISNUMBER($D33),E$1&lt;=$D33,E$1+6&gt;=$C33),1,"")</f>
        <v/>
      </c>
      <c r="F33" s="7" t="str">
        <f>IF(AND(ISNUMBER($C33),ISNUMBER($D33),F$1&lt;=$D33,F$1+6&gt;=$C33),1,"")</f>
        <v/>
      </c>
      <c r="G33" s="7" t="str">
        <f>IF(AND(ISNUMBER($C33),ISNUMBER($D33),G$1&lt;=$D33,G$1+6&gt;=$C33),1,"")</f>
        <v/>
      </c>
      <c r="H33" s="7" t="str">
        <f>IF(AND(ISNUMBER($C33),ISNUMBER($D33),H$1&lt;=$D33,H$1+6&gt;=$C33),1,"")</f>
        <v/>
      </c>
      <c r="I33" s="7" t="str">
        <f>IF(AND(ISNUMBER($C33),ISNUMBER($D33),I$1&lt;=$D33,I$1+6&gt;=$C33),1,"")</f>
        <v/>
      </c>
      <c r="J33" s="7" t="str">
        <f>IF(AND(ISNUMBER($C33),ISNUMBER($D33),J$1&lt;=$D33,J$1+6&gt;=$C33),1,"")</f>
        <v/>
      </c>
      <c r="K33" s="7" t="str">
        <f>IF(AND(ISNUMBER($C33),ISNUMBER($D33),K$1&lt;=$D33,K$1+6&gt;=$C33),1,"")</f>
        <v/>
      </c>
      <c r="L33" s="7" t="str">
        <f>IF(AND(ISNUMBER($C33),ISNUMBER($D33),L$1&lt;=$D33,L$1+6&gt;=$C33),1,"")</f>
        <v/>
      </c>
      <c r="M33" s="7" t="str">
        <f>IF(AND(ISNUMBER($C33),ISNUMBER($D33),M$1&lt;=$D33,M$1+6&gt;=$C33),1,"")</f>
        <v/>
      </c>
      <c r="N33" s="7" t="str">
        <f>IF(AND(ISNUMBER($C33),ISNUMBER($D33),N$1&lt;=$D33,N$1+6&gt;=$C33),1,"")</f>
        <v/>
      </c>
      <c r="O33" s="7" t="str">
        <f>IF(AND(ISNUMBER($C33),ISNUMBER($D33),O$1&lt;=$D33,O$1+6&gt;=$C33),1,"")</f>
        <v/>
      </c>
      <c r="P33" s="7" t="str">
        <f>IF(AND(ISNUMBER($C33),ISNUMBER($D33),P$1&lt;=$D33,P$1+6&gt;=$C33),1,"")</f>
        <v/>
      </c>
      <c r="Q33" s="7" t="str">
        <f>IF(AND(ISNUMBER($C33),ISNUMBER($D33),Q$1&lt;=$D33,Q$1+6&gt;=$C33),1,"")</f>
        <v/>
      </c>
      <c r="R33" s="7" t="str">
        <f>IF(AND(ISNUMBER($C33),ISNUMBER($D33),R$1&lt;=$D33,R$1+6&gt;=$C33),1,"")</f>
        <v/>
      </c>
      <c r="S33" s="7" t="str">
        <f>IF(AND(ISNUMBER($C33),ISNUMBER($D33),S$1&lt;=$D33,S$1+6&gt;=$C33),1,"")</f>
        <v/>
      </c>
      <c r="T33" s="7" t="str">
        <f>IF(AND(ISNUMBER($C33),ISNUMBER($D33),T$1&lt;=$D33,T$1+6&gt;=$C33),1,"")</f>
        <v/>
      </c>
      <c r="U33" s="7" t="str">
        <f>IF(AND(ISNUMBER($C33),ISNUMBER($D33),U$1&lt;=$D33,U$1+6&gt;=$C33),1,"")</f>
        <v/>
      </c>
      <c r="V33" s="7" t="str">
        <f>IF(AND(ISNUMBER($C33),ISNUMBER($D33),V$1&lt;=$D33,V$1+6&gt;=$C33),1,"")</f>
        <v/>
      </c>
      <c r="W33" s="7" t="str">
        <f>IF(AND(ISNUMBER($C33),ISNUMBER($D33),W$1&lt;=$D33,W$1+6&gt;=$C33),1,"")</f>
        <v/>
      </c>
      <c r="X33" s="7" t="str">
        <f>IF(AND(ISNUMBER($C33),ISNUMBER($D33),X$1&lt;=$D33,X$1+6&gt;=$C33),1,"")</f>
        <v/>
      </c>
      <c r="Y33" s="7" t="str">
        <f>IF(AND(ISNUMBER($C33),ISNUMBER($D33),Y$1&lt;=$D33,Y$1+6&gt;=$C33),1,"")</f>
        <v/>
      </c>
      <c r="Z33" s="7" t="str">
        <f>IF(AND(ISNUMBER($C33),ISNUMBER($D33),Z$1&lt;=$D33,Z$1+6&gt;=$C33),1,"")</f>
        <v/>
      </c>
      <c r="AA33" s="7" t="str">
        <f>IF(AND(ISNUMBER($C33),ISNUMBER($D33),AA$1&lt;=$D33,AA$1+6&gt;=$C33),1,"")</f>
        <v/>
      </c>
      <c r="AB33" s="7" t="str">
        <f>IF(AND(ISNUMBER($C33),ISNUMBER($D33),AB$1&lt;=$D33,AB$1+6&gt;=$C33),1,"")</f>
        <v/>
      </c>
      <c r="AC33" s="7" t="str">
        <f>IF(AND(ISNUMBER($C33),ISNUMBER($D33),AC$1&lt;=$D33,AC$1+6&gt;=$C33),1,"")</f>
        <v/>
      </c>
      <c r="AD33" s="7" t="str">
        <f>IF(AND(ISNUMBER($C33),ISNUMBER($D33),AD$1&lt;=$D33,AD$1+6&gt;=$C33),1,"")</f>
        <v/>
      </c>
      <c r="AE33" s="7" t="str">
        <f>IF(AND(ISNUMBER($C33),ISNUMBER($D33),AE$1&lt;=$D33,AE$1+6&gt;=$C33),1,"")</f>
        <v/>
      </c>
      <c r="AF33" s="7" t="str">
        <f>IF(AND(ISNUMBER($C33),ISNUMBER($D33),AF$1&lt;=$D33,AF$1+6&gt;=$C33),1,"")</f>
        <v/>
      </c>
      <c r="AG33" s="7" t="str">
        <f>IF(AND(ISNUMBER($C33),ISNUMBER($D33),AG$1&lt;=$D33,AG$1+6&gt;=$C33),1,"")</f>
        <v/>
      </c>
      <c r="AH33" s="7" t="str">
        <f>IF(AND(ISNUMBER($C33),ISNUMBER($D33),AH$1&lt;=$D33,AH$1+6&gt;=$C33),1,"")</f>
        <v/>
      </c>
      <c r="AI33" s="7" t="str">
        <f>IF(AND(ISNUMBER($C33),ISNUMBER($D33),AI$1&lt;=$D33,AI$1+6&gt;=$C33),1,"")</f>
        <v/>
      </c>
      <c r="AJ33" s="7" t="str">
        <f>IF(AND(ISNUMBER($C33),ISNUMBER($D33),AJ$1&lt;=$D33,AJ$1+6&gt;=$C33),1,"")</f>
        <v/>
      </c>
      <c r="AK33" s="7" t="str">
        <f>IF(AND(ISNUMBER($C33),ISNUMBER($D33),AK$1&lt;=$D33,AK$1+6&gt;=$C33),1,"")</f>
        <v/>
      </c>
      <c r="AL33" s="7" t="str">
        <f>IF(AND(ISNUMBER($C33),ISNUMBER($D33),AL$1&lt;=$D33,AL$1+6&gt;=$C33),1,"")</f>
        <v/>
      </c>
      <c r="AM33" s="7" t="str">
        <f>IF(AND(ISNUMBER($C33),ISNUMBER($D33),AM$1&lt;=$D33,AM$1+6&gt;=$C33),1,"")</f>
        <v/>
      </c>
      <c r="AN33" s="7" t="str">
        <f>IF(AND(ISNUMBER($C33),ISNUMBER($D33),AN$1&lt;=$D33,AN$1+6&gt;=$C33),1,"")</f>
        <v/>
      </c>
      <c r="AO33" s="7" t="str">
        <f>IF(AND(ISNUMBER($C33),ISNUMBER($D33),AO$1&lt;=$D33,AO$1+6&gt;=$C33),1,"")</f>
        <v/>
      </c>
      <c r="AP33" s="7" t="str">
        <f>IF(AND(ISNUMBER($C33),ISNUMBER($D33),AP$1&lt;=$D33,AP$1+6&gt;=$C33),1,"")</f>
        <v/>
      </c>
      <c r="AQ33" s="7" t="str">
        <f>IF(AND(ISNUMBER($C33),ISNUMBER($D33),AQ$1&lt;=$D33,AQ$1+6&gt;=$C33),1,"")</f>
        <v/>
      </c>
      <c r="AR33" s="7" t="str">
        <f>IF(AND(ISNUMBER($C33),ISNUMBER($D33),AR$1&lt;=$D33,AR$1+6&gt;=$C33),1,"")</f>
        <v/>
      </c>
      <c r="AS33" s="7" t="str">
        <f>IF(AND(ISNUMBER($C33),ISNUMBER($D33),AS$1&lt;=$D33,AS$1+6&gt;=$C33),1,"")</f>
        <v/>
      </c>
      <c r="AT33" s="7" t="str">
        <f>IF(AND(ISNUMBER($C33),ISNUMBER($D33),AT$1&lt;=$D33,AT$1+6&gt;=$C33),1,"")</f>
        <v/>
      </c>
      <c r="AU33" s="7" t="str">
        <f>IF(AND(ISNUMBER($C33),ISNUMBER($D33),AU$1&lt;=$D33,AU$1+6&gt;=$C33),1,"")</f>
        <v/>
      </c>
      <c r="AV33" s="7" t="str">
        <f>IF(AND(ISNUMBER($C33),ISNUMBER($D33),AV$1&lt;=$D33,AV$1+6&gt;=$C33),1,"")</f>
        <v/>
      </c>
      <c r="AW33" s="7" t="str">
        <f>IF(AND(ISNUMBER($C33),ISNUMBER($D33),AW$1&lt;=$D33,AW$1+6&gt;=$C33),1,"")</f>
        <v/>
      </c>
      <c r="AX33" s="7" t="str">
        <f>IF(AND(ISNUMBER($C33),ISNUMBER($D33),AX$1&lt;=$D33,AX$1+6&gt;=$C33),1,"")</f>
        <v/>
      </c>
      <c r="AY33" s="7" t="str">
        <f>IF(AND(ISNUMBER($C33),ISNUMBER($D33),AY$1&lt;=$D33,AY$1+6&gt;=$C33),1,"")</f>
        <v/>
      </c>
      <c r="AZ33" s="7" t="str">
        <f>IF(AND(ISNUMBER($C33),ISNUMBER($D33),AZ$1&lt;=$D33,AZ$1+6&gt;=$C33),1,"")</f>
        <v/>
      </c>
      <c r="BA33" s="7" t="str">
        <f>IF(AND(ISNUMBER($C33),ISNUMBER($D33),BA$1&lt;=$D33,BA$1+6&gt;=$C33),1,"")</f>
        <v/>
      </c>
      <c r="BB33" s="7" t="str">
        <f>IF(AND(ISNUMBER($C33),ISNUMBER($D33),BB$1&lt;=$D33,BB$1+6&gt;=$C33),1,"")</f>
        <v/>
      </c>
      <c r="BC33" s="7" t="str">
        <f>IF(AND(ISNUMBER($C33),ISNUMBER($D33),BC$1&lt;=$D33,BC$1+6&gt;=$C33),1,"")</f>
        <v/>
      </c>
      <c r="BD33" s="7" t="str">
        <f>IF(AND(ISNUMBER($C33),ISNUMBER($D33),BD$1&lt;=$D33,BD$1+6&gt;=$C33),1,"")</f>
        <v/>
      </c>
      <c r="BE33" s="7" t="str">
        <f>IF(AND(ISNUMBER($C33),ISNUMBER($D33),BE$1&lt;=$D33,BE$1+6&gt;=$C33),1,"")</f>
        <v/>
      </c>
      <c r="BF33" s="7" t="str">
        <f>IF(AND(ISNUMBER($C33),ISNUMBER($D33),BF$1&lt;=$D33,BF$1+6&gt;=$C33),1,"")</f>
        <v/>
      </c>
      <c r="BG33" s="7" t="str">
        <f>IF(AND(ISNUMBER($C33),ISNUMBER($D33),BG$1&lt;=$D33,BG$1+6&gt;=$C33),1,"")</f>
        <v/>
      </c>
      <c r="BH33" s="7" t="str">
        <f>IF(AND(ISNUMBER($C33),ISNUMBER($D33),BH$1&lt;=$D33,BH$1+6&gt;=$C33),1,"")</f>
        <v/>
      </c>
      <c r="BI33" s="7" t="str">
        <f>IF(AND(ISNUMBER($C33),ISNUMBER($D33),BI$1&lt;=$D33,BI$1+6&gt;=$C33),1,"")</f>
        <v/>
      </c>
      <c r="BJ33" s="7" t="str">
        <f>IF(AND(ISNUMBER($C33),ISNUMBER($D33),BJ$1&lt;=$D33,BJ$1+6&gt;=$C33),1,"")</f>
        <v/>
      </c>
      <c r="BK33" s="7" t="str">
        <f>IF(AND(ISNUMBER($C33),ISNUMBER($D33),BK$1&lt;=$D33,BK$1+6&gt;=$C33),1,"")</f>
        <v/>
      </c>
      <c r="BL33" s="7" t="str">
        <f>IF(AND(ISNUMBER($C33),ISNUMBER($D33),BL$1&lt;=$D33,BL$1+6&gt;=$C33),1,"")</f>
        <v/>
      </c>
      <c r="BM33" s="7" t="str">
        <f>IF(AND(ISNUMBER($C33),ISNUMBER($D33),BM$1&lt;=$D33,BM$1+6&gt;=$C33),1,"")</f>
        <v/>
      </c>
      <c r="BN33" s="7" t="str">
        <f>IF(AND(ISNUMBER($C33),ISNUMBER($D33),BN$1&lt;=$D33,BN$1+6&gt;=$C33),1,"")</f>
        <v/>
      </c>
      <c r="BO33" s="7" t="str">
        <f>IF(AND(ISNUMBER($C33),ISNUMBER($D33),BO$1&lt;=$D33,BO$1+6&gt;=$C33),1,"")</f>
        <v/>
      </c>
      <c r="BP33" s="7" t="str">
        <f>IF(AND(ISNUMBER($C33),ISNUMBER($D33),BP$1&lt;=$D33,BP$1+6&gt;=$C33),1,"")</f>
        <v/>
      </c>
      <c r="BQ33" s="7">
        <f>IF(AND(ISNUMBER($C33),ISNUMBER($D33),BQ$1&lt;=$D33,BQ$1+6&gt;=$C33),1,"")</f>
        <v>1</v>
      </c>
      <c r="BR33" s="7">
        <f>IF(AND(ISNUMBER($C33),ISNUMBER($D33),BR$1&lt;=$D33,BR$1+6&gt;=$C33),1,"")</f>
        <v>1</v>
      </c>
      <c r="BS33" s="7">
        <f>IF(AND(ISNUMBER($C33),ISNUMBER($D33),BS$1&lt;=$D33,BS$1+6&gt;=$C33),1,"")</f>
        <v>1</v>
      </c>
      <c r="BT33" s="7">
        <f>IF(AND(ISNUMBER($C33),ISNUMBER($D33),BT$1&lt;=$D33,BT$1+6&gt;=$C33),1,"")</f>
        <v>1</v>
      </c>
      <c r="BU33" s="7">
        <f>IF(AND(ISNUMBER($C33),ISNUMBER($D33),BU$1&lt;=$D33,BU$1+6&gt;=$C33),1,"")</f>
        <v>1</v>
      </c>
      <c r="BV33" s="7">
        <f>IF(AND(ISNUMBER($C33),ISNUMBER($D33),BV$1&lt;=$D33,BV$1+6&gt;=$C33),1,"")</f>
        <v>1</v>
      </c>
      <c r="BW33" s="7">
        <f>IF(AND(ISNUMBER($C33),ISNUMBER($D33),BW$1&lt;=$D33,BW$1+6&gt;=$C33),1,"")</f>
        <v>1</v>
      </c>
      <c r="BX33" s="7">
        <f>IF(AND(ISNUMBER($C33),ISNUMBER($D33),BX$1&lt;=$D33,BX$1+6&gt;=$C33),1,"")</f>
        <v>1</v>
      </c>
      <c r="BY33" s="7" t="str">
        <f>IF(AND(ISNUMBER($C33),ISNUMBER($D33),BY$1&lt;=$D33,BY$1+6&gt;=$C33),1,"")</f>
        <v/>
      </c>
      <c r="BZ33" s="7" t="str">
        <f>IF(AND(ISNUMBER($C33),ISNUMBER($D33),BZ$1&lt;=$D33,BZ$1+6&gt;=$C33),1,"")</f>
        <v/>
      </c>
      <c r="CA33" s="7" t="str">
        <f>IF(AND(ISNUMBER($C33),ISNUMBER($D33),CA$1&lt;=$D33,CA$1+6&gt;=$C33),1,"")</f>
        <v/>
      </c>
      <c r="CB33" s="7" t="str">
        <f>IF(AND(ISNUMBER($C33),ISNUMBER($D33),CB$1&lt;=$D33,CB$1+6&gt;=$C33),1,"")</f>
        <v/>
      </c>
      <c r="CC33" s="7" t="str">
        <f>IF(AND(ISNUMBER($C33),ISNUMBER($D33),CC$1&lt;=$D33,CC$1+6&gt;=$C33),1,"")</f>
        <v/>
      </c>
      <c r="CD33" s="7" t="str">
        <f>IF(AND(ISNUMBER($C33),ISNUMBER($D33),CD$1&lt;=$D33,CD$1+6&gt;=$C33),1,"")</f>
        <v/>
      </c>
      <c r="CE33" s="7" t="str">
        <f>IF(AND(ISNUMBER($C33),ISNUMBER($D33),CE$1&lt;=$D33,CE$1+6&gt;=$C33),1,"")</f>
        <v/>
      </c>
      <c r="CF33" s="7" t="str">
        <f>IF(AND(ISNUMBER($C33),ISNUMBER($D33),CF$1&lt;=$D33,CF$1+6&gt;=$C33),1,"")</f>
        <v/>
      </c>
      <c r="CG33" s="7" t="str">
        <f>IF(AND(ISNUMBER($C33),ISNUMBER($D33),CG$1&lt;=$D33,CG$1+6&gt;=$C33),1,"")</f>
        <v/>
      </c>
      <c r="CH33" s="7" t="str">
        <f>IF(AND(ISNUMBER($C33),ISNUMBER($D33),CH$1&lt;=$D33,CH$1+6&gt;=$C33),1,"")</f>
        <v/>
      </c>
      <c r="CI33" s="7" t="str">
        <f>IF(AND(ISNUMBER($C33),ISNUMBER($D33),CI$1&lt;=$D33,CI$1+6&gt;=$C33),1,"")</f>
        <v/>
      </c>
      <c r="CJ33" s="7" t="str">
        <f>IF(AND(ISNUMBER($C33),ISNUMBER($D33),CJ$1&lt;=$D33,CJ$1+6&gt;=$C33),1,"")</f>
        <v/>
      </c>
      <c r="CK33" s="7" t="str">
        <f>IF(AND(ISNUMBER($C33),ISNUMBER($D33),CK$1&lt;=$D33,CK$1+6&gt;=$C33),1,"")</f>
        <v/>
      </c>
      <c r="CL33" s="7" t="str">
        <f>IF(AND(ISNUMBER($C33),ISNUMBER($D33),CL$1&lt;=$D33,CL$1+6&gt;=$C33),1,"")</f>
        <v/>
      </c>
      <c r="CM33" s="7" t="str">
        <f>IF(AND(ISNUMBER($C33),ISNUMBER($D33),CM$1&lt;=$D33,CM$1+6&gt;=$C33),1,"")</f>
        <v/>
      </c>
      <c r="CN33" s="7" t="str">
        <f>IF(AND(ISNUMBER($C33),ISNUMBER($D33),CN$1&lt;=$D33,CN$1+6&gt;=$C33),1,"")</f>
        <v/>
      </c>
      <c r="CO33" s="7" t="str">
        <f>IF(AND(ISNUMBER($C33),ISNUMBER($D33),CO$1&lt;=$D33,CO$1+6&gt;=$C33),1,"")</f>
        <v/>
      </c>
      <c r="CP33" s="7" t="str">
        <f>IF(AND(ISNUMBER($C33),ISNUMBER($D33),CP$1&lt;=$D33,CP$1+6&gt;=$C33),1,"")</f>
        <v/>
      </c>
      <c r="CQ33" s="7" t="str">
        <f>IF(AND(ISNUMBER($C33),ISNUMBER($D33),CQ$1&lt;=$D33,CQ$1+6&gt;=$C33),1,"")</f>
        <v/>
      </c>
      <c r="CR33" s="7" t="str">
        <f>IF(AND(ISNUMBER($C33),ISNUMBER($D33),CR$1&lt;=$D33,CR$1+6&gt;=$C33),1,"")</f>
        <v/>
      </c>
      <c r="CS33" s="7" t="str">
        <f>IF(AND(ISNUMBER($C33),ISNUMBER($D33),CS$1&lt;=$D33,CS$1+6&gt;=$C33),1,"")</f>
        <v/>
      </c>
      <c r="CT33" s="7" t="str">
        <f>IF(AND(ISNUMBER($C33),ISNUMBER($D33),CT$1&lt;=$D33,CT$1+6&gt;=$C33),1,"")</f>
        <v/>
      </c>
      <c r="CU33" s="7" t="str">
        <f>IF(AND(ISNUMBER($C33),ISNUMBER($D33),CU$1&lt;=$D33,CU$1+6&gt;=$C33),1,"")</f>
        <v/>
      </c>
      <c r="CV33" s="7" t="str">
        <f>IF(AND(ISNUMBER($C33),ISNUMBER($D33),CV$1&lt;=$D33,CV$1+6&gt;=$C33),1,"")</f>
        <v/>
      </c>
      <c r="CW33" s="7" t="str">
        <f>IF(AND(ISNUMBER($C33),ISNUMBER($D33),CW$1&lt;=$D33,CW$1+6&gt;=$C33),1,"")</f>
        <v/>
      </c>
      <c r="CX33" s="7" t="str">
        <f>IF(AND(ISNUMBER($C33),ISNUMBER($D33),CX$1&lt;=$D33,CX$1+6&gt;=$C33),1,"")</f>
        <v/>
      </c>
      <c r="CY33" s="7" t="str">
        <f>IF(AND(ISNUMBER($C33),ISNUMBER($D33),CY$1&lt;=$D33,CY$1+6&gt;=$C33),1,"")</f>
        <v/>
      </c>
      <c r="CZ33" s="7" t="str">
        <f>IF(AND(ISNUMBER($C33),ISNUMBER($D33),CZ$1&lt;=$D33,CZ$1+6&gt;=$C33),1,"")</f>
        <v/>
      </c>
      <c r="DA33" s="7" t="str">
        <f>IF(AND(ISNUMBER($C33),ISNUMBER($D33),DA$1&lt;=$D33,DA$1+6&gt;=$C33),1,"")</f>
        <v/>
      </c>
      <c r="DB33" s="7" t="str">
        <f>IF(AND(ISNUMBER($C33),ISNUMBER($D33),DB$1&lt;=$D33,DB$1+6&gt;=$C33),1,"")</f>
        <v/>
      </c>
      <c r="DC33" s="7" t="str">
        <f>IF(AND(ISNUMBER($C33),ISNUMBER($D33),DC$1&lt;=$D33,DC$1+6&gt;=$C33),1,"")</f>
        <v/>
      </c>
      <c r="DD33" s="7" t="str">
        <f>IF(AND(ISNUMBER($C33),ISNUMBER($D33),DD$1&lt;=$D33,DD$1+6&gt;=$C33),1,"")</f>
        <v/>
      </c>
    </row>
    <row r="34" spans="1:108" x14ac:dyDescent="0.35">
      <c r="A34" s="6" t="str">
        <f>Schedule!B34</f>
        <v>Discovery and business workflow framing</v>
      </c>
      <c r="B34" s="6" t="str">
        <f>Schedule!C34</f>
        <v>Delivery</v>
      </c>
      <c r="C34" s="4">
        <f>IF(Schedule!P34="","",Schedule!P34)</f>
        <v>46322</v>
      </c>
      <c r="D34" s="4">
        <f>IF(Schedule!Q34="","",Schedule!Q34)</f>
        <v>46349</v>
      </c>
      <c r="E34" s="7">
        <f>IF(AND(ISNUMBER($C34),ISNUMBER($D34),E$1&lt;=$D34,E$1+6&gt;=$C34),1,"")</f>
        <v>1</v>
      </c>
      <c r="F34" s="7">
        <f>IF(AND(ISNUMBER($C34),ISNUMBER($D34),F$1&lt;=$D34,F$1+6&gt;=$C34),1,"")</f>
        <v>1</v>
      </c>
      <c r="G34" s="7">
        <f>IF(AND(ISNUMBER($C34),ISNUMBER($D34),G$1&lt;=$D34,G$1+6&gt;=$C34),1,"")</f>
        <v>1</v>
      </c>
      <c r="H34" s="7">
        <f>IF(AND(ISNUMBER($C34),ISNUMBER($D34),H$1&lt;=$D34,H$1+6&gt;=$C34),1,"")</f>
        <v>1</v>
      </c>
      <c r="I34" s="7">
        <f>IF(AND(ISNUMBER($C34),ISNUMBER($D34),I$1&lt;=$D34,I$1+6&gt;=$C34),1,"")</f>
        <v>1</v>
      </c>
      <c r="J34" s="7" t="str">
        <f>IF(AND(ISNUMBER($C34),ISNUMBER($D34),J$1&lt;=$D34,J$1+6&gt;=$C34),1,"")</f>
        <v/>
      </c>
      <c r="K34" s="7" t="str">
        <f>IF(AND(ISNUMBER($C34),ISNUMBER($D34),K$1&lt;=$D34,K$1+6&gt;=$C34),1,"")</f>
        <v/>
      </c>
      <c r="L34" s="7" t="str">
        <f>IF(AND(ISNUMBER($C34),ISNUMBER($D34),L$1&lt;=$D34,L$1+6&gt;=$C34),1,"")</f>
        <v/>
      </c>
      <c r="M34" s="7" t="str">
        <f>IF(AND(ISNUMBER($C34),ISNUMBER($D34),M$1&lt;=$D34,M$1+6&gt;=$C34),1,"")</f>
        <v/>
      </c>
      <c r="N34" s="7" t="str">
        <f>IF(AND(ISNUMBER($C34),ISNUMBER($D34),N$1&lt;=$D34,N$1+6&gt;=$C34),1,"")</f>
        <v/>
      </c>
      <c r="O34" s="7" t="str">
        <f>IF(AND(ISNUMBER($C34),ISNUMBER($D34),O$1&lt;=$D34,O$1+6&gt;=$C34),1,"")</f>
        <v/>
      </c>
      <c r="P34" s="7" t="str">
        <f>IF(AND(ISNUMBER($C34),ISNUMBER($D34),P$1&lt;=$D34,P$1+6&gt;=$C34),1,"")</f>
        <v/>
      </c>
      <c r="Q34" s="7" t="str">
        <f>IF(AND(ISNUMBER($C34),ISNUMBER($D34),Q$1&lt;=$D34,Q$1+6&gt;=$C34),1,"")</f>
        <v/>
      </c>
      <c r="R34" s="7" t="str">
        <f>IF(AND(ISNUMBER($C34),ISNUMBER($D34),R$1&lt;=$D34,R$1+6&gt;=$C34),1,"")</f>
        <v/>
      </c>
      <c r="S34" s="7" t="str">
        <f>IF(AND(ISNUMBER($C34),ISNUMBER($D34),S$1&lt;=$D34,S$1+6&gt;=$C34),1,"")</f>
        <v/>
      </c>
      <c r="T34" s="7" t="str">
        <f>IF(AND(ISNUMBER($C34),ISNUMBER($D34),T$1&lt;=$D34,T$1+6&gt;=$C34),1,"")</f>
        <v/>
      </c>
      <c r="U34" s="7" t="str">
        <f>IF(AND(ISNUMBER($C34),ISNUMBER($D34),U$1&lt;=$D34,U$1+6&gt;=$C34),1,"")</f>
        <v/>
      </c>
      <c r="V34" s="7" t="str">
        <f>IF(AND(ISNUMBER($C34),ISNUMBER($D34),V$1&lt;=$D34,V$1+6&gt;=$C34),1,"")</f>
        <v/>
      </c>
      <c r="W34" s="7" t="str">
        <f>IF(AND(ISNUMBER($C34),ISNUMBER($D34),W$1&lt;=$D34,W$1+6&gt;=$C34),1,"")</f>
        <v/>
      </c>
      <c r="X34" s="7" t="str">
        <f>IF(AND(ISNUMBER($C34),ISNUMBER($D34),X$1&lt;=$D34,X$1+6&gt;=$C34),1,"")</f>
        <v/>
      </c>
      <c r="Y34" s="7" t="str">
        <f>IF(AND(ISNUMBER($C34),ISNUMBER($D34),Y$1&lt;=$D34,Y$1+6&gt;=$C34),1,"")</f>
        <v/>
      </c>
      <c r="Z34" s="7" t="str">
        <f>IF(AND(ISNUMBER($C34),ISNUMBER($D34),Z$1&lt;=$D34,Z$1+6&gt;=$C34),1,"")</f>
        <v/>
      </c>
      <c r="AA34" s="7" t="str">
        <f>IF(AND(ISNUMBER($C34),ISNUMBER($D34),AA$1&lt;=$D34,AA$1+6&gt;=$C34),1,"")</f>
        <v/>
      </c>
      <c r="AB34" s="7" t="str">
        <f>IF(AND(ISNUMBER($C34),ISNUMBER($D34),AB$1&lt;=$D34,AB$1+6&gt;=$C34),1,"")</f>
        <v/>
      </c>
      <c r="AC34" s="7" t="str">
        <f>IF(AND(ISNUMBER($C34),ISNUMBER($D34),AC$1&lt;=$D34,AC$1+6&gt;=$C34),1,"")</f>
        <v/>
      </c>
      <c r="AD34" s="7" t="str">
        <f>IF(AND(ISNUMBER($C34),ISNUMBER($D34),AD$1&lt;=$D34,AD$1+6&gt;=$C34),1,"")</f>
        <v/>
      </c>
      <c r="AE34" s="7" t="str">
        <f>IF(AND(ISNUMBER($C34),ISNUMBER($D34),AE$1&lt;=$D34,AE$1+6&gt;=$C34),1,"")</f>
        <v/>
      </c>
      <c r="AF34" s="7" t="str">
        <f>IF(AND(ISNUMBER($C34),ISNUMBER($D34),AF$1&lt;=$D34,AF$1+6&gt;=$C34),1,"")</f>
        <v/>
      </c>
      <c r="AG34" s="7" t="str">
        <f>IF(AND(ISNUMBER($C34),ISNUMBER($D34),AG$1&lt;=$D34,AG$1+6&gt;=$C34),1,"")</f>
        <v/>
      </c>
      <c r="AH34" s="7" t="str">
        <f>IF(AND(ISNUMBER($C34),ISNUMBER($D34),AH$1&lt;=$D34,AH$1+6&gt;=$C34),1,"")</f>
        <v/>
      </c>
      <c r="AI34" s="7" t="str">
        <f>IF(AND(ISNUMBER($C34),ISNUMBER($D34),AI$1&lt;=$D34,AI$1+6&gt;=$C34),1,"")</f>
        <v/>
      </c>
      <c r="AJ34" s="7" t="str">
        <f>IF(AND(ISNUMBER($C34),ISNUMBER($D34),AJ$1&lt;=$D34,AJ$1+6&gt;=$C34),1,"")</f>
        <v/>
      </c>
      <c r="AK34" s="7" t="str">
        <f>IF(AND(ISNUMBER($C34),ISNUMBER($D34),AK$1&lt;=$D34,AK$1+6&gt;=$C34),1,"")</f>
        <v/>
      </c>
      <c r="AL34" s="7" t="str">
        <f>IF(AND(ISNUMBER($C34),ISNUMBER($D34),AL$1&lt;=$D34,AL$1+6&gt;=$C34),1,"")</f>
        <v/>
      </c>
      <c r="AM34" s="7" t="str">
        <f>IF(AND(ISNUMBER($C34),ISNUMBER($D34),AM$1&lt;=$D34,AM$1+6&gt;=$C34),1,"")</f>
        <v/>
      </c>
      <c r="AN34" s="7" t="str">
        <f>IF(AND(ISNUMBER($C34),ISNUMBER($D34),AN$1&lt;=$D34,AN$1+6&gt;=$C34),1,"")</f>
        <v/>
      </c>
      <c r="AO34" s="7" t="str">
        <f>IF(AND(ISNUMBER($C34),ISNUMBER($D34),AO$1&lt;=$D34,AO$1+6&gt;=$C34),1,"")</f>
        <v/>
      </c>
      <c r="AP34" s="7" t="str">
        <f>IF(AND(ISNUMBER($C34),ISNUMBER($D34),AP$1&lt;=$D34,AP$1+6&gt;=$C34),1,"")</f>
        <v/>
      </c>
      <c r="AQ34" s="7" t="str">
        <f>IF(AND(ISNUMBER($C34),ISNUMBER($D34),AQ$1&lt;=$D34,AQ$1+6&gt;=$C34),1,"")</f>
        <v/>
      </c>
      <c r="AR34" s="7" t="str">
        <f>IF(AND(ISNUMBER($C34),ISNUMBER($D34),AR$1&lt;=$D34,AR$1+6&gt;=$C34),1,"")</f>
        <v/>
      </c>
      <c r="AS34" s="7" t="str">
        <f>IF(AND(ISNUMBER($C34),ISNUMBER($D34),AS$1&lt;=$D34,AS$1+6&gt;=$C34),1,"")</f>
        <v/>
      </c>
      <c r="AT34" s="7" t="str">
        <f>IF(AND(ISNUMBER($C34),ISNUMBER($D34),AT$1&lt;=$D34,AT$1+6&gt;=$C34),1,"")</f>
        <v/>
      </c>
      <c r="AU34" s="7" t="str">
        <f>IF(AND(ISNUMBER($C34),ISNUMBER($D34),AU$1&lt;=$D34,AU$1+6&gt;=$C34),1,"")</f>
        <v/>
      </c>
      <c r="AV34" s="7" t="str">
        <f>IF(AND(ISNUMBER($C34),ISNUMBER($D34),AV$1&lt;=$D34,AV$1+6&gt;=$C34),1,"")</f>
        <v/>
      </c>
      <c r="AW34" s="7" t="str">
        <f>IF(AND(ISNUMBER($C34),ISNUMBER($D34),AW$1&lt;=$D34,AW$1+6&gt;=$C34),1,"")</f>
        <v/>
      </c>
      <c r="AX34" s="7" t="str">
        <f>IF(AND(ISNUMBER($C34),ISNUMBER($D34),AX$1&lt;=$D34,AX$1+6&gt;=$C34),1,"")</f>
        <v/>
      </c>
      <c r="AY34" s="7" t="str">
        <f>IF(AND(ISNUMBER($C34),ISNUMBER($D34),AY$1&lt;=$D34,AY$1+6&gt;=$C34),1,"")</f>
        <v/>
      </c>
      <c r="AZ34" s="7" t="str">
        <f>IF(AND(ISNUMBER($C34),ISNUMBER($D34),AZ$1&lt;=$D34,AZ$1+6&gt;=$C34),1,"")</f>
        <v/>
      </c>
      <c r="BA34" s="7" t="str">
        <f>IF(AND(ISNUMBER($C34),ISNUMBER($D34),BA$1&lt;=$D34,BA$1+6&gt;=$C34),1,"")</f>
        <v/>
      </c>
      <c r="BB34" s="7" t="str">
        <f>IF(AND(ISNUMBER($C34),ISNUMBER($D34),BB$1&lt;=$D34,BB$1+6&gt;=$C34),1,"")</f>
        <v/>
      </c>
      <c r="BC34" s="7" t="str">
        <f>IF(AND(ISNUMBER($C34),ISNUMBER($D34),BC$1&lt;=$D34,BC$1+6&gt;=$C34),1,"")</f>
        <v/>
      </c>
      <c r="BD34" s="7" t="str">
        <f>IF(AND(ISNUMBER($C34),ISNUMBER($D34),BD$1&lt;=$D34,BD$1+6&gt;=$C34),1,"")</f>
        <v/>
      </c>
      <c r="BE34" s="7" t="str">
        <f>IF(AND(ISNUMBER($C34),ISNUMBER($D34),BE$1&lt;=$D34,BE$1+6&gt;=$C34),1,"")</f>
        <v/>
      </c>
      <c r="BF34" s="7" t="str">
        <f>IF(AND(ISNUMBER($C34),ISNUMBER($D34),BF$1&lt;=$D34,BF$1+6&gt;=$C34),1,"")</f>
        <v/>
      </c>
      <c r="BG34" s="7" t="str">
        <f>IF(AND(ISNUMBER($C34),ISNUMBER($D34),BG$1&lt;=$D34,BG$1+6&gt;=$C34),1,"")</f>
        <v/>
      </c>
      <c r="BH34" s="7" t="str">
        <f>IF(AND(ISNUMBER($C34),ISNUMBER($D34),BH$1&lt;=$D34,BH$1+6&gt;=$C34),1,"")</f>
        <v/>
      </c>
      <c r="BI34" s="7" t="str">
        <f>IF(AND(ISNUMBER($C34),ISNUMBER($D34),BI$1&lt;=$D34,BI$1+6&gt;=$C34),1,"")</f>
        <v/>
      </c>
      <c r="BJ34" s="7" t="str">
        <f>IF(AND(ISNUMBER($C34),ISNUMBER($D34),BJ$1&lt;=$D34,BJ$1+6&gt;=$C34),1,"")</f>
        <v/>
      </c>
      <c r="BK34" s="7" t="str">
        <f>IF(AND(ISNUMBER($C34),ISNUMBER($D34),BK$1&lt;=$D34,BK$1+6&gt;=$C34),1,"")</f>
        <v/>
      </c>
      <c r="BL34" s="7" t="str">
        <f>IF(AND(ISNUMBER($C34),ISNUMBER($D34),BL$1&lt;=$D34,BL$1+6&gt;=$C34),1,"")</f>
        <v/>
      </c>
      <c r="BM34" s="7" t="str">
        <f>IF(AND(ISNUMBER($C34),ISNUMBER($D34),BM$1&lt;=$D34,BM$1+6&gt;=$C34),1,"")</f>
        <v/>
      </c>
      <c r="BN34" s="7" t="str">
        <f>IF(AND(ISNUMBER($C34),ISNUMBER($D34),BN$1&lt;=$D34,BN$1+6&gt;=$C34),1,"")</f>
        <v/>
      </c>
      <c r="BO34" s="7" t="str">
        <f>IF(AND(ISNUMBER($C34),ISNUMBER($D34),BO$1&lt;=$D34,BO$1+6&gt;=$C34),1,"")</f>
        <v/>
      </c>
      <c r="BP34" s="7" t="str">
        <f>IF(AND(ISNUMBER($C34),ISNUMBER($D34),BP$1&lt;=$D34,BP$1+6&gt;=$C34),1,"")</f>
        <v/>
      </c>
      <c r="BQ34" s="7" t="str">
        <f>IF(AND(ISNUMBER($C34),ISNUMBER($D34),BQ$1&lt;=$D34,BQ$1+6&gt;=$C34),1,"")</f>
        <v/>
      </c>
      <c r="BR34" s="7" t="str">
        <f>IF(AND(ISNUMBER($C34),ISNUMBER($D34),BR$1&lt;=$D34,BR$1+6&gt;=$C34),1,"")</f>
        <v/>
      </c>
      <c r="BS34" s="7" t="str">
        <f>IF(AND(ISNUMBER($C34),ISNUMBER($D34),BS$1&lt;=$D34,BS$1+6&gt;=$C34),1,"")</f>
        <v/>
      </c>
      <c r="BT34" s="7" t="str">
        <f>IF(AND(ISNUMBER($C34),ISNUMBER($D34),BT$1&lt;=$D34,BT$1+6&gt;=$C34),1,"")</f>
        <v/>
      </c>
      <c r="BU34" s="7" t="str">
        <f>IF(AND(ISNUMBER($C34),ISNUMBER($D34),BU$1&lt;=$D34,BU$1+6&gt;=$C34),1,"")</f>
        <v/>
      </c>
      <c r="BV34" s="7" t="str">
        <f>IF(AND(ISNUMBER($C34),ISNUMBER($D34),BV$1&lt;=$D34,BV$1+6&gt;=$C34),1,"")</f>
        <v/>
      </c>
      <c r="BW34" s="7" t="str">
        <f>IF(AND(ISNUMBER($C34),ISNUMBER($D34),BW$1&lt;=$D34,BW$1+6&gt;=$C34),1,"")</f>
        <v/>
      </c>
      <c r="BX34" s="7" t="str">
        <f>IF(AND(ISNUMBER($C34),ISNUMBER($D34),BX$1&lt;=$D34,BX$1+6&gt;=$C34),1,"")</f>
        <v/>
      </c>
      <c r="BY34" s="7" t="str">
        <f>IF(AND(ISNUMBER($C34),ISNUMBER($D34),BY$1&lt;=$D34,BY$1+6&gt;=$C34),1,"")</f>
        <v/>
      </c>
      <c r="BZ34" s="7" t="str">
        <f>IF(AND(ISNUMBER($C34),ISNUMBER($D34),BZ$1&lt;=$D34,BZ$1+6&gt;=$C34),1,"")</f>
        <v/>
      </c>
      <c r="CA34" s="7" t="str">
        <f>IF(AND(ISNUMBER($C34),ISNUMBER($D34),CA$1&lt;=$D34,CA$1+6&gt;=$C34),1,"")</f>
        <v/>
      </c>
      <c r="CB34" s="7" t="str">
        <f>IF(AND(ISNUMBER($C34),ISNUMBER($D34),CB$1&lt;=$D34,CB$1+6&gt;=$C34),1,"")</f>
        <v/>
      </c>
      <c r="CC34" s="7" t="str">
        <f>IF(AND(ISNUMBER($C34),ISNUMBER($D34),CC$1&lt;=$D34,CC$1+6&gt;=$C34),1,"")</f>
        <v/>
      </c>
      <c r="CD34" s="7" t="str">
        <f>IF(AND(ISNUMBER($C34),ISNUMBER($D34),CD$1&lt;=$D34,CD$1+6&gt;=$C34),1,"")</f>
        <v/>
      </c>
      <c r="CE34" s="7" t="str">
        <f>IF(AND(ISNUMBER($C34),ISNUMBER($D34),CE$1&lt;=$D34,CE$1+6&gt;=$C34),1,"")</f>
        <v/>
      </c>
      <c r="CF34" s="7" t="str">
        <f>IF(AND(ISNUMBER($C34),ISNUMBER($D34),CF$1&lt;=$D34,CF$1+6&gt;=$C34),1,"")</f>
        <v/>
      </c>
      <c r="CG34" s="7" t="str">
        <f>IF(AND(ISNUMBER($C34),ISNUMBER($D34),CG$1&lt;=$D34,CG$1+6&gt;=$C34),1,"")</f>
        <v/>
      </c>
      <c r="CH34" s="7" t="str">
        <f>IF(AND(ISNUMBER($C34),ISNUMBER($D34),CH$1&lt;=$D34,CH$1+6&gt;=$C34),1,"")</f>
        <v/>
      </c>
      <c r="CI34" s="7" t="str">
        <f>IF(AND(ISNUMBER($C34),ISNUMBER($D34),CI$1&lt;=$D34,CI$1+6&gt;=$C34),1,"")</f>
        <v/>
      </c>
      <c r="CJ34" s="7" t="str">
        <f>IF(AND(ISNUMBER($C34),ISNUMBER($D34),CJ$1&lt;=$D34,CJ$1+6&gt;=$C34),1,"")</f>
        <v/>
      </c>
      <c r="CK34" s="7" t="str">
        <f>IF(AND(ISNUMBER($C34),ISNUMBER($D34),CK$1&lt;=$D34,CK$1+6&gt;=$C34),1,"")</f>
        <v/>
      </c>
      <c r="CL34" s="7" t="str">
        <f>IF(AND(ISNUMBER($C34),ISNUMBER($D34),CL$1&lt;=$D34,CL$1+6&gt;=$C34),1,"")</f>
        <v/>
      </c>
      <c r="CM34" s="7" t="str">
        <f>IF(AND(ISNUMBER($C34),ISNUMBER($D34),CM$1&lt;=$D34,CM$1+6&gt;=$C34),1,"")</f>
        <v/>
      </c>
      <c r="CN34" s="7" t="str">
        <f>IF(AND(ISNUMBER($C34),ISNUMBER($D34),CN$1&lt;=$D34,CN$1+6&gt;=$C34),1,"")</f>
        <v/>
      </c>
      <c r="CO34" s="7" t="str">
        <f>IF(AND(ISNUMBER($C34),ISNUMBER($D34),CO$1&lt;=$D34,CO$1+6&gt;=$C34),1,"")</f>
        <v/>
      </c>
      <c r="CP34" s="7" t="str">
        <f>IF(AND(ISNUMBER($C34),ISNUMBER($D34),CP$1&lt;=$D34,CP$1+6&gt;=$C34),1,"")</f>
        <v/>
      </c>
      <c r="CQ34" s="7" t="str">
        <f>IF(AND(ISNUMBER($C34),ISNUMBER($D34),CQ$1&lt;=$D34,CQ$1+6&gt;=$C34),1,"")</f>
        <v/>
      </c>
      <c r="CR34" s="7" t="str">
        <f>IF(AND(ISNUMBER($C34),ISNUMBER($D34),CR$1&lt;=$D34,CR$1+6&gt;=$C34),1,"")</f>
        <v/>
      </c>
      <c r="CS34" s="7" t="str">
        <f>IF(AND(ISNUMBER($C34),ISNUMBER($D34),CS$1&lt;=$D34,CS$1+6&gt;=$C34),1,"")</f>
        <v/>
      </c>
      <c r="CT34" s="7" t="str">
        <f>IF(AND(ISNUMBER($C34),ISNUMBER($D34),CT$1&lt;=$D34,CT$1+6&gt;=$C34),1,"")</f>
        <v/>
      </c>
      <c r="CU34" s="7" t="str">
        <f>IF(AND(ISNUMBER($C34),ISNUMBER($D34),CU$1&lt;=$D34,CU$1+6&gt;=$C34),1,"")</f>
        <v/>
      </c>
      <c r="CV34" s="7" t="str">
        <f>IF(AND(ISNUMBER($C34),ISNUMBER($D34),CV$1&lt;=$D34,CV$1+6&gt;=$C34),1,"")</f>
        <v/>
      </c>
      <c r="CW34" s="7" t="str">
        <f>IF(AND(ISNUMBER($C34),ISNUMBER($D34),CW$1&lt;=$D34,CW$1+6&gt;=$C34),1,"")</f>
        <v/>
      </c>
      <c r="CX34" s="7" t="str">
        <f>IF(AND(ISNUMBER($C34),ISNUMBER($D34),CX$1&lt;=$D34,CX$1+6&gt;=$C34),1,"")</f>
        <v/>
      </c>
      <c r="CY34" s="7" t="str">
        <f>IF(AND(ISNUMBER($C34),ISNUMBER($D34),CY$1&lt;=$D34,CY$1+6&gt;=$C34),1,"")</f>
        <v/>
      </c>
      <c r="CZ34" s="7" t="str">
        <f>IF(AND(ISNUMBER($C34),ISNUMBER($D34),CZ$1&lt;=$D34,CZ$1+6&gt;=$C34),1,"")</f>
        <v/>
      </c>
      <c r="DA34" s="7" t="str">
        <f>IF(AND(ISNUMBER($C34),ISNUMBER($D34),DA$1&lt;=$D34,DA$1+6&gt;=$C34),1,"")</f>
        <v/>
      </c>
      <c r="DB34" s="7" t="str">
        <f>IF(AND(ISNUMBER($C34),ISNUMBER($D34),DB$1&lt;=$D34,DB$1+6&gt;=$C34),1,"")</f>
        <v/>
      </c>
      <c r="DC34" s="7" t="str">
        <f>IF(AND(ISNUMBER($C34),ISNUMBER($D34),DC$1&lt;=$D34,DC$1+6&gt;=$C34),1,"")</f>
        <v/>
      </c>
      <c r="DD34" s="7" t="str">
        <f>IF(AND(ISNUMBER($C34),ISNUMBER($D34),DD$1&lt;=$D34,DD$1+6&gt;=$C34),1,"")</f>
        <v/>
      </c>
    </row>
    <row r="35" spans="1:108" x14ac:dyDescent="0.35">
      <c r="A35" s="6" t="str">
        <f>Schedule!B35</f>
        <v>Requirements scoping and stakeholder alignment</v>
      </c>
      <c r="B35" s="6" t="str">
        <f>Schedule!C35</f>
        <v>Delivery</v>
      </c>
      <c r="C35" s="4">
        <f>IF(Schedule!P35="","",Schedule!P35)</f>
        <v>46349</v>
      </c>
      <c r="D35" s="4">
        <f>IF(Schedule!Q35="","",Schedule!Q35)</f>
        <v>46381</v>
      </c>
      <c r="E35" s="7" t="str">
        <f>IF(AND(ISNUMBER($C35),ISNUMBER($D35),E$1&lt;=$D35,E$1+6&gt;=$C35),1,"")</f>
        <v/>
      </c>
      <c r="F35" s="7" t="str">
        <f>IF(AND(ISNUMBER($C35),ISNUMBER($D35),F$1&lt;=$D35,F$1+6&gt;=$C35),1,"")</f>
        <v/>
      </c>
      <c r="G35" s="7" t="str">
        <f>IF(AND(ISNUMBER($C35),ISNUMBER($D35),G$1&lt;=$D35,G$1+6&gt;=$C35),1,"")</f>
        <v/>
      </c>
      <c r="H35" s="7" t="str">
        <f>IF(AND(ISNUMBER($C35),ISNUMBER($D35),H$1&lt;=$D35,H$1+6&gt;=$C35),1,"")</f>
        <v/>
      </c>
      <c r="I35" s="7">
        <f>IF(AND(ISNUMBER($C35),ISNUMBER($D35),I$1&lt;=$D35,I$1+6&gt;=$C35),1,"")</f>
        <v>1</v>
      </c>
      <c r="J35" s="7">
        <f>IF(AND(ISNUMBER($C35),ISNUMBER($D35),J$1&lt;=$D35,J$1+6&gt;=$C35),1,"")</f>
        <v>1</v>
      </c>
      <c r="K35" s="7">
        <f>IF(AND(ISNUMBER($C35),ISNUMBER($D35),K$1&lt;=$D35,K$1+6&gt;=$C35),1,"")</f>
        <v>1</v>
      </c>
      <c r="L35" s="7">
        <f>IF(AND(ISNUMBER($C35),ISNUMBER($D35),L$1&lt;=$D35,L$1+6&gt;=$C35),1,"")</f>
        <v>1</v>
      </c>
      <c r="M35" s="7">
        <f>IF(AND(ISNUMBER($C35),ISNUMBER($D35),M$1&lt;=$D35,M$1+6&gt;=$C35),1,"")</f>
        <v>1</v>
      </c>
      <c r="N35" s="7">
        <f>IF(AND(ISNUMBER($C35),ISNUMBER($D35),N$1&lt;=$D35,N$1+6&gt;=$C35),1,"")</f>
        <v>1</v>
      </c>
      <c r="O35" s="7" t="str">
        <f>IF(AND(ISNUMBER($C35),ISNUMBER($D35),O$1&lt;=$D35,O$1+6&gt;=$C35),1,"")</f>
        <v/>
      </c>
      <c r="P35" s="7" t="str">
        <f>IF(AND(ISNUMBER($C35),ISNUMBER($D35),P$1&lt;=$D35,P$1+6&gt;=$C35),1,"")</f>
        <v/>
      </c>
      <c r="Q35" s="7" t="str">
        <f>IF(AND(ISNUMBER($C35),ISNUMBER($D35),Q$1&lt;=$D35,Q$1+6&gt;=$C35),1,"")</f>
        <v/>
      </c>
      <c r="R35" s="7" t="str">
        <f>IF(AND(ISNUMBER($C35),ISNUMBER($D35),R$1&lt;=$D35,R$1+6&gt;=$C35),1,"")</f>
        <v/>
      </c>
      <c r="S35" s="7" t="str">
        <f>IF(AND(ISNUMBER($C35),ISNUMBER($D35),S$1&lt;=$D35,S$1+6&gt;=$C35),1,"")</f>
        <v/>
      </c>
      <c r="T35" s="7" t="str">
        <f>IF(AND(ISNUMBER($C35),ISNUMBER($D35),T$1&lt;=$D35,T$1+6&gt;=$C35),1,"")</f>
        <v/>
      </c>
      <c r="U35" s="7" t="str">
        <f>IF(AND(ISNUMBER($C35),ISNUMBER($D35),U$1&lt;=$D35,U$1+6&gt;=$C35),1,"")</f>
        <v/>
      </c>
      <c r="V35" s="7" t="str">
        <f>IF(AND(ISNUMBER($C35),ISNUMBER($D35),V$1&lt;=$D35,V$1+6&gt;=$C35),1,"")</f>
        <v/>
      </c>
      <c r="W35" s="7" t="str">
        <f>IF(AND(ISNUMBER($C35),ISNUMBER($D35),W$1&lt;=$D35,W$1+6&gt;=$C35),1,"")</f>
        <v/>
      </c>
      <c r="X35" s="7" t="str">
        <f>IF(AND(ISNUMBER($C35),ISNUMBER($D35),X$1&lt;=$D35,X$1+6&gt;=$C35),1,"")</f>
        <v/>
      </c>
      <c r="Y35" s="7" t="str">
        <f>IF(AND(ISNUMBER($C35),ISNUMBER($D35),Y$1&lt;=$D35,Y$1+6&gt;=$C35),1,"")</f>
        <v/>
      </c>
      <c r="Z35" s="7" t="str">
        <f>IF(AND(ISNUMBER($C35),ISNUMBER($D35),Z$1&lt;=$D35,Z$1+6&gt;=$C35),1,"")</f>
        <v/>
      </c>
      <c r="AA35" s="7" t="str">
        <f>IF(AND(ISNUMBER($C35),ISNUMBER($D35),AA$1&lt;=$D35,AA$1+6&gt;=$C35),1,"")</f>
        <v/>
      </c>
      <c r="AB35" s="7" t="str">
        <f>IF(AND(ISNUMBER($C35),ISNUMBER($D35),AB$1&lt;=$D35,AB$1+6&gt;=$C35),1,"")</f>
        <v/>
      </c>
      <c r="AC35" s="7" t="str">
        <f>IF(AND(ISNUMBER($C35),ISNUMBER($D35),AC$1&lt;=$D35,AC$1+6&gt;=$C35),1,"")</f>
        <v/>
      </c>
      <c r="AD35" s="7" t="str">
        <f>IF(AND(ISNUMBER($C35),ISNUMBER($D35),AD$1&lt;=$D35,AD$1+6&gt;=$C35),1,"")</f>
        <v/>
      </c>
      <c r="AE35" s="7" t="str">
        <f>IF(AND(ISNUMBER($C35),ISNUMBER($D35),AE$1&lt;=$D35,AE$1+6&gt;=$C35),1,"")</f>
        <v/>
      </c>
      <c r="AF35" s="7" t="str">
        <f>IF(AND(ISNUMBER($C35),ISNUMBER($D35),AF$1&lt;=$D35,AF$1+6&gt;=$C35),1,"")</f>
        <v/>
      </c>
      <c r="AG35" s="7" t="str">
        <f>IF(AND(ISNUMBER($C35),ISNUMBER($D35),AG$1&lt;=$D35,AG$1+6&gt;=$C35),1,"")</f>
        <v/>
      </c>
      <c r="AH35" s="7" t="str">
        <f>IF(AND(ISNUMBER($C35),ISNUMBER($D35),AH$1&lt;=$D35,AH$1+6&gt;=$C35),1,"")</f>
        <v/>
      </c>
      <c r="AI35" s="7" t="str">
        <f>IF(AND(ISNUMBER($C35),ISNUMBER($D35),AI$1&lt;=$D35,AI$1+6&gt;=$C35),1,"")</f>
        <v/>
      </c>
      <c r="AJ35" s="7" t="str">
        <f>IF(AND(ISNUMBER($C35),ISNUMBER($D35),AJ$1&lt;=$D35,AJ$1+6&gt;=$C35),1,"")</f>
        <v/>
      </c>
      <c r="AK35" s="7" t="str">
        <f>IF(AND(ISNUMBER($C35),ISNUMBER($D35),AK$1&lt;=$D35,AK$1+6&gt;=$C35),1,"")</f>
        <v/>
      </c>
      <c r="AL35" s="7" t="str">
        <f>IF(AND(ISNUMBER($C35),ISNUMBER($D35),AL$1&lt;=$D35,AL$1+6&gt;=$C35),1,"")</f>
        <v/>
      </c>
      <c r="AM35" s="7" t="str">
        <f>IF(AND(ISNUMBER($C35),ISNUMBER($D35),AM$1&lt;=$D35,AM$1+6&gt;=$C35),1,"")</f>
        <v/>
      </c>
      <c r="AN35" s="7" t="str">
        <f>IF(AND(ISNUMBER($C35),ISNUMBER($D35),AN$1&lt;=$D35,AN$1+6&gt;=$C35),1,"")</f>
        <v/>
      </c>
      <c r="AO35" s="7" t="str">
        <f>IF(AND(ISNUMBER($C35),ISNUMBER($D35),AO$1&lt;=$D35,AO$1+6&gt;=$C35),1,"")</f>
        <v/>
      </c>
      <c r="AP35" s="7" t="str">
        <f>IF(AND(ISNUMBER($C35),ISNUMBER($D35),AP$1&lt;=$D35,AP$1+6&gt;=$C35),1,"")</f>
        <v/>
      </c>
      <c r="AQ35" s="7" t="str">
        <f>IF(AND(ISNUMBER($C35),ISNUMBER($D35),AQ$1&lt;=$D35,AQ$1+6&gt;=$C35),1,"")</f>
        <v/>
      </c>
      <c r="AR35" s="7" t="str">
        <f>IF(AND(ISNUMBER($C35),ISNUMBER($D35),AR$1&lt;=$D35,AR$1+6&gt;=$C35),1,"")</f>
        <v/>
      </c>
      <c r="AS35" s="7" t="str">
        <f>IF(AND(ISNUMBER($C35),ISNUMBER($D35),AS$1&lt;=$D35,AS$1+6&gt;=$C35),1,"")</f>
        <v/>
      </c>
      <c r="AT35" s="7" t="str">
        <f>IF(AND(ISNUMBER($C35),ISNUMBER($D35),AT$1&lt;=$D35,AT$1+6&gt;=$C35),1,"")</f>
        <v/>
      </c>
      <c r="AU35" s="7" t="str">
        <f>IF(AND(ISNUMBER($C35),ISNUMBER($D35),AU$1&lt;=$D35,AU$1+6&gt;=$C35),1,"")</f>
        <v/>
      </c>
      <c r="AV35" s="7" t="str">
        <f>IF(AND(ISNUMBER($C35),ISNUMBER($D35),AV$1&lt;=$D35,AV$1+6&gt;=$C35),1,"")</f>
        <v/>
      </c>
      <c r="AW35" s="7" t="str">
        <f>IF(AND(ISNUMBER($C35),ISNUMBER($D35),AW$1&lt;=$D35,AW$1+6&gt;=$C35),1,"")</f>
        <v/>
      </c>
      <c r="AX35" s="7" t="str">
        <f>IF(AND(ISNUMBER($C35),ISNUMBER($D35),AX$1&lt;=$D35,AX$1+6&gt;=$C35),1,"")</f>
        <v/>
      </c>
      <c r="AY35" s="7" t="str">
        <f>IF(AND(ISNUMBER($C35),ISNUMBER($D35),AY$1&lt;=$D35,AY$1+6&gt;=$C35),1,"")</f>
        <v/>
      </c>
      <c r="AZ35" s="7" t="str">
        <f>IF(AND(ISNUMBER($C35),ISNUMBER($D35),AZ$1&lt;=$D35,AZ$1+6&gt;=$C35),1,"")</f>
        <v/>
      </c>
      <c r="BA35" s="7" t="str">
        <f>IF(AND(ISNUMBER($C35),ISNUMBER($D35),BA$1&lt;=$D35,BA$1+6&gt;=$C35),1,"")</f>
        <v/>
      </c>
      <c r="BB35" s="7" t="str">
        <f>IF(AND(ISNUMBER($C35),ISNUMBER($D35),BB$1&lt;=$D35,BB$1+6&gt;=$C35),1,"")</f>
        <v/>
      </c>
      <c r="BC35" s="7" t="str">
        <f>IF(AND(ISNUMBER($C35),ISNUMBER($D35),BC$1&lt;=$D35,BC$1+6&gt;=$C35),1,"")</f>
        <v/>
      </c>
      <c r="BD35" s="7" t="str">
        <f>IF(AND(ISNUMBER($C35),ISNUMBER($D35),BD$1&lt;=$D35,BD$1+6&gt;=$C35),1,"")</f>
        <v/>
      </c>
      <c r="BE35" s="7" t="str">
        <f>IF(AND(ISNUMBER($C35),ISNUMBER($D35),BE$1&lt;=$D35,BE$1+6&gt;=$C35),1,"")</f>
        <v/>
      </c>
      <c r="BF35" s="7" t="str">
        <f>IF(AND(ISNUMBER($C35),ISNUMBER($D35),BF$1&lt;=$D35,BF$1+6&gt;=$C35),1,"")</f>
        <v/>
      </c>
      <c r="BG35" s="7" t="str">
        <f>IF(AND(ISNUMBER($C35),ISNUMBER($D35),BG$1&lt;=$D35,BG$1+6&gt;=$C35),1,"")</f>
        <v/>
      </c>
      <c r="BH35" s="7" t="str">
        <f>IF(AND(ISNUMBER($C35),ISNUMBER($D35),BH$1&lt;=$D35,BH$1+6&gt;=$C35),1,"")</f>
        <v/>
      </c>
      <c r="BI35" s="7" t="str">
        <f>IF(AND(ISNUMBER($C35),ISNUMBER($D35),BI$1&lt;=$D35,BI$1+6&gt;=$C35),1,"")</f>
        <v/>
      </c>
      <c r="BJ35" s="7" t="str">
        <f>IF(AND(ISNUMBER($C35),ISNUMBER($D35),BJ$1&lt;=$D35,BJ$1+6&gt;=$C35),1,"")</f>
        <v/>
      </c>
      <c r="BK35" s="7" t="str">
        <f>IF(AND(ISNUMBER($C35),ISNUMBER($D35),BK$1&lt;=$D35,BK$1+6&gt;=$C35),1,"")</f>
        <v/>
      </c>
      <c r="BL35" s="7" t="str">
        <f>IF(AND(ISNUMBER($C35),ISNUMBER($D35),BL$1&lt;=$D35,BL$1+6&gt;=$C35),1,"")</f>
        <v/>
      </c>
      <c r="BM35" s="7" t="str">
        <f>IF(AND(ISNUMBER($C35),ISNUMBER($D35),BM$1&lt;=$D35,BM$1+6&gt;=$C35),1,"")</f>
        <v/>
      </c>
      <c r="BN35" s="7" t="str">
        <f>IF(AND(ISNUMBER($C35),ISNUMBER($D35),BN$1&lt;=$D35,BN$1+6&gt;=$C35),1,"")</f>
        <v/>
      </c>
      <c r="BO35" s="7" t="str">
        <f>IF(AND(ISNUMBER($C35),ISNUMBER($D35),BO$1&lt;=$D35,BO$1+6&gt;=$C35),1,"")</f>
        <v/>
      </c>
      <c r="BP35" s="7" t="str">
        <f>IF(AND(ISNUMBER($C35),ISNUMBER($D35),BP$1&lt;=$D35,BP$1+6&gt;=$C35),1,"")</f>
        <v/>
      </c>
      <c r="BQ35" s="7" t="str">
        <f>IF(AND(ISNUMBER($C35),ISNUMBER($D35),BQ$1&lt;=$D35,BQ$1+6&gt;=$C35),1,"")</f>
        <v/>
      </c>
      <c r="BR35" s="7" t="str">
        <f>IF(AND(ISNUMBER($C35),ISNUMBER($D35),BR$1&lt;=$D35,BR$1+6&gt;=$C35),1,"")</f>
        <v/>
      </c>
      <c r="BS35" s="7" t="str">
        <f>IF(AND(ISNUMBER($C35),ISNUMBER($D35),BS$1&lt;=$D35,BS$1+6&gt;=$C35),1,"")</f>
        <v/>
      </c>
      <c r="BT35" s="7" t="str">
        <f>IF(AND(ISNUMBER($C35),ISNUMBER($D35),BT$1&lt;=$D35,BT$1+6&gt;=$C35),1,"")</f>
        <v/>
      </c>
      <c r="BU35" s="7" t="str">
        <f>IF(AND(ISNUMBER($C35),ISNUMBER($D35),BU$1&lt;=$D35,BU$1+6&gt;=$C35),1,"")</f>
        <v/>
      </c>
      <c r="BV35" s="7" t="str">
        <f>IF(AND(ISNUMBER($C35),ISNUMBER($D35),BV$1&lt;=$D35,BV$1+6&gt;=$C35),1,"")</f>
        <v/>
      </c>
      <c r="BW35" s="7" t="str">
        <f>IF(AND(ISNUMBER($C35),ISNUMBER($D35),BW$1&lt;=$D35,BW$1+6&gt;=$C35),1,"")</f>
        <v/>
      </c>
      <c r="BX35" s="7" t="str">
        <f>IF(AND(ISNUMBER($C35),ISNUMBER($D35),BX$1&lt;=$D35,BX$1+6&gt;=$C35),1,"")</f>
        <v/>
      </c>
      <c r="BY35" s="7" t="str">
        <f>IF(AND(ISNUMBER($C35),ISNUMBER($D35),BY$1&lt;=$D35,BY$1+6&gt;=$C35),1,"")</f>
        <v/>
      </c>
      <c r="BZ35" s="7" t="str">
        <f>IF(AND(ISNUMBER($C35),ISNUMBER($D35),BZ$1&lt;=$D35,BZ$1+6&gt;=$C35),1,"")</f>
        <v/>
      </c>
      <c r="CA35" s="7" t="str">
        <f>IF(AND(ISNUMBER($C35),ISNUMBER($D35),CA$1&lt;=$D35,CA$1+6&gt;=$C35),1,"")</f>
        <v/>
      </c>
      <c r="CB35" s="7" t="str">
        <f>IF(AND(ISNUMBER($C35),ISNUMBER($D35),CB$1&lt;=$D35,CB$1+6&gt;=$C35),1,"")</f>
        <v/>
      </c>
      <c r="CC35" s="7" t="str">
        <f>IF(AND(ISNUMBER($C35),ISNUMBER($D35),CC$1&lt;=$D35,CC$1+6&gt;=$C35),1,"")</f>
        <v/>
      </c>
      <c r="CD35" s="7" t="str">
        <f>IF(AND(ISNUMBER($C35),ISNUMBER($D35),CD$1&lt;=$D35,CD$1+6&gt;=$C35),1,"")</f>
        <v/>
      </c>
      <c r="CE35" s="7" t="str">
        <f>IF(AND(ISNUMBER($C35),ISNUMBER($D35),CE$1&lt;=$D35,CE$1+6&gt;=$C35),1,"")</f>
        <v/>
      </c>
      <c r="CF35" s="7" t="str">
        <f>IF(AND(ISNUMBER($C35),ISNUMBER($D35),CF$1&lt;=$D35,CF$1+6&gt;=$C35),1,"")</f>
        <v/>
      </c>
      <c r="CG35" s="7" t="str">
        <f>IF(AND(ISNUMBER($C35),ISNUMBER($D35),CG$1&lt;=$D35,CG$1+6&gt;=$C35),1,"")</f>
        <v/>
      </c>
      <c r="CH35" s="7" t="str">
        <f>IF(AND(ISNUMBER($C35),ISNUMBER($D35),CH$1&lt;=$D35,CH$1+6&gt;=$C35),1,"")</f>
        <v/>
      </c>
      <c r="CI35" s="7" t="str">
        <f>IF(AND(ISNUMBER($C35),ISNUMBER($D35),CI$1&lt;=$D35,CI$1+6&gt;=$C35),1,"")</f>
        <v/>
      </c>
      <c r="CJ35" s="7" t="str">
        <f>IF(AND(ISNUMBER($C35),ISNUMBER($D35),CJ$1&lt;=$D35,CJ$1+6&gt;=$C35),1,"")</f>
        <v/>
      </c>
      <c r="CK35" s="7" t="str">
        <f>IF(AND(ISNUMBER($C35),ISNUMBER($D35),CK$1&lt;=$D35,CK$1+6&gt;=$C35),1,"")</f>
        <v/>
      </c>
      <c r="CL35" s="7" t="str">
        <f>IF(AND(ISNUMBER($C35),ISNUMBER($D35),CL$1&lt;=$D35,CL$1+6&gt;=$C35),1,"")</f>
        <v/>
      </c>
      <c r="CM35" s="7" t="str">
        <f>IF(AND(ISNUMBER($C35),ISNUMBER($D35),CM$1&lt;=$D35,CM$1+6&gt;=$C35),1,"")</f>
        <v/>
      </c>
      <c r="CN35" s="7" t="str">
        <f>IF(AND(ISNUMBER($C35),ISNUMBER($D35),CN$1&lt;=$D35,CN$1+6&gt;=$C35),1,"")</f>
        <v/>
      </c>
      <c r="CO35" s="7" t="str">
        <f>IF(AND(ISNUMBER($C35),ISNUMBER($D35),CO$1&lt;=$D35,CO$1+6&gt;=$C35),1,"")</f>
        <v/>
      </c>
      <c r="CP35" s="7" t="str">
        <f>IF(AND(ISNUMBER($C35),ISNUMBER($D35),CP$1&lt;=$D35,CP$1+6&gt;=$C35),1,"")</f>
        <v/>
      </c>
      <c r="CQ35" s="7" t="str">
        <f>IF(AND(ISNUMBER($C35),ISNUMBER($D35),CQ$1&lt;=$D35,CQ$1+6&gt;=$C35),1,"")</f>
        <v/>
      </c>
      <c r="CR35" s="7" t="str">
        <f>IF(AND(ISNUMBER($C35),ISNUMBER($D35),CR$1&lt;=$D35,CR$1+6&gt;=$C35),1,"")</f>
        <v/>
      </c>
      <c r="CS35" s="7" t="str">
        <f>IF(AND(ISNUMBER($C35),ISNUMBER($D35),CS$1&lt;=$D35,CS$1+6&gt;=$C35),1,"")</f>
        <v/>
      </c>
      <c r="CT35" s="7" t="str">
        <f>IF(AND(ISNUMBER($C35),ISNUMBER($D35),CT$1&lt;=$D35,CT$1+6&gt;=$C35),1,"")</f>
        <v/>
      </c>
      <c r="CU35" s="7" t="str">
        <f>IF(AND(ISNUMBER($C35),ISNUMBER($D35),CU$1&lt;=$D35,CU$1+6&gt;=$C35),1,"")</f>
        <v/>
      </c>
      <c r="CV35" s="7" t="str">
        <f>IF(AND(ISNUMBER($C35),ISNUMBER($D35),CV$1&lt;=$D35,CV$1+6&gt;=$C35),1,"")</f>
        <v/>
      </c>
      <c r="CW35" s="7" t="str">
        <f>IF(AND(ISNUMBER($C35),ISNUMBER($D35),CW$1&lt;=$D35,CW$1+6&gt;=$C35),1,"")</f>
        <v/>
      </c>
      <c r="CX35" s="7" t="str">
        <f>IF(AND(ISNUMBER($C35),ISNUMBER($D35),CX$1&lt;=$D35,CX$1+6&gt;=$C35),1,"")</f>
        <v/>
      </c>
      <c r="CY35" s="7" t="str">
        <f>IF(AND(ISNUMBER($C35),ISNUMBER($D35),CY$1&lt;=$D35,CY$1+6&gt;=$C35),1,"")</f>
        <v/>
      </c>
      <c r="CZ35" s="7" t="str">
        <f>IF(AND(ISNUMBER($C35),ISNUMBER($D35),CZ$1&lt;=$D35,CZ$1+6&gt;=$C35),1,"")</f>
        <v/>
      </c>
      <c r="DA35" s="7" t="str">
        <f>IF(AND(ISNUMBER($C35),ISNUMBER($D35),DA$1&lt;=$D35,DA$1+6&gt;=$C35),1,"")</f>
        <v/>
      </c>
      <c r="DB35" s="7" t="str">
        <f>IF(AND(ISNUMBER($C35),ISNUMBER($D35),DB$1&lt;=$D35,DB$1+6&gt;=$C35),1,"")</f>
        <v/>
      </c>
      <c r="DC35" s="7" t="str">
        <f>IF(AND(ISNUMBER($C35),ISNUMBER($D35),DC$1&lt;=$D35,DC$1+6&gt;=$C35),1,"")</f>
        <v/>
      </c>
      <c r="DD35" s="7" t="str">
        <f>IF(AND(ISNUMBER($C35),ISNUMBER($D35),DD$1&lt;=$D35,DD$1+6&gt;=$C35),1,"")</f>
        <v/>
      </c>
    </row>
    <row r="36" spans="1:108" x14ac:dyDescent="0.35">
      <c r="A36" s="6" t="str">
        <f>Schedule!B36</f>
        <v>Privacy governance and data permissions</v>
      </c>
      <c r="B36" s="6" t="str">
        <f>Schedule!C36</f>
        <v>Delivery</v>
      </c>
      <c r="C36" s="4">
        <f>IF(Schedule!P36="","",Schedule!P36)</f>
        <v>46381</v>
      </c>
      <c r="D36" s="4">
        <f>IF(Schedule!Q36="","",Schedule!Q36)</f>
        <v>46415</v>
      </c>
      <c r="E36" s="7" t="str">
        <f>IF(AND(ISNUMBER($C36),ISNUMBER($D36),E$1&lt;=$D36,E$1+6&gt;=$C36),1,"")</f>
        <v/>
      </c>
      <c r="F36" s="7" t="str">
        <f>IF(AND(ISNUMBER($C36),ISNUMBER($D36),F$1&lt;=$D36,F$1+6&gt;=$C36),1,"")</f>
        <v/>
      </c>
      <c r="G36" s="7" t="str">
        <f>IF(AND(ISNUMBER($C36),ISNUMBER($D36),G$1&lt;=$D36,G$1+6&gt;=$C36),1,"")</f>
        <v/>
      </c>
      <c r="H36" s="7" t="str">
        <f>IF(AND(ISNUMBER($C36),ISNUMBER($D36),H$1&lt;=$D36,H$1+6&gt;=$C36),1,"")</f>
        <v/>
      </c>
      <c r="I36" s="7" t="str">
        <f>IF(AND(ISNUMBER($C36),ISNUMBER($D36),I$1&lt;=$D36,I$1+6&gt;=$C36),1,"")</f>
        <v/>
      </c>
      <c r="J36" s="7" t="str">
        <f>IF(AND(ISNUMBER($C36),ISNUMBER($D36),J$1&lt;=$D36,J$1+6&gt;=$C36),1,"")</f>
        <v/>
      </c>
      <c r="K36" s="7" t="str">
        <f>IF(AND(ISNUMBER($C36),ISNUMBER($D36),K$1&lt;=$D36,K$1+6&gt;=$C36),1,"")</f>
        <v/>
      </c>
      <c r="L36" s="7" t="str">
        <f>IF(AND(ISNUMBER($C36),ISNUMBER($D36),L$1&lt;=$D36,L$1+6&gt;=$C36),1,"")</f>
        <v/>
      </c>
      <c r="M36" s="7" t="str">
        <f>IF(AND(ISNUMBER($C36),ISNUMBER($D36),M$1&lt;=$D36,M$1+6&gt;=$C36),1,"")</f>
        <v/>
      </c>
      <c r="N36" s="7">
        <f>IF(AND(ISNUMBER($C36),ISNUMBER($D36),N$1&lt;=$D36,N$1+6&gt;=$C36),1,"")</f>
        <v>1</v>
      </c>
      <c r="O36" s="7">
        <f>IF(AND(ISNUMBER($C36),ISNUMBER($D36),O$1&lt;=$D36,O$1+6&gt;=$C36),1,"")</f>
        <v>1</v>
      </c>
      <c r="P36" s="7">
        <f>IF(AND(ISNUMBER($C36),ISNUMBER($D36),P$1&lt;=$D36,P$1+6&gt;=$C36),1,"")</f>
        <v>1</v>
      </c>
      <c r="Q36" s="7">
        <f>IF(AND(ISNUMBER($C36),ISNUMBER($D36),Q$1&lt;=$D36,Q$1+6&gt;=$C36),1,"")</f>
        <v>1</v>
      </c>
      <c r="R36" s="7">
        <f>IF(AND(ISNUMBER($C36),ISNUMBER($D36),R$1&lt;=$D36,R$1+6&gt;=$C36),1,"")</f>
        <v>1</v>
      </c>
      <c r="S36" s="7" t="str">
        <f>IF(AND(ISNUMBER($C36),ISNUMBER($D36),S$1&lt;=$D36,S$1+6&gt;=$C36),1,"")</f>
        <v/>
      </c>
      <c r="T36" s="7" t="str">
        <f>IF(AND(ISNUMBER($C36),ISNUMBER($D36),T$1&lt;=$D36,T$1+6&gt;=$C36),1,"")</f>
        <v/>
      </c>
      <c r="U36" s="7" t="str">
        <f>IF(AND(ISNUMBER($C36),ISNUMBER($D36),U$1&lt;=$D36,U$1+6&gt;=$C36),1,"")</f>
        <v/>
      </c>
      <c r="V36" s="7" t="str">
        <f>IF(AND(ISNUMBER($C36),ISNUMBER($D36),V$1&lt;=$D36,V$1+6&gt;=$C36),1,"")</f>
        <v/>
      </c>
      <c r="W36" s="7" t="str">
        <f>IF(AND(ISNUMBER($C36),ISNUMBER($D36),W$1&lt;=$D36,W$1+6&gt;=$C36),1,"")</f>
        <v/>
      </c>
      <c r="X36" s="7" t="str">
        <f>IF(AND(ISNUMBER($C36),ISNUMBER($D36),X$1&lt;=$D36,X$1+6&gt;=$C36),1,"")</f>
        <v/>
      </c>
      <c r="Y36" s="7" t="str">
        <f>IF(AND(ISNUMBER($C36),ISNUMBER($D36),Y$1&lt;=$D36,Y$1+6&gt;=$C36),1,"")</f>
        <v/>
      </c>
      <c r="Z36" s="7" t="str">
        <f>IF(AND(ISNUMBER($C36),ISNUMBER($D36),Z$1&lt;=$D36,Z$1+6&gt;=$C36),1,"")</f>
        <v/>
      </c>
      <c r="AA36" s="7" t="str">
        <f>IF(AND(ISNUMBER($C36),ISNUMBER($D36),AA$1&lt;=$D36,AA$1+6&gt;=$C36),1,"")</f>
        <v/>
      </c>
      <c r="AB36" s="7" t="str">
        <f>IF(AND(ISNUMBER($C36),ISNUMBER($D36),AB$1&lt;=$D36,AB$1+6&gt;=$C36),1,"")</f>
        <v/>
      </c>
      <c r="AC36" s="7" t="str">
        <f>IF(AND(ISNUMBER($C36),ISNUMBER($D36),AC$1&lt;=$D36,AC$1+6&gt;=$C36),1,"")</f>
        <v/>
      </c>
      <c r="AD36" s="7" t="str">
        <f>IF(AND(ISNUMBER($C36),ISNUMBER($D36),AD$1&lt;=$D36,AD$1+6&gt;=$C36),1,"")</f>
        <v/>
      </c>
      <c r="AE36" s="7" t="str">
        <f>IF(AND(ISNUMBER($C36),ISNUMBER($D36),AE$1&lt;=$D36,AE$1+6&gt;=$C36),1,"")</f>
        <v/>
      </c>
      <c r="AF36" s="7" t="str">
        <f>IF(AND(ISNUMBER($C36),ISNUMBER($D36),AF$1&lt;=$D36,AF$1+6&gt;=$C36),1,"")</f>
        <v/>
      </c>
      <c r="AG36" s="7" t="str">
        <f>IF(AND(ISNUMBER($C36),ISNUMBER($D36),AG$1&lt;=$D36,AG$1+6&gt;=$C36),1,"")</f>
        <v/>
      </c>
      <c r="AH36" s="7" t="str">
        <f>IF(AND(ISNUMBER($C36),ISNUMBER($D36),AH$1&lt;=$D36,AH$1+6&gt;=$C36),1,"")</f>
        <v/>
      </c>
      <c r="AI36" s="7" t="str">
        <f>IF(AND(ISNUMBER($C36),ISNUMBER($D36),AI$1&lt;=$D36,AI$1+6&gt;=$C36),1,"")</f>
        <v/>
      </c>
      <c r="AJ36" s="7" t="str">
        <f>IF(AND(ISNUMBER($C36),ISNUMBER($D36),AJ$1&lt;=$D36,AJ$1+6&gt;=$C36),1,"")</f>
        <v/>
      </c>
      <c r="AK36" s="7" t="str">
        <f>IF(AND(ISNUMBER($C36),ISNUMBER($D36),AK$1&lt;=$D36,AK$1+6&gt;=$C36),1,"")</f>
        <v/>
      </c>
      <c r="AL36" s="7" t="str">
        <f>IF(AND(ISNUMBER($C36),ISNUMBER($D36),AL$1&lt;=$D36,AL$1+6&gt;=$C36),1,"")</f>
        <v/>
      </c>
      <c r="AM36" s="7" t="str">
        <f>IF(AND(ISNUMBER($C36),ISNUMBER($D36),AM$1&lt;=$D36,AM$1+6&gt;=$C36),1,"")</f>
        <v/>
      </c>
      <c r="AN36" s="7" t="str">
        <f>IF(AND(ISNUMBER($C36),ISNUMBER($D36),AN$1&lt;=$D36,AN$1+6&gt;=$C36),1,"")</f>
        <v/>
      </c>
      <c r="AO36" s="7" t="str">
        <f>IF(AND(ISNUMBER($C36),ISNUMBER($D36),AO$1&lt;=$D36,AO$1+6&gt;=$C36),1,"")</f>
        <v/>
      </c>
      <c r="AP36" s="7" t="str">
        <f>IF(AND(ISNUMBER($C36),ISNUMBER($D36),AP$1&lt;=$D36,AP$1+6&gt;=$C36),1,"")</f>
        <v/>
      </c>
      <c r="AQ36" s="7" t="str">
        <f>IF(AND(ISNUMBER($C36),ISNUMBER($D36),AQ$1&lt;=$D36,AQ$1+6&gt;=$C36),1,"")</f>
        <v/>
      </c>
      <c r="AR36" s="7" t="str">
        <f>IF(AND(ISNUMBER($C36),ISNUMBER($D36),AR$1&lt;=$D36,AR$1+6&gt;=$C36),1,"")</f>
        <v/>
      </c>
      <c r="AS36" s="7" t="str">
        <f>IF(AND(ISNUMBER($C36),ISNUMBER($D36),AS$1&lt;=$D36,AS$1+6&gt;=$C36),1,"")</f>
        <v/>
      </c>
      <c r="AT36" s="7" t="str">
        <f>IF(AND(ISNUMBER($C36),ISNUMBER($D36),AT$1&lt;=$D36,AT$1+6&gt;=$C36),1,"")</f>
        <v/>
      </c>
      <c r="AU36" s="7" t="str">
        <f>IF(AND(ISNUMBER($C36),ISNUMBER($D36),AU$1&lt;=$D36,AU$1+6&gt;=$C36),1,"")</f>
        <v/>
      </c>
      <c r="AV36" s="7" t="str">
        <f>IF(AND(ISNUMBER($C36),ISNUMBER($D36),AV$1&lt;=$D36,AV$1+6&gt;=$C36),1,"")</f>
        <v/>
      </c>
      <c r="AW36" s="7" t="str">
        <f>IF(AND(ISNUMBER($C36),ISNUMBER($D36),AW$1&lt;=$D36,AW$1+6&gt;=$C36),1,"")</f>
        <v/>
      </c>
      <c r="AX36" s="7" t="str">
        <f>IF(AND(ISNUMBER($C36),ISNUMBER($D36),AX$1&lt;=$D36,AX$1+6&gt;=$C36),1,"")</f>
        <v/>
      </c>
      <c r="AY36" s="7" t="str">
        <f>IF(AND(ISNUMBER($C36),ISNUMBER($D36),AY$1&lt;=$D36,AY$1+6&gt;=$C36),1,"")</f>
        <v/>
      </c>
      <c r="AZ36" s="7" t="str">
        <f>IF(AND(ISNUMBER($C36),ISNUMBER($D36),AZ$1&lt;=$D36,AZ$1+6&gt;=$C36),1,"")</f>
        <v/>
      </c>
      <c r="BA36" s="7" t="str">
        <f>IF(AND(ISNUMBER($C36),ISNUMBER($D36),BA$1&lt;=$D36,BA$1+6&gt;=$C36),1,"")</f>
        <v/>
      </c>
      <c r="BB36" s="7" t="str">
        <f>IF(AND(ISNUMBER($C36),ISNUMBER($D36),BB$1&lt;=$D36,BB$1+6&gt;=$C36),1,"")</f>
        <v/>
      </c>
      <c r="BC36" s="7" t="str">
        <f>IF(AND(ISNUMBER($C36),ISNUMBER($D36),BC$1&lt;=$D36,BC$1+6&gt;=$C36),1,"")</f>
        <v/>
      </c>
      <c r="BD36" s="7" t="str">
        <f>IF(AND(ISNUMBER($C36),ISNUMBER($D36),BD$1&lt;=$D36,BD$1+6&gt;=$C36),1,"")</f>
        <v/>
      </c>
      <c r="BE36" s="7" t="str">
        <f>IF(AND(ISNUMBER($C36),ISNUMBER($D36),BE$1&lt;=$D36,BE$1+6&gt;=$C36),1,"")</f>
        <v/>
      </c>
      <c r="BF36" s="7" t="str">
        <f>IF(AND(ISNUMBER($C36),ISNUMBER($D36),BF$1&lt;=$D36,BF$1+6&gt;=$C36),1,"")</f>
        <v/>
      </c>
      <c r="BG36" s="7" t="str">
        <f>IF(AND(ISNUMBER($C36),ISNUMBER($D36),BG$1&lt;=$D36,BG$1+6&gt;=$C36),1,"")</f>
        <v/>
      </c>
      <c r="BH36" s="7" t="str">
        <f>IF(AND(ISNUMBER($C36),ISNUMBER($D36),BH$1&lt;=$D36,BH$1+6&gt;=$C36),1,"")</f>
        <v/>
      </c>
      <c r="BI36" s="7" t="str">
        <f>IF(AND(ISNUMBER($C36),ISNUMBER($D36),BI$1&lt;=$D36,BI$1+6&gt;=$C36),1,"")</f>
        <v/>
      </c>
      <c r="BJ36" s="7" t="str">
        <f>IF(AND(ISNUMBER($C36),ISNUMBER($D36),BJ$1&lt;=$D36,BJ$1+6&gt;=$C36),1,"")</f>
        <v/>
      </c>
      <c r="BK36" s="7" t="str">
        <f>IF(AND(ISNUMBER($C36),ISNUMBER($D36),BK$1&lt;=$D36,BK$1+6&gt;=$C36),1,"")</f>
        <v/>
      </c>
      <c r="BL36" s="7" t="str">
        <f>IF(AND(ISNUMBER($C36),ISNUMBER($D36),BL$1&lt;=$D36,BL$1+6&gt;=$C36),1,"")</f>
        <v/>
      </c>
      <c r="BM36" s="7" t="str">
        <f>IF(AND(ISNUMBER($C36),ISNUMBER($D36),BM$1&lt;=$D36,BM$1+6&gt;=$C36),1,"")</f>
        <v/>
      </c>
      <c r="BN36" s="7" t="str">
        <f>IF(AND(ISNUMBER($C36),ISNUMBER($D36),BN$1&lt;=$D36,BN$1+6&gt;=$C36),1,"")</f>
        <v/>
      </c>
      <c r="BO36" s="7" t="str">
        <f>IF(AND(ISNUMBER($C36),ISNUMBER($D36),BO$1&lt;=$D36,BO$1+6&gt;=$C36),1,"")</f>
        <v/>
      </c>
      <c r="BP36" s="7" t="str">
        <f>IF(AND(ISNUMBER($C36),ISNUMBER($D36),BP$1&lt;=$D36,BP$1+6&gt;=$C36),1,"")</f>
        <v/>
      </c>
      <c r="BQ36" s="7" t="str">
        <f>IF(AND(ISNUMBER($C36),ISNUMBER($D36),BQ$1&lt;=$D36,BQ$1+6&gt;=$C36),1,"")</f>
        <v/>
      </c>
      <c r="BR36" s="7" t="str">
        <f>IF(AND(ISNUMBER($C36),ISNUMBER($D36),BR$1&lt;=$D36,BR$1+6&gt;=$C36),1,"")</f>
        <v/>
      </c>
      <c r="BS36" s="7" t="str">
        <f>IF(AND(ISNUMBER($C36),ISNUMBER($D36),BS$1&lt;=$D36,BS$1+6&gt;=$C36),1,"")</f>
        <v/>
      </c>
      <c r="BT36" s="7" t="str">
        <f>IF(AND(ISNUMBER($C36),ISNUMBER($D36),BT$1&lt;=$D36,BT$1+6&gt;=$C36),1,"")</f>
        <v/>
      </c>
      <c r="BU36" s="7" t="str">
        <f>IF(AND(ISNUMBER($C36),ISNUMBER($D36),BU$1&lt;=$D36,BU$1+6&gt;=$C36),1,"")</f>
        <v/>
      </c>
      <c r="BV36" s="7" t="str">
        <f>IF(AND(ISNUMBER($C36),ISNUMBER($D36),BV$1&lt;=$D36,BV$1+6&gt;=$C36),1,"")</f>
        <v/>
      </c>
      <c r="BW36" s="7" t="str">
        <f>IF(AND(ISNUMBER($C36),ISNUMBER($D36),BW$1&lt;=$D36,BW$1+6&gt;=$C36),1,"")</f>
        <v/>
      </c>
      <c r="BX36" s="7" t="str">
        <f>IF(AND(ISNUMBER($C36),ISNUMBER($D36),BX$1&lt;=$D36,BX$1+6&gt;=$C36),1,"")</f>
        <v/>
      </c>
      <c r="BY36" s="7" t="str">
        <f>IF(AND(ISNUMBER($C36),ISNUMBER($D36),BY$1&lt;=$D36,BY$1+6&gt;=$C36),1,"")</f>
        <v/>
      </c>
      <c r="BZ36" s="7" t="str">
        <f>IF(AND(ISNUMBER($C36),ISNUMBER($D36),BZ$1&lt;=$D36,BZ$1+6&gt;=$C36),1,"")</f>
        <v/>
      </c>
      <c r="CA36" s="7" t="str">
        <f>IF(AND(ISNUMBER($C36),ISNUMBER($D36),CA$1&lt;=$D36,CA$1+6&gt;=$C36),1,"")</f>
        <v/>
      </c>
      <c r="CB36" s="7" t="str">
        <f>IF(AND(ISNUMBER($C36),ISNUMBER($D36),CB$1&lt;=$D36,CB$1+6&gt;=$C36),1,"")</f>
        <v/>
      </c>
      <c r="CC36" s="7" t="str">
        <f>IF(AND(ISNUMBER($C36),ISNUMBER($D36),CC$1&lt;=$D36,CC$1+6&gt;=$C36),1,"")</f>
        <v/>
      </c>
      <c r="CD36" s="7" t="str">
        <f>IF(AND(ISNUMBER($C36),ISNUMBER($D36),CD$1&lt;=$D36,CD$1+6&gt;=$C36),1,"")</f>
        <v/>
      </c>
      <c r="CE36" s="7" t="str">
        <f>IF(AND(ISNUMBER($C36),ISNUMBER($D36),CE$1&lt;=$D36,CE$1+6&gt;=$C36),1,"")</f>
        <v/>
      </c>
      <c r="CF36" s="7" t="str">
        <f>IF(AND(ISNUMBER($C36),ISNUMBER($D36),CF$1&lt;=$D36,CF$1+6&gt;=$C36),1,"")</f>
        <v/>
      </c>
      <c r="CG36" s="7" t="str">
        <f>IF(AND(ISNUMBER($C36),ISNUMBER($D36),CG$1&lt;=$D36,CG$1+6&gt;=$C36),1,"")</f>
        <v/>
      </c>
      <c r="CH36" s="7" t="str">
        <f>IF(AND(ISNUMBER($C36),ISNUMBER($D36),CH$1&lt;=$D36,CH$1+6&gt;=$C36),1,"")</f>
        <v/>
      </c>
      <c r="CI36" s="7" t="str">
        <f>IF(AND(ISNUMBER($C36),ISNUMBER($D36),CI$1&lt;=$D36,CI$1+6&gt;=$C36),1,"")</f>
        <v/>
      </c>
      <c r="CJ36" s="7" t="str">
        <f>IF(AND(ISNUMBER($C36),ISNUMBER($D36),CJ$1&lt;=$D36,CJ$1+6&gt;=$C36),1,"")</f>
        <v/>
      </c>
      <c r="CK36" s="7" t="str">
        <f>IF(AND(ISNUMBER($C36),ISNUMBER($D36),CK$1&lt;=$D36,CK$1+6&gt;=$C36),1,"")</f>
        <v/>
      </c>
      <c r="CL36" s="7" t="str">
        <f>IF(AND(ISNUMBER($C36),ISNUMBER($D36),CL$1&lt;=$D36,CL$1+6&gt;=$C36),1,"")</f>
        <v/>
      </c>
      <c r="CM36" s="7" t="str">
        <f>IF(AND(ISNUMBER($C36),ISNUMBER($D36),CM$1&lt;=$D36,CM$1+6&gt;=$C36),1,"")</f>
        <v/>
      </c>
      <c r="CN36" s="7" t="str">
        <f>IF(AND(ISNUMBER($C36),ISNUMBER($D36),CN$1&lt;=$D36,CN$1+6&gt;=$C36),1,"")</f>
        <v/>
      </c>
      <c r="CO36" s="7" t="str">
        <f>IF(AND(ISNUMBER($C36),ISNUMBER($D36),CO$1&lt;=$D36,CO$1+6&gt;=$C36),1,"")</f>
        <v/>
      </c>
      <c r="CP36" s="7" t="str">
        <f>IF(AND(ISNUMBER($C36),ISNUMBER($D36),CP$1&lt;=$D36,CP$1+6&gt;=$C36),1,"")</f>
        <v/>
      </c>
      <c r="CQ36" s="7" t="str">
        <f>IF(AND(ISNUMBER($C36),ISNUMBER($D36),CQ$1&lt;=$D36,CQ$1+6&gt;=$C36),1,"")</f>
        <v/>
      </c>
      <c r="CR36" s="7" t="str">
        <f>IF(AND(ISNUMBER($C36),ISNUMBER($D36),CR$1&lt;=$D36,CR$1+6&gt;=$C36),1,"")</f>
        <v/>
      </c>
      <c r="CS36" s="7" t="str">
        <f>IF(AND(ISNUMBER($C36),ISNUMBER($D36),CS$1&lt;=$D36,CS$1+6&gt;=$C36),1,"")</f>
        <v/>
      </c>
      <c r="CT36" s="7" t="str">
        <f>IF(AND(ISNUMBER($C36),ISNUMBER($D36),CT$1&lt;=$D36,CT$1+6&gt;=$C36),1,"")</f>
        <v/>
      </c>
      <c r="CU36" s="7" t="str">
        <f>IF(AND(ISNUMBER($C36),ISNUMBER($D36),CU$1&lt;=$D36,CU$1+6&gt;=$C36),1,"")</f>
        <v/>
      </c>
      <c r="CV36" s="7" t="str">
        <f>IF(AND(ISNUMBER($C36),ISNUMBER($D36),CV$1&lt;=$D36,CV$1+6&gt;=$C36),1,"")</f>
        <v/>
      </c>
      <c r="CW36" s="7" t="str">
        <f>IF(AND(ISNUMBER($C36),ISNUMBER($D36),CW$1&lt;=$D36,CW$1+6&gt;=$C36),1,"")</f>
        <v/>
      </c>
      <c r="CX36" s="7" t="str">
        <f>IF(AND(ISNUMBER($C36),ISNUMBER($D36),CX$1&lt;=$D36,CX$1+6&gt;=$C36),1,"")</f>
        <v/>
      </c>
      <c r="CY36" s="7" t="str">
        <f>IF(AND(ISNUMBER($C36),ISNUMBER($D36),CY$1&lt;=$D36,CY$1+6&gt;=$C36),1,"")</f>
        <v/>
      </c>
      <c r="CZ36" s="7" t="str">
        <f>IF(AND(ISNUMBER($C36),ISNUMBER($D36),CZ$1&lt;=$D36,CZ$1+6&gt;=$C36),1,"")</f>
        <v/>
      </c>
      <c r="DA36" s="7" t="str">
        <f>IF(AND(ISNUMBER($C36),ISNUMBER($D36),DA$1&lt;=$D36,DA$1+6&gt;=$C36),1,"")</f>
        <v/>
      </c>
      <c r="DB36" s="7" t="str">
        <f>IF(AND(ISNUMBER($C36),ISNUMBER($D36),DB$1&lt;=$D36,DB$1+6&gt;=$C36),1,"")</f>
        <v/>
      </c>
      <c r="DC36" s="7" t="str">
        <f>IF(AND(ISNUMBER($C36),ISNUMBER($D36),DC$1&lt;=$D36,DC$1+6&gt;=$C36),1,"")</f>
        <v/>
      </c>
      <c r="DD36" s="7" t="str">
        <f>IF(AND(ISNUMBER($C36),ISNUMBER($D36),DD$1&lt;=$D36,DD$1+6&gt;=$C36),1,"")</f>
        <v/>
      </c>
    </row>
    <row r="37" spans="1:108" x14ac:dyDescent="0.35">
      <c r="A37" s="6" t="str">
        <f>Schedule!B37</f>
        <v>Capstone data audit and non-AI baseline</v>
      </c>
      <c r="B37" s="6" t="str">
        <f>Schedule!C37</f>
        <v>Delivery</v>
      </c>
      <c r="C37" s="4">
        <f>IF(Schedule!P37="","",Schedule!P37)</f>
        <v>46497</v>
      </c>
      <c r="D37" s="4">
        <f>IF(Schedule!Q37="","",Schedule!Q37)</f>
        <v>46535</v>
      </c>
      <c r="E37" s="7" t="str">
        <f>IF(AND(ISNUMBER($C37),ISNUMBER($D37),E$1&lt;=$D37,E$1+6&gt;=$C37),1,"")</f>
        <v/>
      </c>
      <c r="F37" s="7" t="str">
        <f>IF(AND(ISNUMBER($C37),ISNUMBER($D37),F$1&lt;=$D37,F$1+6&gt;=$C37),1,"")</f>
        <v/>
      </c>
      <c r="G37" s="7" t="str">
        <f>IF(AND(ISNUMBER($C37),ISNUMBER($D37),G$1&lt;=$D37,G$1+6&gt;=$C37),1,"")</f>
        <v/>
      </c>
      <c r="H37" s="7" t="str">
        <f>IF(AND(ISNUMBER($C37),ISNUMBER($D37),H$1&lt;=$D37,H$1+6&gt;=$C37),1,"")</f>
        <v/>
      </c>
      <c r="I37" s="7" t="str">
        <f>IF(AND(ISNUMBER($C37),ISNUMBER($D37),I$1&lt;=$D37,I$1+6&gt;=$C37),1,"")</f>
        <v/>
      </c>
      <c r="J37" s="7" t="str">
        <f>IF(AND(ISNUMBER($C37),ISNUMBER($D37),J$1&lt;=$D37,J$1+6&gt;=$C37),1,"")</f>
        <v/>
      </c>
      <c r="K37" s="7" t="str">
        <f>IF(AND(ISNUMBER($C37),ISNUMBER($D37),K$1&lt;=$D37,K$1+6&gt;=$C37),1,"")</f>
        <v/>
      </c>
      <c r="L37" s="7" t="str">
        <f>IF(AND(ISNUMBER($C37),ISNUMBER($D37),L$1&lt;=$D37,L$1+6&gt;=$C37),1,"")</f>
        <v/>
      </c>
      <c r="M37" s="7" t="str">
        <f>IF(AND(ISNUMBER($C37),ISNUMBER($D37),M$1&lt;=$D37,M$1+6&gt;=$C37),1,"")</f>
        <v/>
      </c>
      <c r="N37" s="7" t="str">
        <f>IF(AND(ISNUMBER($C37),ISNUMBER($D37),N$1&lt;=$D37,N$1+6&gt;=$C37),1,"")</f>
        <v/>
      </c>
      <c r="O37" s="7" t="str">
        <f>IF(AND(ISNUMBER($C37),ISNUMBER($D37),O$1&lt;=$D37,O$1+6&gt;=$C37),1,"")</f>
        <v/>
      </c>
      <c r="P37" s="7" t="str">
        <f>IF(AND(ISNUMBER($C37),ISNUMBER($D37),P$1&lt;=$D37,P$1+6&gt;=$C37),1,"")</f>
        <v/>
      </c>
      <c r="Q37" s="7" t="str">
        <f>IF(AND(ISNUMBER($C37),ISNUMBER($D37),Q$1&lt;=$D37,Q$1+6&gt;=$C37),1,"")</f>
        <v/>
      </c>
      <c r="R37" s="7" t="str">
        <f>IF(AND(ISNUMBER($C37),ISNUMBER($D37),R$1&lt;=$D37,R$1+6&gt;=$C37),1,"")</f>
        <v/>
      </c>
      <c r="S37" s="7" t="str">
        <f>IF(AND(ISNUMBER($C37),ISNUMBER($D37),S$1&lt;=$D37,S$1+6&gt;=$C37),1,"")</f>
        <v/>
      </c>
      <c r="T37" s="7" t="str">
        <f>IF(AND(ISNUMBER($C37),ISNUMBER($D37),T$1&lt;=$D37,T$1+6&gt;=$C37),1,"")</f>
        <v/>
      </c>
      <c r="U37" s="7" t="str">
        <f>IF(AND(ISNUMBER($C37),ISNUMBER($D37),U$1&lt;=$D37,U$1+6&gt;=$C37),1,"")</f>
        <v/>
      </c>
      <c r="V37" s="7" t="str">
        <f>IF(AND(ISNUMBER($C37),ISNUMBER($D37),V$1&lt;=$D37,V$1+6&gt;=$C37),1,"")</f>
        <v/>
      </c>
      <c r="W37" s="7" t="str">
        <f>IF(AND(ISNUMBER($C37),ISNUMBER($D37),W$1&lt;=$D37,W$1+6&gt;=$C37),1,"")</f>
        <v/>
      </c>
      <c r="X37" s="7" t="str">
        <f>IF(AND(ISNUMBER($C37),ISNUMBER($D37),X$1&lt;=$D37,X$1+6&gt;=$C37),1,"")</f>
        <v/>
      </c>
      <c r="Y37" s="7" t="str">
        <f>IF(AND(ISNUMBER($C37),ISNUMBER($D37),Y$1&lt;=$D37,Y$1+6&gt;=$C37),1,"")</f>
        <v/>
      </c>
      <c r="Z37" s="7" t="str">
        <f>IF(AND(ISNUMBER($C37),ISNUMBER($D37),Z$1&lt;=$D37,Z$1+6&gt;=$C37),1,"")</f>
        <v/>
      </c>
      <c r="AA37" s="7" t="str">
        <f>IF(AND(ISNUMBER($C37),ISNUMBER($D37),AA$1&lt;=$D37,AA$1+6&gt;=$C37),1,"")</f>
        <v/>
      </c>
      <c r="AB37" s="7" t="str">
        <f>IF(AND(ISNUMBER($C37),ISNUMBER($D37),AB$1&lt;=$D37,AB$1+6&gt;=$C37),1,"")</f>
        <v/>
      </c>
      <c r="AC37" s="7" t="str">
        <f>IF(AND(ISNUMBER($C37),ISNUMBER($D37),AC$1&lt;=$D37,AC$1+6&gt;=$C37),1,"")</f>
        <v/>
      </c>
      <c r="AD37" s="7">
        <f>IF(AND(ISNUMBER($C37),ISNUMBER($D37),AD$1&lt;=$D37,AD$1+6&gt;=$C37),1,"")</f>
        <v>1</v>
      </c>
      <c r="AE37" s="7">
        <f>IF(AND(ISNUMBER($C37),ISNUMBER($D37),AE$1&lt;=$D37,AE$1+6&gt;=$C37),1,"")</f>
        <v>1</v>
      </c>
      <c r="AF37" s="7">
        <f>IF(AND(ISNUMBER($C37),ISNUMBER($D37),AF$1&lt;=$D37,AF$1+6&gt;=$C37),1,"")</f>
        <v>1</v>
      </c>
      <c r="AG37" s="7">
        <f>IF(AND(ISNUMBER($C37),ISNUMBER($D37),AG$1&lt;=$D37,AG$1+6&gt;=$C37),1,"")</f>
        <v>1</v>
      </c>
      <c r="AH37" s="7">
        <f>IF(AND(ISNUMBER($C37),ISNUMBER($D37),AH$1&lt;=$D37,AH$1+6&gt;=$C37),1,"")</f>
        <v>1</v>
      </c>
      <c r="AI37" s="7">
        <f>IF(AND(ISNUMBER($C37),ISNUMBER($D37),AI$1&lt;=$D37,AI$1+6&gt;=$C37),1,"")</f>
        <v>1</v>
      </c>
      <c r="AJ37" s="7">
        <f>IF(AND(ISNUMBER($C37),ISNUMBER($D37),AJ$1&lt;=$D37,AJ$1+6&gt;=$C37),1,"")</f>
        <v>1</v>
      </c>
      <c r="AK37" s="7" t="str">
        <f>IF(AND(ISNUMBER($C37),ISNUMBER($D37),AK$1&lt;=$D37,AK$1+6&gt;=$C37),1,"")</f>
        <v/>
      </c>
      <c r="AL37" s="7" t="str">
        <f>IF(AND(ISNUMBER($C37),ISNUMBER($D37),AL$1&lt;=$D37,AL$1+6&gt;=$C37),1,"")</f>
        <v/>
      </c>
      <c r="AM37" s="7" t="str">
        <f>IF(AND(ISNUMBER($C37),ISNUMBER($D37),AM$1&lt;=$D37,AM$1+6&gt;=$C37),1,"")</f>
        <v/>
      </c>
      <c r="AN37" s="7" t="str">
        <f>IF(AND(ISNUMBER($C37),ISNUMBER($D37),AN$1&lt;=$D37,AN$1+6&gt;=$C37),1,"")</f>
        <v/>
      </c>
      <c r="AO37" s="7" t="str">
        <f>IF(AND(ISNUMBER($C37),ISNUMBER($D37),AO$1&lt;=$D37,AO$1+6&gt;=$C37),1,"")</f>
        <v/>
      </c>
      <c r="AP37" s="7" t="str">
        <f>IF(AND(ISNUMBER($C37),ISNUMBER($D37),AP$1&lt;=$D37,AP$1+6&gt;=$C37),1,"")</f>
        <v/>
      </c>
      <c r="AQ37" s="7" t="str">
        <f>IF(AND(ISNUMBER($C37),ISNUMBER($D37),AQ$1&lt;=$D37,AQ$1+6&gt;=$C37),1,"")</f>
        <v/>
      </c>
      <c r="AR37" s="7" t="str">
        <f>IF(AND(ISNUMBER($C37),ISNUMBER($D37),AR$1&lt;=$D37,AR$1+6&gt;=$C37),1,"")</f>
        <v/>
      </c>
      <c r="AS37" s="7" t="str">
        <f>IF(AND(ISNUMBER($C37),ISNUMBER($D37),AS$1&lt;=$D37,AS$1+6&gt;=$C37),1,"")</f>
        <v/>
      </c>
      <c r="AT37" s="7" t="str">
        <f>IF(AND(ISNUMBER($C37),ISNUMBER($D37),AT$1&lt;=$D37,AT$1+6&gt;=$C37),1,"")</f>
        <v/>
      </c>
      <c r="AU37" s="7" t="str">
        <f>IF(AND(ISNUMBER($C37),ISNUMBER($D37),AU$1&lt;=$D37,AU$1+6&gt;=$C37),1,"")</f>
        <v/>
      </c>
      <c r="AV37" s="7" t="str">
        <f>IF(AND(ISNUMBER($C37),ISNUMBER($D37),AV$1&lt;=$D37,AV$1+6&gt;=$C37),1,"")</f>
        <v/>
      </c>
      <c r="AW37" s="7" t="str">
        <f>IF(AND(ISNUMBER($C37),ISNUMBER($D37),AW$1&lt;=$D37,AW$1+6&gt;=$C37),1,"")</f>
        <v/>
      </c>
      <c r="AX37" s="7" t="str">
        <f>IF(AND(ISNUMBER($C37),ISNUMBER($D37),AX$1&lt;=$D37,AX$1+6&gt;=$C37),1,"")</f>
        <v/>
      </c>
      <c r="AY37" s="7" t="str">
        <f>IF(AND(ISNUMBER($C37),ISNUMBER($D37),AY$1&lt;=$D37,AY$1+6&gt;=$C37),1,"")</f>
        <v/>
      </c>
      <c r="AZ37" s="7" t="str">
        <f>IF(AND(ISNUMBER($C37),ISNUMBER($D37),AZ$1&lt;=$D37,AZ$1+6&gt;=$C37),1,"")</f>
        <v/>
      </c>
      <c r="BA37" s="7" t="str">
        <f>IF(AND(ISNUMBER($C37),ISNUMBER($D37),BA$1&lt;=$D37,BA$1+6&gt;=$C37),1,"")</f>
        <v/>
      </c>
      <c r="BB37" s="7" t="str">
        <f>IF(AND(ISNUMBER($C37),ISNUMBER($D37),BB$1&lt;=$D37,BB$1+6&gt;=$C37),1,"")</f>
        <v/>
      </c>
      <c r="BC37" s="7" t="str">
        <f>IF(AND(ISNUMBER($C37),ISNUMBER($D37),BC$1&lt;=$D37,BC$1+6&gt;=$C37),1,"")</f>
        <v/>
      </c>
      <c r="BD37" s="7" t="str">
        <f>IF(AND(ISNUMBER($C37),ISNUMBER($D37),BD$1&lt;=$D37,BD$1+6&gt;=$C37),1,"")</f>
        <v/>
      </c>
      <c r="BE37" s="7" t="str">
        <f>IF(AND(ISNUMBER($C37),ISNUMBER($D37),BE$1&lt;=$D37,BE$1+6&gt;=$C37),1,"")</f>
        <v/>
      </c>
      <c r="BF37" s="7" t="str">
        <f>IF(AND(ISNUMBER($C37),ISNUMBER($D37),BF$1&lt;=$D37,BF$1+6&gt;=$C37),1,"")</f>
        <v/>
      </c>
      <c r="BG37" s="7" t="str">
        <f>IF(AND(ISNUMBER($C37),ISNUMBER($D37),BG$1&lt;=$D37,BG$1+6&gt;=$C37),1,"")</f>
        <v/>
      </c>
      <c r="BH37" s="7" t="str">
        <f>IF(AND(ISNUMBER($C37),ISNUMBER($D37),BH$1&lt;=$D37,BH$1+6&gt;=$C37),1,"")</f>
        <v/>
      </c>
      <c r="BI37" s="7" t="str">
        <f>IF(AND(ISNUMBER($C37),ISNUMBER($D37),BI$1&lt;=$D37,BI$1+6&gt;=$C37),1,"")</f>
        <v/>
      </c>
      <c r="BJ37" s="7" t="str">
        <f>IF(AND(ISNUMBER($C37),ISNUMBER($D37),BJ$1&lt;=$D37,BJ$1+6&gt;=$C37),1,"")</f>
        <v/>
      </c>
      <c r="BK37" s="7" t="str">
        <f>IF(AND(ISNUMBER($C37),ISNUMBER($D37),BK$1&lt;=$D37,BK$1+6&gt;=$C37),1,"")</f>
        <v/>
      </c>
      <c r="BL37" s="7" t="str">
        <f>IF(AND(ISNUMBER($C37),ISNUMBER($D37),BL$1&lt;=$D37,BL$1+6&gt;=$C37),1,"")</f>
        <v/>
      </c>
      <c r="BM37" s="7" t="str">
        <f>IF(AND(ISNUMBER($C37),ISNUMBER($D37),BM$1&lt;=$D37,BM$1+6&gt;=$C37),1,"")</f>
        <v/>
      </c>
      <c r="BN37" s="7" t="str">
        <f>IF(AND(ISNUMBER($C37),ISNUMBER($D37),BN$1&lt;=$D37,BN$1+6&gt;=$C37),1,"")</f>
        <v/>
      </c>
      <c r="BO37" s="7" t="str">
        <f>IF(AND(ISNUMBER($C37),ISNUMBER($D37),BO$1&lt;=$D37,BO$1+6&gt;=$C37),1,"")</f>
        <v/>
      </c>
      <c r="BP37" s="7" t="str">
        <f>IF(AND(ISNUMBER($C37),ISNUMBER($D37),BP$1&lt;=$D37,BP$1+6&gt;=$C37),1,"")</f>
        <v/>
      </c>
      <c r="BQ37" s="7" t="str">
        <f>IF(AND(ISNUMBER($C37),ISNUMBER($D37),BQ$1&lt;=$D37,BQ$1+6&gt;=$C37),1,"")</f>
        <v/>
      </c>
      <c r="BR37" s="7" t="str">
        <f>IF(AND(ISNUMBER($C37),ISNUMBER($D37),BR$1&lt;=$D37,BR$1+6&gt;=$C37),1,"")</f>
        <v/>
      </c>
      <c r="BS37" s="7" t="str">
        <f>IF(AND(ISNUMBER($C37),ISNUMBER($D37),BS$1&lt;=$D37,BS$1+6&gt;=$C37),1,"")</f>
        <v/>
      </c>
      <c r="BT37" s="7" t="str">
        <f>IF(AND(ISNUMBER($C37),ISNUMBER($D37),BT$1&lt;=$D37,BT$1+6&gt;=$C37),1,"")</f>
        <v/>
      </c>
      <c r="BU37" s="7" t="str">
        <f>IF(AND(ISNUMBER($C37),ISNUMBER($D37),BU$1&lt;=$D37,BU$1+6&gt;=$C37),1,"")</f>
        <v/>
      </c>
      <c r="BV37" s="7" t="str">
        <f>IF(AND(ISNUMBER($C37),ISNUMBER($D37),BV$1&lt;=$D37,BV$1+6&gt;=$C37),1,"")</f>
        <v/>
      </c>
      <c r="BW37" s="7" t="str">
        <f>IF(AND(ISNUMBER($C37),ISNUMBER($D37),BW$1&lt;=$D37,BW$1+6&gt;=$C37),1,"")</f>
        <v/>
      </c>
      <c r="BX37" s="7" t="str">
        <f>IF(AND(ISNUMBER($C37),ISNUMBER($D37),BX$1&lt;=$D37,BX$1+6&gt;=$C37),1,"")</f>
        <v/>
      </c>
      <c r="BY37" s="7" t="str">
        <f>IF(AND(ISNUMBER($C37),ISNUMBER($D37),BY$1&lt;=$D37,BY$1+6&gt;=$C37),1,"")</f>
        <v/>
      </c>
      <c r="BZ37" s="7" t="str">
        <f>IF(AND(ISNUMBER($C37),ISNUMBER($D37),BZ$1&lt;=$D37,BZ$1+6&gt;=$C37),1,"")</f>
        <v/>
      </c>
      <c r="CA37" s="7" t="str">
        <f>IF(AND(ISNUMBER($C37),ISNUMBER($D37),CA$1&lt;=$D37,CA$1+6&gt;=$C37),1,"")</f>
        <v/>
      </c>
      <c r="CB37" s="7" t="str">
        <f>IF(AND(ISNUMBER($C37),ISNUMBER($D37),CB$1&lt;=$D37,CB$1+6&gt;=$C37),1,"")</f>
        <v/>
      </c>
      <c r="CC37" s="7" t="str">
        <f>IF(AND(ISNUMBER($C37),ISNUMBER($D37),CC$1&lt;=$D37,CC$1+6&gt;=$C37),1,"")</f>
        <v/>
      </c>
      <c r="CD37" s="7" t="str">
        <f>IF(AND(ISNUMBER($C37),ISNUMBER($D37),CD$1&lt;=$D37,CD$1+6&gt;=$C37),1,"")</f>
        <v/>
      </c>
      <c r="CE37" s="7" t="str">
        <f>IF(AND(ISNUMBER($C37),ISNUMBER($D37),CE$1&lt;=$D37,CE$1+6&gt;=$C37),1,"")</f>
        <v/>
      </c>
      <c r="CF37" s="7" t="str">
        <f>IF(AND(ISNUMBER($C37),ISNUMBER($D37),CF$1&lt;=$D37,CF$1+6&gt;=$C37),1,"")</f>
        <v/>
      </c>
      <c r="CG37" s="7" t="str">
        <f>IF(AND(ISNUMBER($C37),ISNUMBER($D37),CG$1&lt;=$D37,CG$1+6&gt;=$C37),1,"")</f>
        <v/>
      </c>
      <c r="CH37" s="7" t="str">
        <f>IF(AND(ISNUMBER($C37),ISNUMBER($D37),CH$1&lt;=$D37,CH$1+6&gt;=$C37),1,"")</f>
        <v/>
      </c>
      <c r="CI37" s="7" t="str">
        <f>IF(AND(ISNUMBER($C37),ISNUMBER($D37),CI$1&lt;=$D37,CI$1+6&gt;=$C37),1,"")</f>
        <v/>
      </c>
      <c r="CJ37" s="7" t="str">
        <f>IF(AND(ISNUMBER($C37),ISNUMBER($D37),CJ$1&lt;=$D37,CJ$1+6&gt;=$C37),1,"")</f>
        <v/>
      </c>
      <c r="CK37" s="7" t="str">
        <f>IF(AND(ISNUMBER($C37),ISNUMBER($D37),CK$1&lt;=$D37,CK$1+6&gt;=$C37),1,"")</f>
        <v/>
      </c>
      <c r="CL37" s="7" t="str">
        <f>IF(AND(ISNUMBER($C37),ISNUMBER($D37),CL$1&lt;=$D37,CL$1+6&gt;=$C37),1,"")</f>
        <v/>
      </c>
      <c r="CM37" s="7" t="str">
        <f>IF(AND(ISNUMBER($C37),ISNUMBER($D37),CM$1&lt;=$D37,CM$1+6&gt;=$C37),1,"")</f>
        <v/>
      </c>
      <c r="CN37" s="7" t="str">
        <f>IF(AND(ISNUMBER($C37),ISNUMBER($D37),CN$1&lt;=$D37,CN$1+6&gt;=$C37),1,"")</f>
        <v/>
      </c>
      <c r="CO37" s="7" t="str">
        <f>IF(AND(ISNUMBER($C37),ISNUMBER($D37),CO$1&lt;=$D37,CO$1+6&gt;=$C37),1,"")</f>
        <v/>
      </c>
      <c r="CP37" s="7" t="str">
        <f>IF(AND(ISNUMBER($C37),ISNUMBER($D37),CP$1&lt;=$D37,CP$1+6&gt;=$C37),1,"")</f>
        <v/>
      </c>
      <c r="CQ37" s="7" t="str">
        <f>IF(AND(ISNUMBER($C37),ISNUMBER($D37),CQ$1&lt;=$D37,CQ$1+6&gt;=$C37),1,"")</f>
        <v/>
      </c>
      <c r="CR37" s="7" t="str">
        <f>IF(AND(ISNUMBER($C37),ISNUMBER($D37),CR$1&lt;=$D37,CR$1+6&gt;=$C37),1,"")</f>
        <v/>
      </c>
      <c r="CS37" s="7" t="str">
        <f>IF(AND(ISNUMBER($C37),ISNUMBER($D37),CS$1&lt;=$D37,CS$1+6&gt;=$C37),1,"")</f>
        <v/>
      </c>
      <c r="CT37" s="7" t="str">
        <f>IF(AND(ISNUMBER($C37),ISNUMBER($D37),CT$1&lt;=$D37,CT$1+6&gt;=$C37),1,"")</f>
        <v/>
      </c>
      <c r="CU37" s="7" t="str">
        <f>IF(AND(ISNUMBER($C37),ISNUMBER($D37),CU$1&lt;=$D37,CU$1+6&gt;=$C37),1,"")</f>
        <v/>
      </c>
      <c r="CV37" s="7" t="str">
        <f>IF(AND(ISNUMBER($C37),ISNUMBER($D37),CV$1&lt;=$D37,CV$1+6&gt;=$C37),1,"")</f>
        <v/>
      </c>
      <c r="CW37" s="7" t="str">
        <f>IF(AND(ISNUMBER($C37),ISNUMBER($D37),CW$1&lt;=$D37,CW$1+6&gt;=$C37),1,"")</f>
        <v/>
      </c>
      <c r="CX37" s="7" t="str">
        <f>IF(AND(ISNUMBER($C37),ISNUMBER($D37),CX$1&lt;=$D37,CX$1+6&gt;=$C37),1,"")</f>
        <v/>
      </c>
      <c r="CY37" s="7" t="str">
        <f>IF(AND(ISNUMBER($C37),ISNUMBER($D37),CY$1&lt;=$D37,CY$1+6&gt;=$C37),1,"")</f>
        <v/>
      </c>
      <c r="CZ37" s="7" t="str">
        <f>IF(AND(ISNUMBER($C37),ISNUMBER($D37),CZ$1&lt;=$D37,CZ$1+6&gt;=$C37),1,"")</f>
        <v/>
      </c>
      <c r="DA37" s="7" t="str">
        <f>IF(AND(ISNUMBER($C37),ISNUMBER($D37),DA$1&lt;=$D37,DA$1+6&gt;=$C37),1,"")</f>
        <v/>
      </c>
      <c r="DB37" s="7" t="str">
        <f>IF(AND(ISNUMBER($C37),ISNUMBER($D37),DB$1&lt;=$D37,DB$1+6&gt;=$C37),1,"")</f>
        <v/>
      </c>
      <c r="DC37" s="7" t="str">
        <f>IF(AND(ISNUMBER($C37),ISNUMBER($D37),DC$1&lt;=$D37,DC$1+6&gt;=$C37),1,"")</f>
        <v/>
      </c>
      <c r="DD37" s="7" t="str">
        <f>IF(AND(ISNUMBER($C37),ISNUMBER($D37),DD$1&lt;=$D37,DD$1+6&gt;=$C37),1,"")</f>
        <v/>
      </c>
    </row>
    <row r="38" spans="1:108" x14ac:dyDescent="0.35">
      <c r="A38" s="6" t="str">
        <f>Schedule!B38</f>
        <v>Capstone full-stack vertical slice</v>
      </c>
      <c r="B38" s="6" t="str">
        <f>Schedule!C38</f>
        <v>Delivery</v>
      </c>
      <c r="C38" s="4">
        <f>IF(Schedule!P38="","",Schedule!P38)</f>
        <v>46535</v>
      </c>
      <c r="D38" s="4">
        <f>IF(Schedule!Q38="","",Schedule!Q38)</f>
        <v>46612</v>
      </c>
      <c r="E38" s="7" t="str">
        <f>IF(AND(ISNUMBER($C38),ISNUMBER($D38),E$1&lt;=$D38,E$1+6&gt;=$C38),1,"")</f>
        <v/>
      </c>
      <c r="F38" s="7" t="str">
        <f>IF(AND(ISNUMBER($C38),ISNUMBER($D38),F$1&lt;=$D38,F$1+6&gt;=$C38),1,"")</f>
        <v/>
      </c>
      <c r="G38" s="7" t="str">
        <f>IF(AND(ISNUMBER($C38),ISNUMBER($D38),G$1&lt;=$D38,G$1+6&gt;=$C38),1,"")</f>
        <v/>
      </c>
      <c r="H38" s="7" t="str">
        <f>IF(AND(ISNUMBER($C38),ISNUMBER($D38),H$1&lt;=$D38,H$1+6&gt;=$C38),1,"")</f>
        <v/>
      </c>
      <c r="I38" s="7" t="str">
        <f>IF(AND(ISNUMBER($C38),ISNUMBER($D38),I$1&lt;=$D38,I$1+6&gt;=$C38),1,"")</f>
        <v/>
      </c>
      <c r="J38" s="7" t="str">
        <f>IF(AND(ISNUMBER($C38),ISNUMBER($D38),J$1&lt;=$D38,J$1+6&gt;=$C38),1,"")</f>
        <v/>
      </c>
      <c r="K38" s="7" t="str">
        <f>IF(AND(ISNUMBER($C38),ISNUMBER($D38),K$1&lt;=$D38,K$1+6&gt;=$C38),1,"")</f>
        <v/>
      </c>
      <c r="L38" s="7" t="str">
        <f>IF(AND(ISNUMBER($C38),ISNUMBER($D38),L$1&lt;=$D38,L$1+6&gt;=$C38),1,"")</f>
        <v/>
      </c>
      <c r="M38" s="7" t="str">
        <f>IF(AND(ISNUMBER($C38),ISNUMBER($D38),M$1&lt;=$D38,M$1+6&gt;=$C38),1,"")</f>
        <v/>
      </c>
      <c r="N38" s="7" t="str">
        <f>IF(AND(ISNUMBER($C38),ISNUMBER($D38),N$1&lt;=$D38,N$1+6&gt;=$C38),1,"")</f>
        <v/>
      </c>
      <c r="O38" s="7" t="str">
        <f>IF(AND(ISNUMBER($C38),ISNUMBER($D38),O$1&lt;=$D38,O$1+6&gt;=$C38),1,"")</f>
        <v/>
      </c>
      <c r="P38" s="7" t="str">
        <f>IF(AND(ISNUMBER($C38),ISNUMBER($D38),P$1&lt;=$D38,P$1+6&gt;=$C38),1,"")</f>
        <v/>
      </c>
      <c r="Q38" s="7" t="str">
        <f>IF(AND(ISNUMBER($C38),ISNUMBER($D38),Q$1&lt;=$D38,Q$1+6&gt;=$C38),1,"")</f>
        <v/>
      </c>
      <c r="R38" s="7" t="str">
        <f>IF(AND(ISNUMBER($C38),ISNUMBER($D38),R$1&lt;=$D38,R$1+6&gt;=$C38),1,"")</f>
        <v/>
      </c>
      <c r="S38" s="7" t="str">
        <f>IF(AND(ISNUMBER($C38),ISNUMBER($D38),S$1&lt;=$D38,S$1+6&gt;=$C38),1,"")</f>
        <v/>
      </c>
      <c r="T38" s="7" t="str">
        <f>IF(AND(ISNUMBER($C38),ISNUMBER($D38),T$1&lt;=$D38,T$1+6&gt;=$C38),1,"")</f>
        <v/>
      </c>
      <c r="U38" s="7" t="str">
        <f>IF(AND(ISNUMBER($C38),ISNUMBER($D38),U$1&lt;=$D38,U$1+6&gt;=$C38),1,"")</f>
        <v/>
      </c>
      <c r="V38" s="7" t="str">
        <f>IF(AND(ISNUMBER($C38),ISNUMBER($D38),V$1&lt;=$D38,V$1+6&gt;=$C38),1,"")</f>
        <v/>
      </c>
      <c r="W38" s="7" t="str">
        <f>IF(AND(ISNUMBER($C38),ISNUMBER($D38),W$1&lt;=$D38,W$1+6&gt;=$C38),1,"")</f>
        <v/>
      </c>
      <c r="X38" s="7" t="str">
        <f>IF(AND(ISNUMBER($C38),ISNUMBER($D38),X$1&lt;=$D38,X$1+6&gt;=$C38),1,"")</f>
        <v/>
      </c>
      <c r="Y38" s="7" t="str">
        <f>IF(AND(ISNUMBER($C38),ISNUMBER($D38),Y$1&lt;=$D38,Y$1+6&gt;=$C38),1,"")</f>
        <v/>
      </c>
      <c r="Z38" s="7" t="str">
        <f>IF(AND(ISNUMBER($C38),ISNUMBER($D38),Z$1&lt;=$D38,Z$1+6&gt;=$C38),1,"")</f>
        <v/>
      </c>
      <c r="AA38" s="7" t="str">
        <f>IF(AND(ISNUMBER($C38),ISNUMBER($D38),AA$1&lt;=$D38,AA$1+6&gt;=$C38),1,"")</f>
        <v/>
      </c>
      <c r="AB38" s="7" t="str">
        <f>IF(AND(ISNUMBER($C38),ISNUMBER($D38),AB$1&lt;=$D38,AB$1+6&gt;=$C38),1,"")</f>
        <v/>
      </c>
      <c r="AC38" s="7" t="str">
        <f>IF(AND(ISNUMBER($C38),ISNUMBER($D38),AC$1&lt;=$D38,AC$1+6&gt;=$C38),1,"")</f>
        <v/>
      </c>
      <c r="AD38" s="7" t="str">
        <f>IF(AND(ISNUMBER($C38),ISNUMBER($D38),AD$1&lt;=$D38,AD$1+6&gt;=$C38),1,"")</f>
        <v/>
      </c>
      <c r="AE38" s="7" t="str">
        <f>IF(AND(ISNUMBER($C38),ISNUMBER($D38),AE$1&lt;=$D38,AE$1+6&gt;=$C38),1,"")</f>
        <v/>
      </c>
      <c r="AF38" s="7" t="str">
        <f>IF(AND(ISNUMBER($C38),ISNUMBER($D38),AF$1&lt;=$D38,AF$1+6&gt;=$C38),1,"")</f>
        <v/>
      </c>
      <c r="AG38" s="7" t="str">
        <f>IF(AND(ISNUMBER($C38),ISNUMBER($D38),AG$1&lt;=$D38,AG$1+6&gt;=$C38),1,"")</f>
        <v/>
      </c>
      <c r="AH38" s="7" t="str">
        <f>IF(AND(ISNUMBER($C38),ISNUMBER($D38),AH$1&lt;=$D38,AH$1+6&gt;=$C38),1,"")</f>
        <v/>
      </c>
      <c r="AI38" s="7" t="str">
        <f>IF(AND(ISNUMBER($C38),ISNUMBER($D38),AI$1&lt;=$D38,AI$1+6&gt;=$C38),1,"")</f>
        <v/>
      </c>
      <c r="AJ38" s="7">
        <f>IF(AND(ISNUMBER($C38),ISNUMBER($D38),AJ$1&lt;=$D38,AJ$1+6&gt;=$C38),1,"")</f>
        <v>1</v>
      </c>
      <c r="AK38" s="7">
        <f>IF(AND(ISNUMBER($C38),ISNUMBER($D38),AK$1&lt;=$D38,AK$1+6&gt;=$C38),1,"")</f>
        <v>1</v>
      </c>
      <c r="AL38" s="7">
        <f>IF(AND(ISNUMBER($C38),ISNUMBER($D38),AL$1&lt;=$D38,AL$1+6&gt;=$C38),1,"")</f>
        <v>1</v>
      </c>
      <c r="AM38" s="7">
        <f>IF(AND(ISNUMBER($C38),ISNUMBER($D38),AM$1&lt;=$D38,AM$1+6&gt;=$C38),1,"")</f>
        <v>1</v>
      </c>
      <c r="AN38" s="7">
        <f>IF(AND(ISNUMBER($C38),ISNUMBER($D38),AN$1&lt;=$D38,AN$1+6&gt;=$C38),1,"")</f>
        <v>1</v>
      </c>
      <c r="AO38" s="7">
        <f>IF(AND(ISNUMBER($C38),ISNUMBER($D38),AO$1&lt;=$D38,AO$1+6&gt;=$C38),1,"")</f>
        <v>1</v>
      </c>
      <c r="AP38" s="7">
        <f>IF(AND(ISNUMBER($C38),ISNUMBER($D38),AP$1&lt;=$D38,AP$1+6&gt;=$C38),1,"")</f>
        <v>1</v>
      </c>
      <c r="AQ38" s="7">
        <f>IF(AND(ISNUMBER($C38),ISNUMBER($D38),AQ$1&lt;=$D38,AQ$1+6&gt;=$C38),1,"")</f>
        <v>1</v>
      </c>
      <c r="AR38" s="7">
        <f>IF(AND(ISNUMBER($C38),ISNUMBER($D38),AR$1&lt;=$D38,AR$1+6&gt;=$C38),1,"")</f>
        <v>1</v>
      </c>
      <c r="AS38" s="7">
        <f>IF(AND(ISNUMBER($C38),ISNUMBER($D38),AS$1&lt;=$D38,AS$1+6&gt;=$C38),1,"")</f>
        <v>1</v>
      </c>
      <c r="AT38" s="7">
        <f>IF(AND(ISNUMBER($C38),ISNUMBER($D38),AT$1&lt;=$D38,AT$1+6&gt;=$C38),1,"")</f>
        <v>1</v>
      </c>
      <c r="AU38" s="7">
        <f>IF(AND(ISNUMBER($C38),ISNUMBER($D38),AU$1&lt;=$D38,AU$1+6&gt;=$C38),1,"")</f>
        <v>1</v>
      </c>
      <c r="AV38" s="7" t="str">
        <f>IF(AND(ISNUMBER($C38),ISNUMBER($D38),AV$1&lt;=$D38,AV$1+6&gt;=$C38),1,"")</f>
        <v/>
      </c>
      <c r="AW38" s="7" t="str">
        <f>IF(AND(ISNUMBER($C38),ISNUMBER($D38),AW$1&lt;=$D38,AW$1+6&gt;=$C38),1,"")</f>
        <v/>
      </c>
      <c r="AX38" s="7" t="str">
        <f>IF(AND(ISNUMBER($C38),ISNUMBER($D38),AX$1&lt;=$D38,AX$1+6&gt;=$C38),1,"")</f>
        <v/>
      </c>
      <c r="AY38" s="7" t="str">
        <f>IF(AND(ISNUMBER($C38),ISNUMBER($D38),AY$1&lt;=$D38,AY$1+6&gt;=$C38),1,"")</f>
        <v/>
      </c>
      <c r="AZ38" s="7" t="str">
        <f>IF(AND(ISNUMBER($C38),ISNUMBER($D38),AZ$1&lt;=$D38,AZ$1+6&gt;=$C38),1,"")</f>
        <v/>
      </c>
      <c r="BA38" s="7" t="str">
        <f>IF(AND(ISNUMBER($C38),ISNUMBER($D38),BA$1&lt;=$D38,BA$1+6&gt;=$C38),1,"")</f>
        <v/>
      </c>
      <c r="BB38" s="7" t="str">
        <f>IF(AND(ISNUMBER($C38),ISNUMBER($D38),BB$1&lt;=$D38,BB$1+6&gt;=$C38),1,"")</f>
        <v/>
      </c>
      <c r="BC38" s="7" t="str">
        <f>IF(AND(ISNUMBER($C38),ISNUMBER($D38),BC$1&lt;=$D38,BC$1+6&gt;=$C38),1,"")</f>
        <v/>
      </c>
      <c r="BD38" s="7" t="str">
        <f>IF(AND(ISNUMBER($C38),ISNUMBER($D38),BD$1&lt;=$D38,BD$1+6&gt;=$C38),1,"")</f>
        <v/>
      </c>
      <c r="BE38" s="7" t="str">
        <f>IF(AND(ISNUMBER($C38),ISNUMBER($D38),BE$1&lt;=$D38,BE$1+6&gt;=$C38),1,"")</f>
        <v/>
      </c>
      <c r="BF38" s="7" t="str">
        <f>IF(AND(ISNUMBER($C38),ISNUMBER($D38),BF$1&lt;=$D38,BF$1+6&gt;=$C38),1,"")</f>
        <v/>
      </c>
      <c r="BG38" s="7" t="str">
        <f>IF(AND(ISNUMBER($C38),ISNUMBER($D38),BG$1&lt;=$D38,BG$1+6&gt;=$C38),1,"")</f>
        <v/>
      </c>
      <c r="BH38" s="7" t="str">
        <f>IF(AND(ISNUMBER($C38),ISNUMBER($D38),BH$1&lt;=$D38,BH$1+6&gt;=$C38),1,"")</f>
        <v/>
      </c>
      <c r="BI38" s="7" t="str">
        <f>IF(AND(ISNUMBER($C38),ISNUMBER($D38),BI$1&lt;=$D38,BI$1+6&gt;=$C38),1,"")</f>
        <v/>
      </c>
      <c r="BJ38" s="7" t="str">
        <f>IF(AND(ISNUMBER($C38),ISNUMBER($D38),BJ$1&lt;=$D38,BJ$1+6&gt;=$C38),1,"")</f>
        <v/>
      </c>
      <c r="BK38" s="7" t="str">
        <f>IF(AND(ISNUMBER($C38),ISNUMBER($D38),BK$1&lt;=$D38,BK$1+6&gt;=$C38),1,"")</f>
        <v/>
      </c>
      <c r="BL38" s="7" t="str">
        <f>IF(AND(ISNUMBER($C38),ISNUMBER($D38),BL$1&lt;=$D38,BL$1+6&gt;=$C38),1,"")</f>
        <v/>
      </c>
      <c r="BM38" s="7" t="str">
        <f>IF(AND(ISNUMBER($C38),ISNUMBER($D38),BM$1&lt;=$D38,BM$1+6&gt;=$C38),1,"")</f>
        <v/>
      </c>
      <c r="BN38" s="7" t="str">
        <f>IF(AND(ISNUMBER($C38),ISNUMBER($D38),BN$1&lt;=$D38,BN$1+6&gt;=$C38),1,"")</f>
        <v/>
      </c>
      <c r="BO38" s="7" t="str">
        <f>IF(AND(ISNUMBER($C38),ISNUMBER($D38),BO$1&lt;=$D38,BO$1+6&gt;=$C38),1,"")</f>
        <v/>
      </c>
      <c r="BP38" s="7" t="str">
        <f>IF(AND(ISNUMBER($C38),ISNUMBER($D38),BP$1&lt;=$D38,BP$1+6&gt;=$C38),1,"")</f>
        <v/>
      </c>
      <c r="BQ38" s="7" t="str">
        <f>IF(AND(ISNUMBER($C38),ISNUMBER($D38),BQ$1&lt;=$D38,BQ$1+6&gt;=$C38),1,"")</f>
        <v/>
      </c>
      <c r="BR38" s="7" t="str">
        <f>IF(AND(ISNUMBER($C38),ISNUMBER($D38),BR$1&lt;=$D38,BR$1+6&gt;=$C38),1,"")</f>
        <v/>
      </c>
      <c r="BS38" s="7" t="str">
        <f>IF(AND(ISNUMBER($C38),ISNUMBER($D38),BS$1&lt;=$D38,BS$1+6&gt;=$C38),1,"")</f>
        <v/>
      </c>
      <c r="BT38" s="7" t="str">
        <f>IF(AND(ISNUMBER($C38),ISNUMBER($D38),BT$1&lt;=$D38,BT$1+6&gt;=$C38),1,"")</f>
        <v/>
      </c>
      <c r="BU38" s="7" t="str">
        <f>IF(AND(ISNUMBER($C38),ISNUMBER($D38),BU$1&lt;=$D38,BU$1+6&gt;=$C38),1,"")</f>
        <v/>
      </c>
      <c r="BV38" s="7" t="str">
        <f>IF(AND(ISNUMBER($C38),ISNUMBER($D38),BV$1&lt;=$D38,BV$1+6&gt;=$C38),1,"")</f>
        <v/>
      </c>
      <c r="BW38" s="7" t="str">
        <f>IF(AND(ISNUMBER($C38),ISNUMBER($D38),BW$1&lt;=$D38,BW$1+6&gt;=$C38),1,"")</f>
        <v/>
      </c>
      <c r="BX38" s="7" t="str">
        <f>IF(AND(ISNUMBER($C38),ISNUMBER($D38),BX$1&lt;=$D38,BX$1+6&gt;=$C38),1,"")</f>
        <v/>
      </c>
      <c r="BY38" s="7" t="str">
        <f>IF(AND(ISNUMBER($C38),ISNUMBER($D38),BY$1&lt;=$D38,BY$1+6&gt;=$C38),1,"")</f>
        <v/>
      </c>
      <c r="BZ38" s="7" t="str">
        <f>IF(AND(ISNUMBER($C38),ISNUMBER($D38),BZ$1&lt;=$D38,BZ$1+6&gt;=$C38),1,"")</f>
        <v/>
      </c>
      <c r="CA38" s="7" t="str">
        <f>IF(AND(ISNUMBER($C38),ISNUMBER($D38),CA$1&lt;=$D38,CA$1+6&gt;=$C38),1,"")</f>
        <v/>
      </c>
      <c r="CB38" s="7" t="str">
        <f>IF(AND(ISNUMBER($C38),ISNUMBER($D38),CB$1&lt;=$D38,CB$1+6&gt;=$C38),1,"")</f>
        <v/>
      </c>
      <c r="CC38" s="7" t="str">
        <f>IF(AND(ISNUMBER($C38),ISNUMBER($D38),CC$1&lt;=$D38,CC$1+6&gt;=$C38),1,"")</f>
        <v/>
      </c>
      <c r="CD38" s="7" t="str">
        <f>IF(AND(ISNUMBER($C38),ISNUMBER($D38),CD$1&lt;=$D38,CD$1+6&gt;=$C38),1,"")</f>
        <v/>
      </c>
      <c r="CE38" s="7" t="str">
        <f>IF(AND(ISNUMBER($C38),ISNUMBER($D38),CE$1&lt;=$D38,CE$1+6&gt;=$C38),1,"")</f>
        <v/>
      </c>
      <c r="CF38" s="7" t="str">
        <f>IF(AND(ISNUMBER($C38),ISNUMBER($D38),CF$1&lt;=$D38,CF$1+6&gt;=$C38),1,"")</f>
        <v/>
      </c>
      <c r="CG38" s="7" t="str">
        <f>IF(AND(ISNUMBER($C38),ISNUMBER($D38),CG$1&lt;=$D38,CG$1+6&gt;=$C38),1,"")</f>
        <v/>
      </c>
      <c r="CH38" s="7" t="str">
        <f>IF(AND(ISNUMBER($C38),ISNUMBER($D38),CH$1&lt;=$D38,CH$1+6&gt;=$C38),1,"")</f>
        <v/>
      </c>
      <c r="CI38" s="7" t="str">
        <f>IF(AND(ISNUMBER($C38),ISNUMBER($D38),CI$1&lt;=$D38,CI$1+6&gt;=$C38),1,"")</f>
        <v/>
      </c>
      <c r="CJ38" s="7" t="str">
        <f>IF(AND(ISNUMBER($C38),ISNUMBER($D38),CJ$1&lt;=$D38,CJ$1+6&gt;=$C38),1,"")</f>
        <v/>
      </c>
      <c r="CK38" s="7" t="str">
        <f>IF(AND(ISNUMBER($C38),ISNUMBER($D38),CK$1&lt;=$D38,CK$1+6&gt;=$C38),1,"")</f>
        <v/>
      </c>
      <c r="CL38" s="7" t="str">
        <f>IF(AND(ISNUMBER($C38),ISNUMBER($D38),CL$1&lt;=$D38,CL$1+6&gt;=$C38),1,"")</f>
        <v/>
      </c>
      <c r="CM38" s="7" t="str">
        <f>IF(AND(ISNUMBER($C38),ISNUMBER($D38),CM$1&lt;=$D38,CM$1+6&gt;=$C38),1,"")</f>
        <v/>
      </c>
      <c r="CN38" s="7" t="str">
        <f>IF(AND(ISNUMBER($C38),ISNUMBER($D38),CN$1&lt;=$D38,CN$1+6&gt;=$C38),1,"")</f>
        <v/>
      </c>
      <c r="CO38" s="7" t="str">
        <f>IF(AND(ISNUMBER($C38),ISNUMBER($D38),CO$1&lt;=$D38,CO$1+6&gt;=$C38),1,"")</f>
        <v/>
      </c>
      <c r="CP38" s="7" t="str">
        <f>IF(AND(ISNUMBER($C38),ISNUMBER($D38),CP$1&lt;=$D38,CP$1+6&gt;=$C38),1,"")</f>
        <v/>
      </c>
      <c r="CQ38" s="7" t="str">
        <f>IF(AND(ISNUMBER($C38),ISNUMBER($D38),CQ$1&lt;=$D38,CQ$1+6&gt;=$C38),1,"")</f>
        <v/>
      </c>
      <c r="CR38" s="7" t="str">
        <f>IF(AND(ISNUMBER($C38),ISNUMBER($D38),CR$1&lt;=$D38,CR$1+6&gt;=$C38),1,"")</f>
        <v/>
      </c>
      <c r="CS38" s="7" t="str">
        <f>IF(AND(ISNUMBER($C38),ISNUMBER($D38),CS$1&lt;=$D38,CS$1+6&gt;=$C38),1,"")</f>
        <v/>
      </c>
      <c r="CT38" s="7" t="str">
        <f>IF(AND(ISNUMBER($C38),ISNUMBER($D38),CT$1&lt;=$D38,CT$1+6&gt;=$C38),1,"")</f>
        <v/>
      </c>
      <c r="CU38" s="7" t="str">
        <f>IF(AND(ISNUMBER($C38),ISNUMBER($D38),CU$1&lt;=$D38,CU$1+6&gt;=$C38),1,"")</f>
        <v/>
      </c>
      <c r="CV38" s="7" t="str">
        <f>IF(AND(ISNUMBER($C38),ISNUMBER($D38),CV$1&lt;=$D38,CV$1+6&gt;=$C38),1,"")</f>
        <v/>
      </c>
      <c r="CW38" s="7" t="str">
        <f>IF(AND(ISNUMBER($C38),ISNUMBER($D38),CW$1&lt;=$D38,CW$1+6&gt;=$C38),1,"")</f>
        <v/>
      </c>
      <c r="CX38" s="7" t="str">
        <f>IF(AND(ISNUMBER($C38),ISNUMBER($D38),CX$1&lt;=$D38,CX$1+6&gt;=$C38),1,"")</f>
        <v/>
      </c>
      <c r="CY38" s="7" t="str">
        <f>IF(AND(ISNUMBER($C38),ISNUMBER($D38),CY$1&lt;=$D38,CY$1+6&gt;=$C38),1,"")</f>
        <v/>
      </c>
      <c r="CZ38" s="7" t="str">
        <f>IF(AND(ISNUMBER($C38),ISNUMBER($D38),CZ$1&lt;=$D38,CZ$1+6&gt;=$C38),1,"")</f>
        <v/>
      </c>
      <c r="DA38" s="7" t="str">
        <f>IF(AND(ISNUMBER($C38),ISNUMBER($D38),DA$1&lt;=$D38,DA$1+6&gt;=$C38),1,"")</f>
        <v/>
      </c>
      <c r="DB38" s="7" t="str">
        <f>IF(AND(ISNUMBER($C38),ISNUMBER($D38),DB$1&lt;=$D38,DB$1+6&gt;=$C38),1,"")</f>
        <v/>
      </c>
      <c r="DC38" s="7" t="str">
        <f>IF(AND(ISNUMBER($C38),ISNUMBER($D38),DC$1&lt;=$D38,DC$1+6&gt;=$C38),1,"")</f>
        <v/>
      </c>
      <c r="DD38" s="7" t="str">
        <f>IF(AND(ISNUMBER($C38),ISNUMBER($D38),DD$1&lt;=$D38,DD$1+6&gt;=$C38),1,"")</f>
        <v/>
      </c>
    </row>
    <row r="39" spans="1:108" x14ac:dyDescent="0.35">
      <c r="A39" s="6" t="str">
        <f>Schedule!B39</f>
        <v>Capstone retrieval and evaluation pilot</v>
      </c>
      <c r="B39" s="6" t="str">
        <f>Schedule!C39</f>
        <v>Delivery</v>
      </c>
      <c r="C39" s="4">
        <f>IF(Schedule!P39="","",Schedule!P39)</f>
        <v>46692</v>
      </c>
      <c r="D39" s="4">
        <f>IF(Schedule!Q39="","",Schedule!Q39)</f>
        <v>46757</v>
      </c>
      <c r="E39" s="7" t="str">
        <f>IF(AND(ISNUMBER($C39),ISNUMBER($D39),E$1&lt;=$D39,E$1+6&gt;=$C39),1,"")</f>
        <v/>
      </c>
      <c r="F39" s="7" t="str">
        <f>IF(AND(ISNUMBER($C39),ISNUMBER($D39),F$1&lt;=$D39,F$1+6&gt;=$C39),1,"")</f>
        <v/>
      </c>
      <c r="G39" s="7" t="str">
        <f>IF(AND(ISNUMBER($C39),ISNUMBER($D39),G$1&lt;=$D39,G$1+6&gt;=$C39),1,"")</f>
        <v/>
      </c>
      <c r="H39" s="7" t="str">
        <f>IF(AND(ISNUMBER($C39),ISNUMBER($D39),H$1&lt;=$D39,H$1+6&gt;=$C39),1,"")</f>
        <v/>
      </c>
      <c r="I39" s="7" t="str">
        <f>IF(AND(ISNUMBER($C39),ISNUMBER($D39),I$1&lt;=$D39,I$1+6&gt;=$C39),1,"")</f>
        <v/>
      </c>
      <c r="J39" s="7" t="str">
        <f>IF(AND(ISNUMBER($C39),ISNUMBER($D39),J$1&lt;=$D39,J$1+6&gt;=$C39),1,"")</f>
        <v/>
      </c>
      <c r="K39" s="7" t="str">
        <f>IF(AND(ISNUMBER($C39),ISNUMBER($D39),K$1&lt;=$D39,K$1+6&gt;=$C39),1,"")</f>
        <v/>
      </c>
      <c r="L39" s="7" t="str">
        <f>IF(AND(ISNUMBER($C39),ISNUMBER($D39),L$1&lt;=$D39,L$1+6&gt;=$C39),1,"")</f>
        <v/>
      </c>
      <c r="M39" s="7" t="str">
        <f>IF(AND(ISNUMBER($C39),ISNUMBER($D39),M$1&lt;=$D39,M$1+6&gt;=$C39),1,"")</f>
        <v/>
      </c>
      <c r="N39" s="7" t="str">
        <f>IF(AND(ISNUMBER($C39),ISNUMBER($D39),N$1&lt;=$D39,N$1+6&gt;=$C39),1,"")</f>
        <v/>
      </c>
      <c r="O39" s="7" t="str">
        <f>IF(AND(ISNUMBER($C39),ISNUMBER($D39),O$1&lt;=$D39,O$1+6&gt;=$C39),1,"")</f>
        <v/>
      </c>
      <c r="P39" s="7" t="str">
        <f>IF(AND(ISNUMBER($C39),ISNUMBER($D39),P$1&lt;=$D39,P$1+6&gt;=$C39),1,"")</f>
        <v/>
      </c>
      <c r="Q39" s="7" t="str">
        <f>IF(AND(ISNUMBER($C39),ISNUMBER($D39),Q$1&lt;=$D39,Q$1+6&gt;=$C39),1,"")</f>
        <v/>
      </c>
      <c r="R39" s="7" t="str">
        <f>IF(AND(ISNUMBER($C39),ISNUMBER($D39),R$1&lt;=$D39,R$1+6&gt;=$C39),1,"")</f>
        <v/>
      </c>
      <c r="S39" s="7" t="str">
        <f>IF(AND(ISNUMBER($C39),ISNUMBER($D39),S$1&lt;=$D39,S$1+6&gt;=$C39),1,"")</f>
        <v/>
      </c>
      <c r="T39" s="7" t="str">
        <f>IF(AND(ISNUMBER($C39),ISNUMBER($D39),T$1&lt;=$D39,T$1+6&gt;=$C39),1,"")</f>
        <v/>
      </c>
      <c r="U39" s="7" t="str">
        <f>IF(AND(ISNUMBER($C39),ISNUMBER($D39),U$1&lt;=$D39,U$1+6&gt;=$C39),1,"")</f>
        <v/>
      </c>
      <c r="V39" s="7" t="str">
        <f>IF(AND(ISNUMBER($C39),ISNUMBER($D39),V$1&lt;=$D39,V$1+6&gt;=$C39),1,"")</f>
        <v/>
      </c>
      <c r="W39" s="7" t="str">
        <f>IF(AND(ISNUMBER($C39),ISNUMBER($D39),W$1&lt;=$D39,W$1+6&gt;=$C39),1,"")</f>
        <v/>
      </c>
      <c r="X39" s="7" t="str">
        <f>IF(AND(ISNUMBER($C39),ISNUMBER($D39),X$1&lt;=$D39,X$1+6&gt;=$C39),1,"")</f>
        <v/>
      </c>
      <c r="Y39" s="7" t="str">
        <f>IF(AND(ISNUMBER($C39),ISNUMBER($D39),Y$1&lt;=$D39,Y$1+6&gt;=$C39),1,"")</f>
        <v/>
      </c>
      <c r="Z39" s="7" t="str">
        <f>IF(AND(ISNUMBER($C39),ISNUMBER($D39),Z$1&lt;=$D39,Z$1+6&gt;=$C39),1,"")</f>
        <v/>
      </c>
      <c r="AA39" s="7" t="str">
        <f>IF(AND(ISNUMBER($C39),ISNUMBER($D39),AA$1&lt;=$D39,AA$1+6&gt;=$C39),1,"")</f>
        <v/>
      </c>
      <c r="AB39" s="7" t="str">
        <f>IF(AND(ISNUMBER($C39),ISNUMBER($D39),AB$1&lt;=$D39,AB$1+6&gt;=$C39),1,"")</f>
        <v/>
      </c>
      <c r="AC39" s="7" t="str">
        <f>IF(AND(ISNUMBER($C39),ISNUMBER($D39),AC$1&lt;=$D39,AC$1+6&gt;=$C39),1,"")</f>
        <v/>
      </c>
      <c r="AD39" s="7" t="str">
        <f>IF(AND(ISNUMBER($C39),ISNUMBER($D39),AD$1&lt;=$D39,AD$1+6&gt;=$C39),1,"")</f>
        <v/>
      </c>
      <c r="AE39" s="7" t="str">
        <f>IF(AND(ISNUMBER($C39),ISNUMBER($D39),AE$1&lt;=$D39,AE$1+6&gt;=$C39),1,"")</f>
        <v/>
      </c>
      <c r="AF39" s="7" t="str">
        <f>IF(AND(ISNUMBER($C39),ISNUMBER($D39),AF$1&lt;=$D39,AF$1+6&gt;=$C39),1,"")</f>
        <v/>
      </c>
      <c r="AG39" s="7" t="str">
        <f>IF(AND(ISNUMBER($C39),ISNUMBER($D39),AG$1&lt;=$D39,AG$1+6&gt;=$C39),1,"")</f>
        <v/>
      </c>
      <c r="AH39" s="7" t="str">
        <f>IF(AND(ISNUMBER($C39),ISNUMBER($D39),AH$1&lt;=$D39,AH$1+6&gt;=$C39),1,"")</f>
        <v/>
      </c>
      <c r="AI39" s="7" t="str">
        <f>IF(AND(ISNUMBER($C39),ISNUMBER($D39),AI$1&lt;=$D39,AI$1+6&gt;=$C39),1,"")</f>
        <v/>
      </c>
      <c r="AJ39" s="7" t="str">
        <f>IF(AND(ISNUMBER($C39),ISNUMBER($D39),AJ$1&lt;=$D39,AJ$1+6&gt;=$C39),1,"")</f>
        <v/>
      </c>
      <c r="AK39" s="7" t="str">
        <f>IF(AND(ISNUMBER($C39),ISNUMBER($D39),AK$1&lt;=$D39,AK$1+6&gt;=$C39),1,"")</f>
        <v/>
      </c>
      <c r="AL39" s="7" t="str">
        <f>IF(AND(ISNUMBER($C39),ISNUMBER($D39),AL$1&lt;=$D39,AL$1+6&gt;=$C39),1,"")</f>
        <v/>
      </c>
      <c r="AM39" s="7" t="str">
        <f>IF(AND(ISNUMBER($C39),ISNUMBER($D39),AM$1&lt;=$D39,AM$1+6&gt;=$C39),1,"")</f>
        <v/>
      </c>
      <c r="AN39" s="7" t="str">
        <f>IF(AND(ISNUMBER($C39),ISNUMBER($D39),AN$1&lt;=$D39,AN$1+6&gt;=$C39),1,"")</f>
        <v/>
      </c>
      <c r="AO39" s="7" t="str">
        <f>IF(AND(ISNUMBER($C39),ISNUMBER($D39),AO$1&lt;=$D39,AO$1+6&gt;=$C39),1,"")</f>
        <v/>
      </c>
      <c r="AP39" s="7" t="str">
        <f>IF(AND(ISNUMBER($C39),ISNUMBER($D39),AP$1&lt;=$D39,AP$1+6&gt;=$C39),1,"")</f>
        <v/>
      </c>
      <c r="AQ39" s="7" t="str">
        <f>IF(AND(ISNUMBER($C39),ISNUMBER($D39),AQ$1&lt;=$D39,AQ$1+6&gt;=$C39),1,"")</f>
        <v/>
      </c>
      <c r="AR39" s="7" t="str">
        <f>IF(AND(ISNUMBER($C39),ISNUMBER($D39),AR$1&lt;=$D39,AR$1+6&gt;=$C39),1,"")</f>
        <v/>
      </c>
      <c r="AS39" s="7" t="str">
        <f>IF(AND(ISNUMBER($C39),ISNUMBER($D39),AS$1&lt;=$D39,AS$1+6&gt;=$C39),1,"")</f>
        <v/>
      </c>
      <c r="AT39" s="7" t="str">
        <f>IF(AND(ISNUMBER($C39),ISNUMBER($D39),AT$1&lt;=$D39,AT$1+6&gt;=$C39),1,"")</f>
        <v/>
      </c>
      <c r="AU39" s="7" t="str">
        <f>IF(AND(ISNUMBER($C39),ISNUMBER($D39),AU$1&lt;=$D39,AU$1+6&gt;=$C39),1,"")</f>
        <v/>
      </c>
      <c r="AV39" s="7" t="str">
        <f>IF(AND(ISNUMBER($C39),ISNUMBER($D39),AV$1&lt;=$D39,AV$1+6&gt;=$C39),1,"")</f>
        <v/>
      </c>
      <c r="AW39" s="7" t="str">
        <f>IF(AND(ISNUMBER($C39),ISNUMBER($D39),AW$1&lt;=$D39,AW$1+6&gt;=$C39),1,"")</f>
        <v/>
      </c>
      <c r="AX39" s="7" t="str">
        <f>IF(AND(ISNUMBER($C39),ISNUMBER($D39),AX$1&lt;=$D39,AX$1+6&gt;=$C39),1,"")</f>
        <v/>
      </c>
      <c r="AY39" s="7" t="str">
        <f>IF(AND(ISNUMBER($C39),ISNUMBER($D39),AY$1&lt;=$D39,AY$1+6&gt;=$C39),1,"")</f>
        <v/>
      </c>
      <c r="AZ39" s="7" t="str">
        <f>IF(AND(ISNUMBER($C39),ISNUMBER($D39),AZ$1&lt;=$D39,AZ$1+6&gt;=$C39),1,"")</f>
        <v/>
      </c>
      <c r="BA39" s="7" t="str">
        <f>IF(AND(ISNUMBER($C39),ISNUMBER($D39),BA$1&lt;=$D39,BA$1+6&gt;=$C39),1,"")</f>
        <v/>
      </c>
      <c r="BB39" s="7" t="str">
        <f>IF(AND(ISNUMBER($C39),ISNUMBER($D39),BB$1&lt;=$D39,BB$1+6&gt;=$C39),1,"")</f>
        <v/>
      </c>
      <c r="BC39" s="7" t="str">
        <f>IF(AND(ISNUMBER($C39),ISNUMBER($D39),BC$1&lt;=$D39,BC$1+6&gt;=$C39),1,"")</f>
        <v/>
      </c>
      <c r="BD39" s="7" t="str">
        <f>IF(AND(ISNUMBER($C39),ISNUMBER($D39),BD$1&lt;=$D39,BD$1+6&gt;=$C39),1,"")</f>
        <v/>
      </c>
      <c r="BE39" s="7" t="str">
        <f>IF(AND(ISNUMBER($C39),ISNUMBER($D39),BE$1&lt;=$D39,BE$1+6&gt;=$C39),1,"")</f>
        <v/>
      </c>
      <c r="BF39" s="7">
        <f>IF(AND(ISNUMBER($C39),ISNUMBER($D39),BF$1&lt;=$D39,BF$1+6&gt;=$C39),1,"")</f>
        <v>1</v>
      </c>
      <c r="BG39" s="7">
        <f>IF(AND(ISNUMBER($C39),ISNUMBER($D39),BG$1&lt;=$D39,BG$1+6&gt;=$C39),1,"")</f>
        <v>1</v>
      </c>
      <c r="BH39" s="7">
        <f>IF(AND(ISNUMBER($C39),ISNUMBER($D39),BH$1&lt;=$D39,BH$1+6&gt;=$C39),1,"")</f>
        <v>1</v>
      </c>
      <c r="BI39" s="7">
        <f>IF(AND(ISNUMBER($C39),ISNUMBER($D39),BI$1&lt;=$D39,BI$1+6&gt;=$C39),1,"")</f>
        <v>1</v>
      </c>
      <c r="BJ39" s="7">
        <f>IF(AND(ISNUMBER($C39),ISNUMBER($D39),BJ$1&lt;=$D39,BJ$1+6&gt;=$C39),1,"")</f>
        <v>1</v>
      </c>
      <c r="BK39" s="7">
        <f>IF(AND(ISNUMBER($C39),ISNUMBER($D39),BK$1&lt;=$D39,BK$1+6&gt;=$C39),1,"")</f>
        <v>1</v>
      </c>
      <c r="BL39" s="7">
        <f>IF(AND(ISNUMBER($C39),ISNUMBER($D39),BL$1&lt;=$D39,BL$1+6&gt;=$C39),1,"")</f>
        <v>1</v>
      </c>
      <c r="BM39" s="7">
        <f>IF(AND(ISNUMBER($C39),ISNUMBER($D39),BM$1&lt;=$D39,BM$1+6&gt;=$C39),1,"")</f>
        <v>1</v>
      </c>
      <c r="BN39" s="7">
        <f>IF(AND(ISNUMBER($C39),ISNUMBER($D39),BN$1&lt;=$D39,BN$1+6&gt;=$C39),1,"")</f>
        <v>1</v>
      </c>
      <c r="BO39" s="7">
        <f>IF(AND(ISNUMBER($C39),ISNUMBER($D39),BO$1&lt;=$D39,BO$1+6&gt;=$C39),1,"")</f>
        <v>1</v>
      </c>
      <c r="BP39" s="7" t="str">
        <f>IF(AND(ISNUMBER($C39),ISNUMBER($D39),BP$1&lt;=$D39,BP$1+6&gt;=$C39),1,"")</f>
        <v/>
      </c>
      <c r="BQ39" s="7" t="str">
        <f>IF(AND(ISNUMBER($C39),ISNUMBER($D39),BQ$1&lt;=$D39,BQ$1+6&gt;=$C39),1,"")</f>
        <v/>
      </c>
      <c r="BR39" s="7" t="str">
        <f>IF(AND(ISNUMBER($C39),ISNUMBER($D39),BR$1&lt;=$D39,BR$1+6&gt;=$C39),1,"")</f>
        <v/>
      </c>
      <c r="BS39" s="7" t="str">
        <f>IF(AND(ISNUMBER($C39),ISNUMBER($D39),BS$1&lt;=$D39,BS$1+6&gt;=$C39),1,"")</f>
        <v/>
      </c>
      <c r="BT39" s="7" t="str">
        <f>IF(AND(ISNUMBER($C39),ISNUMBER($D39),BT$1&lt;=$D39,BT$1+6&gt;=$C39),1,"")</f>
        <v/>
      </c>
      <c r="BU39" s="7" t="str">
        <f>IF(AND(ISNUMBER($C39),ISNUMBER($D39),BU$1&lt;=$D39,BU$1+6&gt;=$C39),1,"")</f>
        <v/>
      </c>
      <c r="BV39" s="7" t="str">
        <f>IF(AND(ISNUMBER($C39),ISNUMBER($D39),BV$1&lt;=$D39,BV$1+6&gt;=$C39),1,"")</f>
        <v/>
      </c>
      <c r="BW39" s="7" t="str">
        <f>IF(AND(ISNUMBER($C39),ISNUMBER($D39),BW$1&lt;=$D39,BW$1+6&gt;=$C39),1,"")</f>
        <v/>
      </c>
      <c r="BX39" s="7" t="str">
        <f>IF(AND(ISNUMBER($C39),ISNUMBER($D39),BX$1&lt;=$D39,BX$1+6&gt;=$C39),1,"")</f>
        <v/>
      </c>
      <c r="BY39" s="7" t="str">
        <f>IF(AND(ISNUMBER($C39),ISNUMBER($D39),BY$1&lt;=$D39,BY$1+6&gt;=$C39),1,"")</f>
        <v/>
      </c>
      <c r="BZ39" s="7" t="str">
        <f>IF(AND(ISNUMBER($C39),ISNUMBER($D39),BZ$1&lt;=$D39,BZ$1+6&gt;=$C39),1,"")</f>
        <v/>
      </c>
      <c r="CA39" s="7" t="str">
        <f>IF(AND(ISNUMBER($C39),ISNUMBER($D39),CA$1&lt;=$D39,CA$1+6&gt;=$C39),1,"")</f>
        <v/>
      </c>
      <c r="CB39" s="7" t="str">
        <f>IF(AND(ISNUMBER($C39),ISNUMBER($D39),CB$1&lt;=$D39,CB$1+6&gt;=$C39),1,"")</f>
        <v/>
      </c>
      <c r="CC39" s="7" t="str">
        <f>IF(AND(ISNUMBER($C39),ISNUMBER($D39),CC$1&lt;=$D39,CC$1+6&gt;=$C39),1,"")</f>
        <v/>
      </c>
      <c r="CD39" s="7" t="str">
        <f>IF(AND(ISNUMBER($C39),ISNUMBER($D39),CD$1&lt;=$D39,CD$1+6&gt;=$C39),1,"")</f>
        <v/>
      </c>
      <c r="CE39" s="7" t="str">
        <f>IF(AND(ISNUMBER($C39),ISNUMBER($D39),CE$1&lt;=$D39,CE$1+6&gt;=$C39),1,"")</f>
        <v/>
      </c>
      <c r="CF39" s="7" t="str">
        <f>IF(AND(ISNUMBER($C39),ISNUMBER($D39),CF$1&lt;=$D39,CF$1+6&gt;=$C39),1,"")</f>
        <v/>
      </c>
      <c r="CG39" s="7" t="str">
        <f>IF(AND(ISNUMBER($C39),ISNUMBER($D39),CG$1&lt;=$D39,CG$1+6&gt;=$C39),1,"")</f>
        <v/>
      </c>
      <c r="CH39" s="7" t="str">
        <f>IF(AND(ISNUMBER($C39),ISNUMBER($D39),CH$1&lt;=$D39,CH$1+6&gt;=$C39),1,"")</f>
        <v/>
      </c>
      <c r="CI39" s="7" t="str">
        <f>IF(AND(ISNUMBER($C39),ISNUMBER($D39),CI$1&lt;=$D39,CI$1+6&gt;=$C39),1,"")</f>
        <v/>
      </c>
      <c r="CJ39" s="7" t="str">
        <f>IF(AND(ISNUMBER($C39),ISNUMBER($D39),CJ$1&lt;=$D39,CJ$1+6&gt;=$C39),1,"")</f>
        <v/>
      </c>
      <c r="CK39" s="7" t="str">
        <f>IF(AND(ISNUMBER($C39),ISNUMBER($D39),CK$1&lt;=$D39,CK$1+6&gt;=$C39),1,"")</f>
        <v/>
      </c>
      <c r="CL39" s="7" t="str">
        <f>IF(AND(ISNUMBER($C39),ISNUMBER($D39),CL$1&lt;=$D39,CL$1+6&gt;=$C39),1,"")</f>
        <v/>
      </c>
      <c r="CM39" s="7" t="str">
        <f>IF(AND(ISNUMBER($C39),ISNUMBER($D39),CM$1&lt;=$D39,CM$1+6&gt;=$C39),1,"")</f>
        <v/>
      </c>
      <c r="CN39" s="7" t="str">
        <f>IF(AND(ISNUMBER($C39),ISNUMBER($D39),CN$1&lt;=$D39,CN$1+6&gt;=$C39),1,"")</f>
        <v/>
      </c>
      <c r="CO39" s="7" t="str">
        <f>IF(AND(ISNUMBER($C39),ISNUMBER($D39),CO$1&lt;=$D39,CO$1+6&gt;=$C39),1,"")</f>
        <v/>
      </c>
      <c r="CP39" s="7" t="str">
        <f>IF(AND(ISNUMBER($C39),ISNUMBER($D39),CP$1&lt;=$D39,CP$1+6&gt;=$C39),1,"")</f>
        <v/>
      </c>
      <c r="CQ39" s="7" t="str">
        <f>IF(AND(ISNUMBER($C39),ISNUMBER($D39),CQ$1&lt;=$D39,CQ$1+6&gt;=$C39),1,"")</f>
        <v/>
      </c>
      <c r="CR39" s="7" t="str">
        <f>IF(AND(ISNUMBER($C39),ISNUMBER($D39),CR$1&lt;=$D39,CR$1+6&gt;=$C39),1,"")</f>
        <v/>
      </c>
      <c r="CS39" s="7" t="str">
        <f>IF(AND(ISNUMBER($C39),ISNUMBER($D39),CS$1&lt;=$D39,CS$1+6&gt;=$C39),1,"")</f>
        <v/>
      </c>
      <c r="CT39" s="7" t="str">
        <f>IF(AND(ISNUMBER($C39),ISNUMBER($D39),CT$1&lt;=$D39,CT$1+6&gt;=$C39),1,"")</f>
        <v/>
      </c>
      <c r="CU39" s="7" t="str">
        <f>IF(AND(ISNUMBER($C39),ISNUMBER($D39),CU$1&lt;=$D39,CU$1+6&gt;=$C39),1,"")</f>
        <v/>
      </c>
      <c r="CV39" s="7" t="str">
        <f>IF(AND(ISNUMBER($C39),ISNUMBER($D39),CV$1&lt;=$D39,CV$1+6&gt;=$C39),1,"")</f>
        <v/>
      </c>
      <c r="CW39" s="7" t="str">
        <f>IF(AND(ISNUMBER($C39),ISNUMBER($D39),CW$1&lt;=$D39,CW$1+6&gt;=$C39),1,"")</f>
        <v/>
      </c>
      <c r="CX39" s="7" t="str">
        <f>IF(AND(ISNUMBER($C39),ISNUMBER($D39),CX$1&lt;=$D39,CX$1+6&gt;=$C39),1,"")</f>
        <v/>
      </c>
      <c r="CY39" s="7" t="str">
        <f>IF(AND(ISNUMBER($C39),ISNUMBER($D39),CY$1&lt;=$D39,CY$1+6&gt;=$C39),1,"")</f>
        <v/>
      </c>
      <c r="CZ39" s="7" t="str">
        <f>IF(AND(ISNUMBER($C39),ISNUMBER($D39),CZ$1&lt;=$D39,CZ$1+6&gt;=$C39),1,"")</f>
        <v/>
      </c>
      <c r="DA39" s="7" t="str">
        <f>IF(AND(ISNUMBER($C39),ISNUMBER($D39),DA$1&lt;=$D39,DA$1+6&gt;=$C39),1,"")</f>
        <v/>
      </c>
      <c r="DB39" s="7" t="str">
        <f>IF(AND(ISNUMBER($C39),ISNUMBER($D39),DB$1&lt;=$D39,DB$1+6&gt;=$C39),1,"")</f>
        <v/>
      </c>
      <c r="DC39" s="7" t="str">
        <f>IF(AND(ISNUMBER($C39),ISNUMBER($D39),DC$1&lt;=$D39,DC$1+6&gt;=$C39),1,"")</f>
        <v/>
      </c>
      <c r="DD39" s="7" t="str">
        <f>IF(AND(ISNUMBER($C39),ISNUMBER($D39),DD$1&lt;=$D39,DD$1+6&gt;=$C39),1,"")</f>
        <v/>
      </c>
    </row>
    <row r="40" spans="1:108" x14ac:dyDescent="0.35">
      <c r="A40" s="6" t="str">
        <f>Schedule!B40</f>
        <v>Capstone bounded actions and failure rehearsal</v>
      </c>
      <c r="B40" s="6" t="str">
        <f>Schedule!C40</f>
        <v>Delivery</v>
      </c>
      <c r="C40" s="4">
        <f>IF(Schedule!P40="","",Schedule!P40)</f>
        <v>46759</v>
      </c>
      <c r="D40" s="4">
        <f>IF(Schedule!Q40="","",Schedule!Q40)</f>
        <v>46802</v>
      </c>
      <c r="E40" s="7" t="str">
        <f>IF(AND(ISNUMBER($C40),ISNUMBER($D40),E$1&lt;=$D40,E$1+6&gt;=$C40),1,"")</f>
        <v/>
      </c>
      <c r="F40" s="7" t="str">
        <f>IF(AND(ISNUMBER($C40),ISNUMBER($D40),F$1&lt;=$D40,F$1+6&gt;=$C40),1,"")</f>
        <v/>
      </c>
      <c r="G40" s="7" t="str">
        <f>IF(AND(ISNUMBER($C40),ISNUMBER($D40),G$1&lt;=$D40,G$1+6&gt;=$C40),1,"")</f>
        <v/>
      </c>
      <c r="H40" s="7" t="str">
        <f>IF(AND(ISNUMBER($C40),ISNUMBER($D40),H$1&lt;=$D40,H$1+6&gt;=$C40),1,"")</f>
        <v/>
      </c>
      <c r="I40" s="7" t="str">
        <f>IF(AND(ISNUMBER($C40),ISNUMBER($D40),I$1&lt;=$D40,I$1+6&gt;=$C40),1,"")</f>
        <v/>
      </c>
      <c r="J40" s="7" t="str">
        <f>IF(AND(ISNUMBER($C40),ISNUMBER($D40),J$1&lt;=$D40,J$1+6&gt;=$C40),1,"")</f>
        <v/>
      </c>
      <c r="K40" s="7" t="str">
        <f>IF(AND(ISNUMBER($C40),ISNUMBER($D40),K$1&lt;=$D40,K$1+6&gt;=$C40),1,"")</f>
        <v/>
      </c>
      <c r="L40" s="7" t="str">
        <f>IF(AND(ISNUMBER($C40),ISNUMBER($D40),L$1&lt;=$D40,L$1+6&gt;=$C40),1,"")</f>
        <v/>
      </c>
      <c r="M40" s="7" t="str">
        <f>IF(AND(ISNUMBER($C40),ISNUMBER($D40),M$1&lt;=$D40,M$1+6&gt;=$C40),1,"")</f>
        <v/>
      </c>
      <c r="N40" s="7" t="str">
        <f>IF(AND(ISNUMBER($C40),ISNUMBER($D40),N$1&lt;=$D40,N$1+6&gt;=$C40),1,"")</f>
        <v/>
      </c>
      <c r="O40" s="7" t="str">
        <f>IF(AND(ISNUMBER($C40),ISNUMBER($D40),O$1&lt;=$D40,O$1+6&gt;=$C40),1,"")</f>
        <v/>
      </c>
      <c r="P40" s="7" t="str">
        <f>IF(AND(ISNUMBER($C40),ISNUMBER($D40),P$1&lt;=$D40,P$1+6&gt;=$C40),1,"")</f>
        <v/>
      </c>
      <c r="Q40" s="7" t="str">
        <f>IF(AND(ISNUMBER($C40),ISNUMBER($D40),Q$1&lt;=$D40,Q$1+6&gt;=$C40),1,"")</f>
        <v/>
      </c>
      <c r="R40" s="7" t="str">
        <f>IF(AND(ISNUMBER($C40),ISNUMBER($D40),R$1&lt;=$D40,R$1+6&gt;=$C40),1,"")</f>
        <v/>
      </c>
      <c r="S40" s="7" t="str">
        <f>IF(AND(ISNUMBER($C40),ISNUMBER($D40),S$1&lt;=$D40,S$1+6&gt;=$C40),1,"")</f>
        <v/>
      </c>
      <c r="T40" s="7" t="str">
        <f>IF(AND(ISNUMBER($C40),ISNUMBER($D40),T$1&lt;=$D40,T$1+6&gt;=$C40),1,"")</f>
        <v/>
      </c>
      <c r="U40" s="7" t="str">
        <f>IF(AND(ISNUMBER($C40),ISNUMBER($D40),U$1&lt;=$D40,U$1+6&gt;=$C40),1,"")</f>
        <v/>
      </c>
      <c r="V40" s="7" t="str">
        <f>IF(AND(ISNUMBER($C40),ISNUMBER($D40),V$1&lt;=$D40,V$1+6&gt;=$C40),1,"")</f>
        <v/>
      </c>
      <c r="W40" s="7" t="str">
        <f>IF(AND(ISNUMBER($C40),ISNUMBER($D40),W$1&lt;=$D40,W$1+6&gt;=$C40),1,"")</f>
        <v/>
      </c>
      <c r="X40" s="7" t="str">
        <f>IF(AND(ISNUMBER($C40),ISNUMBER($D40),X$1&lt;=$D40,X$1+6&gt;=$C40),1,"")</f>
        <v/>
      </c>
      <c r="Y40" s="7" t="str">
        <f>IF(AND(ISNUMBER($C40),ISNUMBER($D40),Y$1&lt;=$D40,Y$1+6&gt;=$C40),1,"")</f>
        <v/>
      </c>
      <c r="Z40" s="7" t="str">
        <f>IF(AND(ISNUMBER($C40),ISNUMBER($D40),Z$1&lt;=$D40,Z$1+6&gt;=$C40),1,"")</f>
        <v/>
      </c>
      <c r="AA40" s="7" t="str">
        <f>IF(AND(ISNUMBER($C40),ISNUMBER($D40),AA$1&lt;=$D40,AA$1+6&gt;=$C40),1,"")</f>
        <v/>
      </c>
      <c r="AB40" s="7" t="str">
        <f>IF(AND(ISNUMBER($C40),ISNUMBER($D40),AB$1&lt;=$D40,AB$1+6&gt;=$C40),1,"")</f>
        <v/>
      </c>
      <c r="AC40" s="7" t="str">
        <f>IF(AND(ISNUMBER($C40),ISNUMBER($D40),AC$1&lt;=$D40,AC$1+6&gt;=$C40),1,"")</f>
        <v/>
      </c>
      <c r="AD40" s="7" t="str">
        <f>IF(AND(ISNUMBER($C40),ISNUMBER($D40),AD$1&lt;=$D40,AD$1+6&gt;=$C40),1,"")</f>
        <v/>
      </c>
      <c r="AE40" s="7" t="str">
        <f>IF(AND(ISNUMBER($C40),ISNUMBER($D40),AE$1&lt;=$D40,AE$1+6&gt;=$C40),1,"")</f>
        <v/>
      </c>
      <c r="AF40" s="7" t="str">
        <f>IF(AND(ISNUMBER($C40),ISNUMBER($D40),AF$1&lt;=$D40,AF$1+6&gt;=$C40),1,"")</f>
        <v/>
      </c>
      <c r="AG40" s="7" t="str">
        <f>IF(AND(ISNUMBER($C40),ISNUMBER($D40),AG$1&lt;=$D40,AG$1+6&gt;=$C40),1,"")</f>
        <v/>
      </c>
      <c r="AH40" s="7" t="str">
        <f>IF(AND(ISNUMBER($C40),ISNUMBER($D40),AH$1&lt;=$D40,AH$1+6&gt;=$C40),1,"")</f>
        <v/>
      </c>
      <c r="AI40" s="7" t="str">
        <f>IF(AND(ISNUMBER($C40),ISNUMBER($D40),AI$1&lt;=$D40,AI$1+6&gt;=$C40),1,"")</f>
        <v/>
      </c>
      <c r="AJ40" s="7" t="str">
        <f>IF(AND(ISNUMBER($C40),ISNUMBER($D40),AJ$1&lt;=$D40,AJ$1+6&gt;=$C40),1,"")</f>
        <v/>
      </c>
      <c r="AK40" s="7" t="str">
        <f>IF(AND(ISNUMBER($C40),ISNUMBER($D40),AK$1&lt;=$D40,AK$1+6&gt;=$C40),1,"")</f>
        <v/>
      </c>
      <c r="AL40" s="7" t="str">
        <f>IF(AND(ISNUMBER($C40),ISNUMBER($D40),AL$1&lt;=$D40,AL$1+6&gt;=$C40),1,"")</f>
        <v/>
      </c>
      <c r="AM40" s="7" t="str">
        <f>IF(AND(ISNUMBER($C40),ISNUMBER($D40),AM$1&lt;=$D40,AM$1+6&gt;=$C40),1,"")</f>
        <v/>
      </c>
      <c r="AN40" s="7" t="str">
        <f>IF(AND(ISNUMBER($C40),ISNUMBER($D40),AN$1&lt;=$D40,AN$1+6&gt;=$C40),1,"")</f>
        <v/>
      </c>
      <c r="AO40" s="7" t="str">
        <f>IF(AND(ISNUMBER($C40),ISNUMBER($D40),AO$1&lt;=$D40,AO$1+6&gt;=$C40),1,"")</f>
        <v/>
      </c>
      <c r="AP40" s="7" t="str">
        <f>IF(AND(ISNUMBER($C40),ISNUMBER($D40),AP$1&lt;=$D40,AP$1+6&gt;=$C40),1,"")</f>
        <v/>
      </c>
      <c r="AQ40" s="7" t="str">
        <f>IF(AND(ISNUMBER($C40),ISNUMBER($D40),AQ$1&lt;=$D40,AQ$1+6&gt;=$C40),1,"")</f>
        <v/>
      </c>
      <c r="AR40" s="7" t="str">
        <f>IF(AND(ISNUMBER($C40),ISNUMBER($D40),AR$1&lt;=$D40,AR$1+6&gt;=$C40),1,"")</f>
        <v/>
      </c>
      <c r="AS40" s="7" t="str">
        <f>IF(AND(ISNUMBER($C40),ISNUMBER($D40),AS$1&lt;=$D40,AS$1+6&gt;=$C40),1,"")</f>
        <v/>
      </c>
      <c r="AT40" s="7" t="str">
        <f>IF(AND(ISNUMBER($C40),ISNUMBER($D40),AT$1&lt;=$D40,AT$1+6&gt;=$C40),1,"")</f>
        <v/>
      </c>
      <c r="AU40" s="7" t="str">
        <f>IF(AND(ISNUMBER($C40),ISNUMBER($D40),AU$1&lt;=$D40,AU$1+6&gt;=$C40),1,"")</f>
        <v/>
      </c>
      <c r="AV40" s="7" t="str">
        <f>IF(AND(ISNUMBER($C40),ISNUMBER($D40),AV$1&lt;=$D40,AV$1+6&gt;=$C40),1,"")</f>
        <v/>
      </c>
      <c r="AW40" s="7" t="str">
        <f>IF(AND(ISNUMBER($C40),ISNUMBER($D40),AW$1&lt;=$D40,AW$1+6&gt;=$C40),1,"")</f>
        <v/>
      </c>
      <c r="AX40" s="7" t="str">
        <f>IF(AND(ISNUMBER($C40),ISNUMBER($D40),AX$1&lt;=$D40,AX$1+6&gt;=$C40),1,"")</f>
        <v/>
      </c>
      <c r="AY40" s="7" t="str">
        <f>IF(AND(ISNUMBER($C40),ISNUMBER($D40),AY$1&lt;=$D40,AY$1+6&gt;=$C40),1,"")</f>
        <v/>
      </c>
      <c r="AZ40" s="7" t="str">
        <f>IF(AND(ISNUMBER($C40),ISNUMBER($D40),AZ$1&lt;=$D40,AZ$1+6&gt;=$C40),1,"")</f>
        <v/>
      </c>
      <c r="BA40" s="7" t="str">
        <f>IF(AND(ISNUMBER($C40),ISNUMBER($D40),BA$1&lt;=$D40,BA$1+6&gt;=$C40),1,"")</f>
        <v/>
      </c>
      <c r="BB40" s="7" t="str">
        <f>IF(AND(ISNUMBER($C40),ISNUMBER($D40),BB$1&lt;=$D40,BB$1+6&gt;=$C40),1,"")</f>
        <v/>
      </c>
      <c r="BC40" s="7" t="str">
        <f>IF(AND(ISNUMBER($C40),ISNUMBER($D40),BC$1&lt;=$D40,BC$1+6&gt;=$C40),1,"")</f>
        <v/>
      </c>
      <c r="BD40" s="7" t="str">
        <f>IF(AND(ISNUMBER($C40),ISNUMBER($D40),BD$1&lt;=$D40,BD$1+6&gt;=$C40),1,"")</f>
        <v/>
      </c>
      <c r="BE40" s="7" t="str">
        <f>IF(AND(ISNUMBER($C40),ISNUMBER($D40),BE$1&lt;=$D40,BE$1+6&gt;=$C40),1,"")</f>
        <v/>
      </c>
      <c r="BF40" s="7" t="str">
        <f>IF(AND(ISNUMBER($C40),ISNUMBER($D40),BF$1&lt;=$D40,BF$1+6&gt;=$C40),1,"")</f>
        <v/>
      </c>
      <c r="BG40" s="7" t="str">
        <f>IF(AND(ISNUMBER($C40),ISNUMBER($D40),BG$1&lt;=$D40,BG$1+6&gt;=$C40),1,"")</f>
        <v/>
      </c>
      <c r="BH40" s="7" t="str">
        <f>IF(AND(ISNUMBER($C40),ISNUMBER($D40),BH$1&lt;=$D40,BH$1+6&gt;=$C40),1,"")</f>
        <v/>
      </c>
      <c r="BI40" s="7" t="str">
        <f>IF(AND(ISNUMBER($C40),ISNUMBER($D40),BI$1&lt;=$D40,BI$1+6&gt;=$C40),1,"")</f>
        <v/>
      </c>
      <c r="BJ40" s="7" t="str">
        <f>IF(AND(ISNUMBER($C40),ISNUMBER($D40),BJ$1&lt;=$D40,BJ$1+6&gt;=$C40),1,"")</f>
        <v/>
      </c>
      <c r="BK40" s="7" t="str">
        <f>IF(AND(ISNUMBER($C40),ISNUMBER($D40),BK$1&lt;=$D40,BK$1+6&gt;=$C40),1,"")</f>
        <v/>
      </c>
      <c r="BL40" s="7" t="str">
        <f>IF(AND(ISNUMBER($C40),ISNUMBER($D40),BL$1&lt;=$D40,BL$1+6&gt;=$C40),1,"")</f>
        <v/>
      </c>
      <c r="BM40" s="7" t="str">
        <f>IF(AND(ISNUMBER($C40),ISNUMBER($D40),BM$1&lt;=$D40,BM$1+6&gt;=$C40),1,"")</f>
        <v/>
      </c>
      <c r="BN40" s="7" t="str">
        <f>IF(AND(ISNUMBER($C40),ISNUMBER($D40),BN$1&lt;=$D40,BN$1+6&gt;=$C40),1,"")</f>
        <v/>
      </c>
      <c r="BO40" s="7" t="str">
        <f>IF(AND(ISNUMBER($C40),ISNUMBER($D40),BO$1&lt;=$D40,BO$1+6&gt;=$C40),1,"")</f>
        <v/>
      </c>
      <c r="BP40" s="7">
        <f>IF(AND(ISNUMBER($C40),ISNUMBER($D40),BP$1&lt;=$D40,BP$1+6&gt;=$C40),1,"")</f>
        <v>1</v>
      </c>
      <c r="BQ40" s="7">
        <f>IF(AND(ISNUMBER($C40),ISNUMBER($D40),BQ$1&lt;=$D40,BQ$1+6&gt;=$C40),1,"")</f>
        <v>1</v>
      </c>
      <c r="BR40" s="7">
        <f>IF(AND(ISNUMBER($C40),ISNUMBER($D40),BR$1&lt;=$D40,BR$1+6&gt;=$C40),1,"")</f>
        <v>1</v>
      </c>
      <c r="BS40" s="7">
        <f>IF(AND(ISNUMBER($C40),ISNUMBER($D40),BS$1&lt;=$D40,BS$1+6&gt;=$C40),1,"")</f>
        <v>1</v>
      </c>
      <c r="BT40" s="7">
        <f>IF(AND(ISNUMBER($C40),ISNUMBER($D40),BT$1&lt;=$D40,BT$1+6&gt;=$C40),1,"")</f>
        <v>1</v>
      </c>
      <c r="BU40" s="7">
        <f>IF(AND(ISNUMBER($C40),ISNUMBER($D40),BU$1&lt;=$D40,BU$1+6&gt;=$C40),1,"")</f>
        <v>1</v>
      </c>
      <c r="BV40" s="7">
        <f>IF(AND(ISNUMBER($C40),ISNUMBER($D40),BV$1&lt;=$D40,BV$1+6&gt;=$C40),1,"")</f>
        <v>1</v>
      </c>
      <c r="BW40" s="7" t="str">
        <f>IF(AND(ISNUMBER($C40),ISNUMBER($D40),BW$1&lt;=$D40,BW$1+6&gt;=$C40),1,"")</f>
        <v/>
      </c>
      <c r="BX40" s="7" t="str">
        <f>IF(AND(ISNUMBER($C40),ISNUMBER($D40),BX$1&lt;=$D40,BX$1+6&gt;=$C40),1,"")</f>
        <v/>
      </c>
      <c r="BY40" s="7" t="str">
        <f>IF(AND(ISNUMBER($C40),ISNUMBER($D40),BY$1&lt;=$D40,BY$1+6&gt;=$C40),1,"")</f>
        <v/>
      </c>
      <c r="BZ40" s="7" t="str">
        <f>IF(AND(ISNUMBER($C40),ISNUMBER($D40),BZ$1&lt;=$D40,BZ$1+6&gt;=$C40),1,"")</f>
        <v/>
      </c>
      <c r="CA40" s="7" t="str">
        <f>IF(AND(ISNUMBER($C40),ISNUMBER($D40),CA$1&lt;=$D40,CA$1+6&gt;=$C40),1,"")</f>
        <v/>
      </c>
      <c r="CB40" s="7" t="str">
        <f>IF(AND(ISNUMBER($C40),ISNUMBER($D40),CB$1&lt;=$D40,CB$1+6&gt;=$C40),1,"")</f>
        <v/>
      </c>
      <c r="CC40" s="7" t="str">
        <f>IF(AND(ISNUMBER($C40),ISNUMBER($D40),CC$1&lt;=$D40,CC$1+6&gt;=$C40),1,"")</f>
        <v/>
      </c>
      <c r="CD40" s="7" t="str">
        <f>IF(AND(ISNUMBER($C40),ISNUMBER($D40),CD$1&lt;=$D40,CD$1+6&gt;=$C40),1,"")</f>
        <v/>
      </c>
      <c r="CE40" s="7" t="str">
        <f>IF(AND(ISNUMBER($C40),ISNUMBER($D40),CE$1&lt;=$D40,CE$1+6&gt;=$C40),1,"")</f>
        <v/>
      </c>
      <c r="CF40" s="7" t="str">
        <f>IF(AND(ISNUMBER($C40),ISNUMBER($D40),CF$1&lt;=$D40,CF$1+6&gt;=$C40),1,"")</f>
        <v/>
      </c>
      <c r="CG40" s="7" t="str">
        <f>IF(AND(ISNUMBER($C40),ISNUMBER($D40),CG$1&lt;=$D40,CG$1+6&gt;=$C40),1,"")</f>
        <v/>
      </c>
      <c r="CH40" s="7" t="str">
        <f>IF(AND(ISNUMBER($C40),ISNUMBER($D40),CH$1&lt;=$D40,CH$1+6&gt;=$C40),1,"")</f>
        <v/>
      </c>
      <c r="CI40" s="7" t="str">
        <f>IF(AND(ISNUMBER($C40),ISNUMBER($D40),CI$1&lt;=$D40,CI$1+6&gt;=$C40),1,"")</f>
        <v/>
      </c>
      <c r="CJ40" s="7" t="str">
        <f>IF(AND(ISNUMBER($C40),ISNUMBER($D40),CJ$1&lt;=$D40,CJ$1+6&gt;=$C40),1,"")</f>
        <v/>
      </c>
      <c r="CK40" s="7" t="str">
        <f>IF(AND(ISNUMBER($C40),ISNUMBER($D40),CK$1&lt;=$D40,CK$1+6&gt;=$C40),1,"")</f>
        <v/>
      </c>
      <c r="CL40" s="7" t="str">
        <f>IF(AND(ISNUMBER($C40),ISNUMBER($D40),CL$1&lt;=$D40,CL$1+6&gt;=$C40),1,"")</f>
        <v/>
      </c>
      <c r="CM40" s="7" t="str">
        <f>IF(AND(ISNUMBER($C40),ISNUMBER($D40),CM$1&lt;=$D40,CM$1+6&gt;=$C40),1,"")</f>
        <v/>
      </c>
      <c r="CN40" s="7" t="str">
        <f>IF(AND(ISNUMBER($C40),ISNUMBER($D40),CN$1&lt;=$D40,CN$1+6&gt;=$C40),1,"")</f>
        <v/>
      </c>
      <c r="CO40" s="7" t="str">
        <f>IF(AND(ISNUMBER($C40),ISNUMBER($D40),CO$1&lt;=$D40,CO$1+6&gt;=$C40),1,"")</f>
        <v/>
      </c>
      <c r="CP40" s="7" t="str">
        <f>IF(AND(ISNUMBER($C40),ISNUMBER($D40),CP$1&lt;=$D40,CP$1+6&gt;=$C40),1,"")</f>
        <v/>
      </c>
      <c r="CQ40" s="7" t="str">
        <f>IF(AND(ISNUMBER($C40),ISNUMBER($D40),CQ$1&lt;=$D40,CQ$1+6&gt;=$C40),1,"")</f>
        <v/>
      </c>
      <c r="CR40" s="7" t="str">
        <f>IF(AND(ISNUMBER($C40),ISNUMBER($D40),CR$1&lt;=$D40,CR$1+6&gt;=$C40),1,"")</f>
        <v/>
      </c>
      <c r="CS40" s="7" t="str">
        <f>IF(AND(ISNUMBER($C40),ISNUMBER($D40),CS$1&lt;=$D40,CS$1+6&gt;=$C40),1,"")</f>
        <v/>
      </c>
      <c r="CT40" s="7" t="str">
        <f>IF(AND(ISNUMBER($C40),ISNUMBER($D40),CT$1&lt;=$D40,CT$1+6&gt;=$C40),1,"")</f>
        <v/>
      </c>
      <c r="CU40" s="7" t="str">
        <f>IF(AND(ISNUMBER($C40),ISNUMBER($D40),CU$1&lt;=$D40,CU$1+6&gt;=$C40),1,"")</f>
        <v/>
      </c>
      <c r="CV40" s="7" t="str">
        <f>IF(AND(ISNUMBER($C40),ISNUMBER($D40),CV$1&lt;=$D40,CV$1+6&gt;=$C40),1,"")</f>
        <v/>
      </c>
      <c r="CW40" s="7" t="str">
        <f>IF(AND(ISNUMBER($C40),ISNUMBER($D40),CW$1&lt;=$D40,CW$1+6&gt;=$C40),1,"")</f>
        <v/>
      </c>
      <c r="CX40" s="7" t="str">
        <f>IF(AND(ISNUMBER($C40),ISNUMBER($D40),CX$1&lt;=$D40,CX$1+6&gt;=$C40),1,"")</f>
        <v/>
      </c>
      <c r="CY40" s="7" t="str">
        <f>IF(AND(ISNUMBER($C40),ISNUMBER($D40),CY$1&lt;=$D40,CY$1+6&gt;=$C40),1,"")</f>
        <v/>
      </c>
      <c r="CZ40" s="7" t="str">
        <f>IF(AND(ISNUMBER($C40),ISNUMBER($D40),CZ$1&lt;=$D40,CZ$1+6&gt;=$C40),1,"")</f>
        <v/>
      </c>
      <c r="DA40" s="7" t="str">
        <f>IF(AND(ISNUMBER($C40),ISNUMBER($D40),DA$1&lt;=$D40,DA$1+6&gt;=$C40),1,"")</f>
        <v/>
      </c>
      <c r="DB40" s="7" t="str">
        <f>IF(AND(ISNUMBER($C40),ISNUMBER($D40),DB$1&lt;=$D40,DB$1+6&gt;=$C40),1,"")</f>
        <v/>
      </c>
      <c r="DC40" s="7" t="str">
        <f>IF(AND(ISNUMBER($C40),ISNUMBER($D40),DC$1&lt;=$D40,DC$1+6&gt;=$C40),1,"")</f>
        <v/>
      </c>
      <c r="DD40" s="7" t="str">
        <f>IF(AND(ISNUMBER($C40),ISNUMBER($D40),DD$1&lt;=$D40,DD$1+6&gt;=$C40),1,"")</f>
        <v/>
      </c>
    </row>
    <row r="41" spans="1:108" x14ac:dyDescent="0.35">
      <c r="A41" s="6" t="str">
        <f>Schedule!B41</f>
        <v>Deployment user acceptance and recovery</v>
      </c>
      <c r="B41" s="6" t="str">
        <f>Schedule!C41</f>
        <v>Delivery</v>
      </c>
      <c r="C41" s="4">
        <f>IF(Schedule!P41="","",Schedule!P41)</f>
        <v>46847</v>
      </c>
      <c r="D41" s="4">
        <f>IF(Schedule!Q41="","",Schedule!Q41)</f>
        <v>46902</v>
      </c>
      <c r="E41" s="7" t="str">
        <f>IF(AND(ISNUMBER($C41),ISNUMBER($D41),E$1&lt;=$D41,E$1+6&gt;=$C41),1,"")</f>
        <v/>
      </c>
      <c r="F41" s="7" t="str">
        <f>IF(AND(ISNUMBER($C41),ISNUMBER($D41),F$1&lt;=$D41,F$1+6&gt;=$C41),1,"")</f>
        <v/>
      </c>
      <c r="G41" s="7" t="str">
        <f>IF(AND(ISNUMBER($C41),ISNUMBER($D41),G$1&lt;=$D41,G$1+6&gt;=$C41),1,"")</f>
        <v/>
      </c>
      <c r="H41" s="7" t="str">
        <f>IF(AND(ISNUMBER($C41),ISNUMBER($D41),H$1&lt;=$D41,H$1+6&gt;=$C41),1,"")</f>
        <v/>
      </c>
      <c r="I41" s="7" t="str">
        <f>IF(AND(ISNUMBER($C41),ISNUMBER($D41),I$1&lt;=$D41,I$1+6&gt;=$C41),1,"")</f>
        <v/>
      </c>
      <c r="J41" s="7" t="str">
        <f>IF(AND(ISNUMBER($C41),ISNUMBER($D41),J$1&lt;=$D41,J$1+6&gt;=$C41),1,"")</f>
        <v/>
      </c>
      <c r="K41" s="7" t="str">
        <f>IF(AND(ISNUMBER($C41),ISNUMBER($D41),K$1&lt;=$D41,K$1+6&gt;=$C41),1,"")</f>
        <v/>
      </c>
      <c r="L41" s="7" t="str">
        <f>IF(AND(ISNUMBER($C41),ISNUMBER($D41),L$1&lt;=$D41,L$1+6&gt;=$C41),1,"")</f>
        <v/>
      </c>
      <c r="M41" s="7" t="str">
        <f>IF(AND(ISNUMBER($C41),ISNUMBER($D41),M$1&lt;=$D41,M$1+6&gt;=$C41),1,"")</f>
        <v/>
      </c>
      <c r="N41" s="7" t="str">
        <f>IF(AND(ISNUMBER($C41),ISNUMBER($D41),N$1&lt;=$D41,N$1+6&gt;=$C41),1,"")</f>
        <v/>
      </c>
      <c r="O41" s="7" t="str">
        <f>IF(AND(ISNUMBER($C41),ISNUMBER($D41),O$1&lt;=$D41,O$1+6&gt;=$C41),1,"")</f>
        <v/>
      </c>
      <c r="P41" s="7" t="str">
        <f>IF(AND(ISNUMBER($C41),ISNUMBER($D41),P$1&lt;=$D41,P$1+6&gt;=$C41),1,"")</f>
        <v/>
      </c>
      <c r="Q41" s="7" t="str">
        <f>IF(AND(ISNUMBER($C41),ISNUMBER($D41),Q$1&lt;=$D41,Q$1+6&gt;=$C41),1,"")</f>
        <v/>
      </c>
      <c r="R41" s="7" t="str">
        <f>IF(AND(ISNUMBER($C41),ISNUMBER($D41),R$1&lt;=$D41,R$1+6&gt;=$C41),1,"")</f>
        <v/>
      </c>
      <c r="S41" s="7" t="str">
        <f>IF(AND(ISNUMBER($C41),ISNUMBER($D41),S$1&lt;=$D41,S$1+6&gt;=$C41),1,"")</f>
        <v/>
      </c>
      <c r="T41" s="7" t="str">
        <f>IF(AND(ISNUMBER($C41),ISNUMBER($D41),T$1&lt;=$D41,T$1+6&gt;=$C41),1,"")</f>
        <v/>
      </c>
      <c r="U41" s="7" t="str">
        <f>IF(AND(ISNUMBER($C41),ISNUMBER($D41),U$1&lt;=$D41,U$1+6&gt;=$C41),1,"")</f>
        <v/>
      </c>
      <c r="V41" s="7" t="str">
        <f>IF(AND(ISNUMBER($C41),ISNUMBER($D41),V$1&lt;=$D41,V$1+6&gt;=$C41),1,"")</f>
        <v/>
      </c>
      <c r="W41" s="7" t="str">
        <f>IF(AND(ISNUMBER($C41),ISNUMBER($D41),W$1&lt;=$D41,W$1+6&gt;=$C41),1,"")</f>
        <v/>
      </c>
      <c r="X41" s="7" t="str">
        <f>IF(AND(ISNUMBER($C41),ISNUMBER($D41),X$1&lt;=$D41,X$1+6&gt;=$C41),1,"")</f>
        <v/>
      </c>
      <c r="Y41" s="7" t="str">
        <f>IF(AND(ISNUMBER($C41),ISNUMBER($D41),Y$1&lt;=$D41,Y$1+6&gt;=$C41),1,"")</f>
        <v/>
      </c>
      <c r="Z41" s="7" t="str">
        <f>IF(AND(ISNUMBER($C41),ISNUMBER($D41),Z$1&lt;=$D41,Z$1+6&gt;=$C41),1,"")</f>
        <v/>
      </c>
      <c r="AA41" s="7" t="str">
        <f>IF(AND(ISNUMBER($C41),ISNUMBER($D41),AA$1&lt;=$D41,AA$1+6&gt;=$C41),1,"")</f>
        <v/>
      </c>
      <c r="AB41" s="7" t="str">
        <f>IF(AND(ISNUMBER($C41),ISNUMBER($D41),AB$1&lt;=$D41,AB$1+6&gt;=$C41),1,"")</f>
        <v/>
      </c>
      <c r="AC41" s="7" t="str">
        <f>IF(AND(ISNUMBER($C41),ISNUMBER($D41),AC$1&lt;=$D41,AC$1+6&gt;=$C41),1,"")</f>
        <v/>
      </c>
      <c r="AD41" s="7" t="str">
        <f>IF(AND(ISNUMBER($C41),ISNUMBER($D41),AD$1&lt;=$D41,AD$1+6&gt;=$C41),1,"")</f>
        <v/>
      </c>
      <c r="AE41" s="7" t="str">
        <f>IF(AND(ISNUMBER($C41),ISNUMBER($D41),AE$1&lt;=$D41,AE$1+6&gt;=$C41),1,"")</f>
        <v/>
      </c>
      <c r="AF41" s="7" t="str">
        <f>IF(AND(ISNUMBER($C41),ISNUMBER($D41),AF$1&lt;=$D41,AF$1+6&gt;=$C41),1,"")</f>
        <v/>
      </c>
      <c r="AG41" s="7" t="str">
        <f>IF(AND(ISNUMBER($C41),ISNUMBER($D41),AG$1&lt;=$D41,AG$1+6&gt;=$C41),1,"")</f>
        <v/>
      </c>
      <c r="AH41" s="7" t="str">
        <f>IF(AND(ISNUMBER($C41),ISNUMBER($D41),AH$1&lt;=$D41,AH$1+6&gt;=$C41),1,"")</f>
        <v/>
      </c>
      <c r="AI41" s="7" t="str">
        <f>IF(AND(ISNUMBER($C41),ISNUMBER($D41),AI$1&lt;=$D41,AI$1+6&gt;=$C41),1,"")</f>
        <v/>
      </c>
      <c r="AJ41" s="7" t="str">
        <f>IF(AND(ISNUMBER($C41),ISNUMBER($D41),AJ$1&lt;=$D41,AJ$1+6&gt;=$C41),1,"")</f>
        <v/>
      </c>
      <c r="AK41" s="7" t="str">
        <f>IF(AND(ISNUMBER($C41),ISNUMBER($D41),AK$1&lt;=$D41,AK$1+6&gt;=$C41),1,"")</f>
        <v/>
      </c>
      <c r="AL41" s="7" t="str">
        <f>IF(AND(ISNUMBER($C41),ISNUMBER($D41),AL$1&lt;=$D41,AL$1+6&gt;=$C41),1,"")</f>
        <v/>
      </c>
      <c r="AM41" s="7" t="str">
        <f>IF(AND(ISNUMBER($C41),ISNUMBER($D41),AM$1&lt;=$D41,AM$1+6&gt;=$C41),1,"")</f>
        <v/>
      </c>
      <c r="AN41" s="7" t="str">
        <f>IF(AND(ISNUMBER($C41),ISNUMBER($D41),AN$1&lt;=$D41,AN$1+6&gt;=$C41),1,"")</f>
        <v/>
      </c>
      <c r="AO41" s="7" t="str">
        <f>IF(AND(ISNUMBER($C41),ISNUMBER($D41),AO$1&lt;=$D41,AO$1+6&gt;=$C41),1,"")</f>
        <v/>
      </c>
      <c r="AP41" s="7" t="str">
        <f>IF(AND(ISNUMBER($C41),ISNUMBER($D41),AP$1&lt;=$D41,AP$1+6&gt;=$C41),1,"")</f>
        <v/>
      </c>
      <c r="AQ41" s="7" t="str">
        <f>IF(AND(ISNUMBER($C41),ISNUMBER($D41),AQ$1&lt;=$D41,AQ$1+6&gt;=$C41),1,"")</f>
        <v/>
      </c>
      <c r="AR41" s="7" t="str">
        <f>IF(AND(ISNUMBER($C41),ISNUMBER($D41),AR$1&lt;=$D41,AR$1+6&gt;=$C41),1,"")</f>
        <v/>
      </c>
      <c r="AS41" s="7" t="str">
        <f>IF(AND(ISNUMBER($C41),ISNUMBER($D41),AS$1&lt;=$D41,AS$1+6&gt;=$C41),1,"")</f>
        <v/>
      </c>
      <c r="AT41" s="7" t="str">
        <f>IF(AND(ISNUMBER($C41),ISNUMBER($D41),AT$1&lt;=$D41,AT$1+6&gt;=$C41),1,"")</f>
        <v/>
      </c>
      <c r="AU41" s="7" t="str">
        <f>IF(AND(ISNUMBER($C41),ISNUMBER($D41),AU$1&lt;=$D41,AU$1+6&gt;=$C41),1,"")</f>
        <v/>
      </c>
      <c r="AV41" s="7" t="str">
        <f>IF(AND(ISNUMBER($C41),ISNUMBER($D41),AV$1&lt;=$D41,AV$1+6&gt;=$C41),1,"")</f>
        <v/>
      </c>
      <c r="AW41" s="7" t="str">
        <f>IF(AND(ISNUMBER($C41),ISNUMBER($D41),AW$1&lt;=$D41,AW$1+6&gt;=$C41),1,"")</f>
        <v/>
      </c>
      <c r="AX41" s="7" t="str">
        <f>IF(AND(ISNUMBER($C41),ISNUMBER($D41),AX$1&lt;=$D41,AX$1+6&gt;=$C41),1,"")</f>
        <v/>
      </c>
      <c r="AY41" s="7" t="str">
        <f>IF(AND(ISNUMBER($C41),ISNUMBER($D41),AY$1&lt;=$D41,AY$1+6&gt;=$C41),1,"")</f>
        <v/>
      </c>
      <c r="AZ41" s="7" t="str">
        <f>IF(AND(ISNUMBER($C41),ISNUMBER($D41),AZ$1&lt;=$D41,AZ$1+6&gt;=$C41),1,"")</f>
        <v/>
      </c>
      <c r="BA41" s="7" t="str">
        <f>IF(AND(ISNUMBER($C41),ISNUMBER($D41),BA$1&lt;=$D41,BA$1+6&gt;=$C41),1,"")</f>
        <v/>
      </c>
      <c r="BB41" s="7" t="str">
        <f>IF(AND(ISNUMBER($C41),ISNUMBER($D41),BB$1&lt;=$D41,BB$1+6&gt;=$C41),1,"")</f>
        <v/>
      </c>
      <c r="BC41" s="7" t="str">
        <f>IF(AND(ISNUMBER($C41),ISNUMBER($D41),BC$1&lt;=$D41,BC$1+6&gt;=$C41),1,"")</f>
        <v/>
      </c>
      <c r="BD41" s="7" t="str">
        <f>IF(AND(ISNUMBER($C41),ISNUMBER($D41),BD$1&lt;=$D41,BD$1+6&gt;=$C41),1,"")</f>
        <v/>
      </c>
      <c r="BE41" s="7" t="str">
        <f>IF(AND(ISNUMBER($C41),ISNUMBER($D41),BE$1&lt;=$D41,BE$1+6&gt;=$C41),1,"")</f>
        <v/>
      </c>
      <c r="BF41" s="7" t="str">
        <f>IF(AND(ISNUMBER($C41),ISNUMBER($D41),BF$1&lt;=$D41,BF$1+6&gt;=$C41),1,"")</f>
        <v/>
      </c>
      <c r="BG41" s="7" t="str">
        <f>IF(AND(ISNUMBER($C41),ISNUMBER($D41),BG$1&lt;=$D41,BG$1+6&gt;=$C41),1,"")</f>
        <v/>
      </c>
      <c r="BH41" s="7" t="str">
        <f>IF(AND(ISNUMBER($C41),ISNUMBER($D41),BH$1&lt;=$D41,BH$1+6&gt;=$C41),1,"")</f>
        <v/>
      </c>
      <c r="BI41" s="7" t="str">
        <f>IF(AND(ISNUMBER($C41),ISNUMBER($D41),BI$1&lt;=$D41,BI$1+6&gt;=$C41),1,"")</f>
        <v/>
      </c>
      <c r="BJ41" s="7" t="str">
        <f>IF(AND(ISNUMBER($C41),ISNUMBER($D41),BJ$1&lt;=$D41,BJ$1+6&gt;=$C41),1,"")</f>
        <v/>
      </c>
      <c r="BK41" s="7" t="str">
        <f>IF(AND(ISNUMBER($C41),ISNUMBER($D41),BK$1&lt;=$D41,BK$1+6&gt;=$C41),1,"")</f>
        <v/>
      </c>
      <c r="BL41" s="7" t="str">
        <f>IF(AND(ISNUMBER($C41),ISNUMBER($D41),BL$1&lt;=$D41,BL$1+6&gt;=$C41),1,"")</f>
        <v/>
      </c>
      <c r="BM41" s="7" t="str">
        <f>IF(AND(ISNUMBER($C41),ISNUMBER($D41),BM$1&lt;=$D41,BM$1+6&gt;=$C41),1,"")</f>
        <v/>
      </c>
      <c r="BN41" s="7" t="str">
        <f>IF(AND(ISNUMBER($C41),ISNUMBER($D41),BN$1&lt;=$D41,BN$1+6&gt;=$C41),1,"")</f>
        <v/>
      </c>
      <c r="BO41" s="7" t="str">
        <f>IF(AND(ISNUMBER($C41),ISNUMBER($D41),BO$1&lt;=$D41,BO$1+6&gt;=$C41),1,"")</f>
        <v/>
      </c>
      <c r="BP41" s="7" t="str">
        <f>IF(AND(ISNUMBER($C41),ISNUMBER($D41),BP$1&lt;=$D41,BP$1+6&gt;=$C41),1,"")</f>
        <v/>
      </c>
      <c r="BQ41" s="7" t="str">
        <f>IF(AND(ISNUMBER($C41),ISNUMBER($D41),BQ$1&lt;=$D41,BQ$1+6&gt;=$C41),1,"")</f>
        <v/>
      </c>
      <c r="BR41" s="7" t="str">
        <f>IF(AND(ISNUMBER($C41),ISNUMBER($D41),BR$1&lt;=$D41,BR$1+6&gt;=$C41),1,"")</f>
        <v/>
      </c>
      <c r="BS41" s="7" t="str">
        <f>IF(AND(ISNUMBER($C41),ISNUMBER($D41),BS$1&lt;=$D41,BS$1+6&gt;=$C41),1,"")</f>
        <v/>
      </c>
      <c r="BT41" s="7" t="str">
        <f>IF(AND(ISNUMBER($C41),ISNUMBER($D41),BT$1&lt;=$D41,BT$1+6&gt;=$C41),1,"")</f>
        <v/>
      </c>
      <c r="BU41" s="7" t="str">
        <f>IF(AND(ISNUMBER($C41),ISNUMBER($D41),BU$1&lt;=$D41,BU$1+6&gt;=$C41),1,"")</f>
        <v/>
      </c>
      <c r="BV41" s="7" t="str">
        <f>IF(AND(ISNUMBER($C41),ISNUMBER($D41),BV$1&lt;=$D41,BV$1+6&gt;=$C41),1,"")</f>
        <v/>
      </c>
      <c r="BW41" s="7" t="str">
        <f>IF(AND(ISNUMBER($C41),ISNUMBER($D41),BW$1&lt;=$D41,BW$1+6&gt;=$C41),1,"")</f>
        <v/>
      </c>
      <c r="BX41" s="7" t="str">
        <f>IF(AND(ISNUMBER($C41),ISNUMBER($D41),BX$1&lt;=$D41,BX$1+6&gt;=$C41),1,"")</f>
        <v/>
      </c>
      <c r="BY41" s="7" t="str">
        <f>IF(AND(ISNUMBER($C41),ISNUMBER($D41),BY$1&lt;=$D41,BY$1+6&gt;=$C41),1,"")</f>
        <v/>
      </c>
      <c r="BZ41" s="7" t="str">
        <f>IF(AND(ISNUMBER($C41),ISNUMBER($D41),BZ$1&lt;=$D41,BZ$1+6&gt;=$C41),1,"")</f>
        <v/>
      </c>
      <c r="CA41" s="7" t="str">
        <f>IF(AND(ISNUMBER($C41),ISNUMBER($D41),CA$1&lt;=$D41,CA$1+6&gt;=$C41),1,"")</f>
        <v/>
      </c>
      <c r="CB41" s="7">
        <f>IF(AND(ISNUMBER($C41),ISNUMBER($D41),CB$1&lt;=$D41,CB$1+6&gt;=$C41),1,"")</f>
        <v>1</v>
      </c>
      <c r="CC41" s="7">
        <f>IF(AND(ISNUMBER($C41),ISNUMBER($D41),CC$1&lt;=$D41,CC$1+6&gt;=$C41),1,"")</f>
        <v>1</v>
      </c>
      <c r="CD41" s="7">
        <f>IF(AND(ISNUMBER($C41),ISNUMBER($D41),CD$1&lt;=$D41,CD$1+6&gt;=$C41),1,"")</f>
        <v>1</v>
      </c>
      <c r="CE41" s="7">
        <f>IF(AND(ISNUMBER($C41),ISNUMBER($D41),CE$1&lt;=$D41,CE$1+6&gt;=$C41),1,"")</f>
        <v>1</v>
      </c>
      <c r="CF41" s="7">
        <f>IF(AND(ISNUMBER($C41),ISNUMBER($D41),CF$1&lt;=$D41,CF$1+6&gt;=$C41),1,"")</f>
        <v>1</v>
      </c>
      <c r="CG41" s="7">
        <f>IF(AND(ISNUMBER($C41),ISNUMBER($D41),CG$1&lt;=$D41,CG$1+6&gt;=$C41),1,"")</f>
        <v>1</v>
      </c>
      <c r="CH41" s="7">
        <f>IF(AND(ISNUMBER($C41),ISNUMBER($D41),CH$1&lt;=$D41,CH$1+6&gt;=$C41),1,"")</f>
        <v>1</v>
      </c>
      <c r="CI41" s="7">
        <f>IF(AND(ISNUMBER($C41),ISNUMBER($D41),CI$1&lt;=$D41,CI$1+6&gt;=$C41),1,"")</f>
        <v>1</v>
      </c>
      <c r="CJ41" s="7">
        <f>IF(AND(ISNUMBER($C41),ISNUMBER($D41),CJ$1&lt;=$D41,CJ$1+6&gt;=$C41),1,"")</f>
        <v>1</v>
      </c>
      <c r="CK41" s="7" t="str">
        <f>IF(AND(ISNUMBER($C41),ISNUMBER($D41),CK$1&lt;=$D41,CK$1+6&gt;=$C41),1,"")</f>
        <v/>
      </c>
      <c r="CL41" s="7" t="str">
        <f>IF(AND(ISNUMBER($C41),ISNUMBER($D41),CL$1&lt;=$D41,CL$1+6&gt;=$C41),1,"")</f>
        <v/>
      </c>
      <c r="CM41" s="7" t="str">
        <f>IF(AND(ISNUMBER($C41),ISNUMBER($D41),CM$1&lt;=$D41,CM$1+6&gt;=$C41),1,"")</f>
        <v/>
      </c>
      <c r="CN41" s="7" t="str">
        <f>IF(AND(ISNUMBER($C41),ISNUMBER($D41),CN$1&lt;=$D41,CN$1+6&gt;=$C41),1,"")</f>
        <v/>
      </c>
      <c r="CO41" s="7" t="str">
        <f>IF(AND(ISNUMBER($C41),ISNUMBER($D41),CO$1&lt;=$D41,CO$1+6&gt;=$C41),1,"")</f>
        <v/>
      </c>
      <c r="CP41" s="7" t="str">
        <f>IF(AND(ISNUMBER($C41),ISNUMBER($D41),CP$1&lt;=$D41,CP$1+6&gt;=$C41),1,"")</f>
        <v/>
      </c>
      <c r="CQ41" s="7" t="str">
        <f>IF(AND(ISNUMBER($C41),ISNUMBER($D41),CQ$1&lt;=$D41,CQ$1+6&gt;=$C41),1,"")</f>
        <v/>
      </c>
      <c r="CR41" s="7" t="str">
        <f>IF(AND(ISNUMBER($C41),ISNUMBER($D41),CR$1&lt;=$D41,CR$1+6&gt;=$C41),1,"")</f>
        <v/>
      </c>
      <c r="CS41" s="7" t="str">
        <f>IF(AND(ISNUMBER($C41),ISNUMBER($D41),CS$1&lt;=$D41,CS$1+6&gt;=$C41),1,"")</f>
        <v/>
      </c>
      <c r="CT41" s="7" t="str">
        <f>IF(AND(ISNUMBER($C41),ISNUMBER($D41),CT$1&lt;=$D41,CT$1+6&gt;=$C41),1,"")</f>
        <v/>
      </c>
      <c r="CU41" s="7" t="str">
        <f>IF(AND(ISNUMBER($C41),ISNUMBER($D41),CU$1&lt;=$D41,CU$1+6&gt;=$C41),1,"")</f>
        <v/>
      </c>
      <c r="CV41" s="7" t="str">
        <f>IF(AND(ISNUMBER($C41),ISNUMBER($D41),CV$1&lt;=$D41,CV$1+6&gt;=$C41),1,"")</f>
        <v/>
      </c>
      <c r="CW41" s="7" t="str">
        <f>IF(AND(ISNUMBER($C41),ISNUMBER($D41),CW$1&lt;=$D41,CW$1+6&gt;=$C41),1,"")</f>
        <v/>
      </c>
      <c r="CX41" s="7" t="str">
        <f>IF(AND(ISNUMBER($C41),ISNUMBER($D41),CX$1&lt;=$D41,CX$1+6&gt;=$C41),1,"")</f>
        <v/>
      </c>
      <c r="CY41" s="7" t="str">
        <f>IF(AND(ISNUMBER($C41),ISNUMBER($D41),CY$1&lt;=$D41,CY$1+6&gt;=$C41),1,"")</f>
        <v/>
      </c>
      <c r="CZ41" s="7" t="str">
        <f>IF(AND(ISNUMBER($C41),ISNUMBER($D41),CZ$1&lt;=$D41,CZ$1+6&gt;=$C41),1,"")</f>
        <v/>
      </c>
      <c r="DA41" s="7" t="str">
        <f>IF(AND(ISNUMBER($C41),ISNUMBER($D41),DA$1&lt;=$D41,DA$1+6&gt;=$C41),1,"")</f>
        <v/>
      </c>
      <c r="DB41" s="7" t="str">
        <f>IF(AND(ISNUMBER($C41),ISNUMBER($D41),DB$1&lt;=$D41,DB$1+6&gt;=$C41),1,"")</f>
        <v/>
      </c>
      <c r="DC41" s="7" t="str">
        <f>IF(AND(ISNUMBER($C41),ISNUMBER($D41),DC$1&lt;=$D41,DC$1+6&gt;=$C41),1,"")</f>
        <v/>
      </c>
      <c r="DD41" s="7" t="str">
        <f>IF(AND(ISNUMBER($C41),ISNUMBER($D41),DD$1&lt;=$D41,DD$1+6&gt;=$C41),1,"")</f>
        <v/>
      </c>
    </row>
    <row r="42" spans="1:108" x14ac:dyDescent="0.35">
      <c r="A42" s="6" t="str">
        <f>Schedule!B42</f>
        <v>Operational handover and technical writing</v>
      </c>
      <c r="B42" s="6" t="str">
        <f>Schedule!C42</f>
        <v>Delivery</v>
      </c>
      <c r="C42" s="4">
        <f>IF(Schedule!P42="","",Schedule!P42)</f>
        <v>46902</v>
      </c>
      <c r="D42" s="4">
        <f>IF(Schedule!Q42="","",Schedule!Q42)</f>
        <v>46940</v>
      </c>
      <c r="E42" s="7" t="str">
        <f>IF(AND(ISNUMBER($C42),ISNUMBER($D42),E$1&lt;=$D42,E$1+6&gt;=$C42),1,"")</f>
        <v/>
      </c>
      <c r="F42" s="7" t="str">
        <f>IF(AND(ISNUMBER($C42),ISNUMBER($D42),F$1&lt;=$D42,F$1+6&gt;=$C42),1,"")</f>
        <v/>
      </c>
      <c r="G42" s="7" t="str">
        <f>IF(AND(ISNUMBER($C42),ISNUMBER($D42),G$1&lt;=$D42,G$1+6&gt;=$C42),1,"")</f>
        <v/>
      </c>
      <c r="H42" s="7" t="str">
        <f>IF(AND(ISNUMBER($C42),ISNUMBER($D42),H$1&lt;=$D42,H$1+6&gt;=$C42),1,"")</f>
        <v/>
      </c>
      <c r="I42" s="7" t="str">
        <f>IF(AND(ISNUMBER($C42),ISNUMBER($D42),I$1&lt;=$D42,I$1+6&gt;=$C42),1,"")</f>
        <v/>
      </c>
      <c r="J42" s="7" t="str">
        <f>IF(AND(ISNUMBER($C42),ISNUMBER($D42),J$1&lt;=$D42,J$1+6&gt;=$C42),1,"")</f>
        <v/>
      </c>
      <c r="K42" s="7" t="str">
        <f>IF(AND(ISNUMBER($C42),ISNUMBER($D42),K$1&lt;=$D42,K$1+6&gt;=$C42),1,"")</f>
        <v/>
      </c>
      <c r="L42" s="7" t="str">
        <f>IF(AND(ISNUMBER($C42),ISNUMBER($D42),L$1&lt;=$D42,L$1+6&gt;=$C42),1,"")</f>
        <v/>
      </c>
      <c r="M42" s="7" t="str">
        <f>IF(AND(ISNUMBER($C42),ISNUMBER($D42),M$1&lt;=$D42,M$1+6&gt;=$C42),1,"")</f>
        <v/>
      </c>
      <c r="N42" s="7" t="str">
        <f>IF(AND(ISNUMBER($C42),ISNUMBER($D42),N$1&lt;=$D42,N$1+6&gt;=$C42),1,"")</f>
        <v/>
      </c>
      <c r="O42" s="7" t="str">
        <f>IF(AND(ISNUMBER($C42),ISNUMBER($D42),O$1&lt;=$D42,O$1+6&gt;=$C42),1,"")</f>
        <v/>
      </c>
      <c r="P42" s="7" t="str">
        <f>IF(AND(ISNUMBER($C42),ISNUMBER($D42),P$1&lt;=$D42,P$1+6&gt;=$C42),1,"")</f>
        <v/>
      </c>
      <c r="Q42" s="7" t="str">
        <f>IF(AND(ISNUMBER($C42),ISNUMBER($D42),Q$1&lt;=$D42,Q$1+6&gt;=$C42),1,"")</f>
        <v/>
      </c>
      <c r="R42" s="7" t="str">
        <f>IF(AND(ISNUMBER($C42),ISNUMBER($D42),R$1&lt;=$D42,R$1+6&gt;=$C42),1,"")</f>
        <v/>
      </c>
      <c r="S42" s="7" t="str">
        <f>IF(AND(ISNUMBER($C42),ISNUMBER($D42),S$1&lt;=$D42,S$1+6&gt;=$C42),1,"")</f>
        <v/>
      </c>
      <c r="T42" s="7" t="str">
        <f>IF(AND(ISNUMBER($C42),ISNUMBER($D42),T$1&lt;=$D42,T$1+6&gt;=$C42),1,"")</f>
        <v/>
      </c>
      <c r="U42" s="7" t="str">
        <f>IF(AND(ISNUMBER($C42),ISNUMBER($D42),U$1&lt;=$D42,U$1+6&gt;=$C42),1,"")</f>
        <v/>
      </c>
      <c r="V42" s="7" t="str">
        <f>IF(AND(ISNUMBER($C42),ISNUMBER($D42),V$1&lt;=$D42,V$1+6&gt;=$C42),1,"")</f>
        <v/>
      </c>
      <c r="W42" s="7" t="str">
        <f>IF(AND(ISNUMBER($C42),ISNUMBER($D42),W$1&lt;=$D42,W$1+6&gt;=$C42),1,"")</f>
        <v/>
      </c>
      <c r="X42" s="7" t="str">
        <f>IF(AND(ISNUMBER($C42),ISNUMBER($D42),X$1&lt;=$D42,X$1+6&gt;=$C42),1,"")</f>
        <v/>
      </c>
      <c r="Y42" s="7" t="str">
        <f>IF(AND(ISNUMBER($C42),ISNUMBER($D42),Y$1&lt;=$D42,Y$1+6&gt;=$C42),1,"")</f>
        <v/>
      </c>
      <c r="Z42" s="7" t="str">
        <f>IF(AND(ISNUMBER($C42),ISNUMBER($D42),Z$1&lt;=$D42,Z$1+6&gt;=$C42),1,"")</f>
        <v/>
      </c>
      <c r="AA42" s="7" t="str">
        <f>IF(AND(ISNUMBER($C42),ISNUMBER($D42),AA$1&lt;=$D42,AA$1+6&gt;=$C42),1,"")</f>
        <v/>
      </c>
      <c r="AB42" s="7" t="str">
        <f>IF(AND(ISNUMBER($C42),ISNUMBER($D42),AB$1&lt;=$D42,AB$1+6&gt;=$C42),1,"")</f>
        <v/>
      </c>
      <c r="AC42" s="7" t="str">
        <f>IF(AND(ISNUMBER($C42),ISNUMBER($D42),AC$1&lt;=$D42,AC$1+6&gt;=$C42),1,"")</f>
        <v/>
      </c>
      <c r="AD42" s="7" t="str">
        <f>IF(AND(ISNUMBER($C42),ISNUMBER($D42),AD$1&lt;=$D42,AD$1+6&gt;=$C42),1,"")</f>
        <v/>
      </c>
      <c r="AE42" s="7" t="str">
        <f>IF(AND(ISNUMBER($C42),ISNUMBER($D42),AE$1&lt;=$D42,AE$1+6&gt;=$C42),1,"")</f>
        <v/>
      </c>
      <c r="AF42" s="7" t="str">
        <f>IF(AND(ISNUMBER($C42),ISNUMBER($D42),AF$1&lt;=$D42,AF$1+6&gt;=$C42),1,"")</f>
        <v/>
      </c>
      <c r="AG42" s="7" t="str">
        <f>IF(AND(ISNUMBER($C42),ISNUMBER($D42),AG$1&lt;=$D42,AG$1+6&gt;=$C42),1,"")</f>
        <v/>
      </c>
      <c r="AH42" s="7" t="str">
        <f>IF(AND(ISNUMBER($C42),ISNUMBER($D42),AH$1&lt;=$D42,AH$1+6&gt;=$C42),1,"")</f>
        <v/>
      </c>
      <c r="AI42" s="7" t="str">
        <f>IF(AND(ISNUMBER($C42),ISNUMBER($D42),AI$1&lt;=$D42,AI$1+6&gt;=$C42),1,"")</f>
        <v/>
      </c>
      <c r="AJ42" s="7" t="str">
        <f>IF(AND(ISNUMBER($C42),ISNUMBER($D42),AJ$1&lt;=$D42,AJ$1+6&gt;=$C42),1,"")</f>
        <v/>
      </c>
      <c r="AK42" s="7" t="str">
        <f>IF(AND(ISNUMBER($C42),ISNUMBER($D42),AK$1&lt;=$D42,AK$1+6&gt;=$C42),1,"")</f>
        <v/>
      </c>
      <c r="AL42" s="7" t="str">
        <f>IF(AND(ISNUMBER($C42),ISNUMBER($D42),AL$1&lt;=$D42,AL$1+6&gt;=$C42),1,"")</f>
        <v/>
      </c>
      <c r="AM42" s="7" t="str">
        <f>IF(AND(ISNUMBER($C42),ISNUMBER($D42),AM$1&lt;=$D42,AM$1+6&gt;=$C42),1,"")</f>
        <v/>
      </c>
      <c r="AN42" s="7" t="str">
        <f>IF(AND(ISNUMBER($C42),ISNUMBER($D42),AN$1&lt;=$D42,AN$1+6&gt;=$C42),1,"")</f>
        <v/>
      </c>
      <c r="AO42" s="7" t="str">
        <f>IF(AND(ISNUMBER($C42),ISNUMBER($D42),AO$1&lt;=$D42,AO$1+6&gt;=$C42),1,"")</f>
        <v/>
      </c>
      <c r="AP42" s="7" t="str">
        <f>IF(AND(ISNUMBER($C42),ISNUMBER($D42),AP$1&lt;=$D42,AP$1+6&gt;=$C42),1,"")</f>
        <v/>
      </c>
      <c r="AQ42" s="7" t="str">
        <f>IF(AND(ISNUMBER($C42),ISNUMBER($D42),AQ$1&lt;=$D42,AQ$1+6&gt;=$C42),1,"")</f>
        <v/>
      </c>
      <c r="AR42" s="7" t="str">
        <f>IF(AND(ISNUMBER($C42),ISNUMBER($D42),AR$1&lt;=$D42,AR$1+6&gt;=$C42),1,"")</f>
        <v/>
      </c>
      <c r="AS42" s="7" t="str">
        <f>IF(AND(ISNUMBER($C42),ISNUMBER($D42),AS$1&lt;=$D42,AS$1+6&gt;=$C42),1,"")</f>
        <v/>
      </c>
      <c r="AT42" s="7" t="str">
        <f>IF(AND(ISNUMBER($C42),ISNUMBER($D42),AT$1&lt;=$D42,AT$1+6&gt;=$C42),1,"")</f>
        <v/>
      </c>
      <c r="AU42" s="7" t="str">
        <f>IF(AND(ISNUMBER($C42),ISNUMBER($D42),AU$1&lt;=$D42,AU$1+6&gt;=$C42),1,"")</f>
        <v/>
      </c>
      <c r="AV42" s="7" t="str">
        <f>IF(AND(ISNUMBER($C42),ISNUMBER($D42),AV$1&lt;=$D42,AV$1+6&gt;=$C42),1,"")</f>
        <v/>
      </c>
      <c r="AW42" s="7" t="str">
        <f>IF(AND(ISNUMBER($C42),ISNUMBER($D42),AW$1&lt;=$D42,AW$1+6&gt;=$C42),1,"")</f>
        <v/>
      </c>
      <c r="AX42" s="7" t="str">
        <f>IF(AND(ISNUMBER($C42),ISNUMBER($D42),AX$1&lt;=$D42,AX$1+6&gt;=$C42),1,"")</f>
        <v/>
      </c>
      <c r="AY42" s="7" t="str">
        <f>IF(AND(ISNUMBER($C42),ISNUMBER($D42),AY$1&lt;=$D42,AY$1+6&gt;=$C42),1,"")</f>
        <v/>
      </c>
      <c r="AZ42" s="7" t="str">
        <f>IF(AND(ISNUMBER($C42),ISNUMBER($D42),AZ$1&lt;=$D42,AZ$1+6&gt;=$C42),1,"")</f>
        <v/>
      </c>
      <c r="BA42" s="7" t="str">
        <f>IF(AND(ISNUMBER($C42),ISNUMBER($D42),BA$1&lt;=$D42,BA$1+6&gt;=$C42),1,"")</f>
        <v/>
      </c>
      <c r="BB42" s="7" t="str">
        <f>IF(AND(ISNUMBER($C42),ISNUMBER($D42),BB$1&lt;=$D42,BB$1+6&gt;=$C42),1,"")</f>
        <v/>
      </c>
      <c r="BC42" s="7" t="str">
        <f>IF(AND(ISNUMBER($C42),ISNUMBER($D42),BC$1&lt;=$D42,BC$1+6&gt;=$C42),1,"")</f>
        <v/>
      </c>
      <c r="BD42" s="7" t="str">
        <f>IF(AND(ISNUMBER($C42),ISNUMBER($D42),BD$1&lt;=$D42,BD$1+6&gt;=$C42),1,"")</f>
        <v/>
      </c>
      <c r="BE42" s="7" t="str">
        <f>IF(AND(ISNUMBER($C42),ISNUMBER($D42),BE$1&lt;=$D42,BE$1+6&gt;=$C42),1,"")</f>
        <v/>
      </c>
      <c r="BF42" s="7" t="str">
        <f>IF(AND(ISNUMBER($C42),ISNUMBER($D42),BF$1&lt;=$D42,BF$1+6&gt;=$C42),1,"")</f>
        <v/>
      </c>
      <c r="BG42" s="7" t="str">
        <f>IF(AND(ISNUMBER($C42),ISNUMBER($D42),BG$1&lt;=$D42,BG$1+6&gt;=$C42),1,"")</f>
        <v/>
      </c>
      <c r="BH42" s="7" t="str">
        <f>IF(AND(ISNUMBER($C42),ISNUMBER($D42),BH$1&lt;=$D42,BH$1+6&gt;=$C42),1,"")</f>
        <v/>
      </c>
      <c r="BI42" s="7" t="str">
        <f>IF(AND(ISNUMBER($C42),ISNUMBER($D42),BI$1&lt;=$D42,BI$1+6&gt;=$C42),1,"")</f>
        <v/>
      </c>
      <c r="BJ42" s="7" t="str">
        <f>IF(AND(ISNUMBER($C42),ISNUMBER($D42),BJ$1&lt;=$D42,BJ$1+6&gt;=$C42),1,"")</f>
        <v/>
      </c>
      <c r="BK42" s="7" t="str">
        <f>IF(AND(ISNUMBER($C42),ISNUMBER($D42),BK$1&lt;=$D42,BK$1+6&gt;=$C42),1,"")</f>
        <v/>
      </c>
      <c r="BL42" s="7" t="str">
        <f>IF(AND(ISNUMBER($C42),ISNUMBER($D42),BL$1&lt;=$D42,BL$1+6&gt;=$C42),1,"")</f>
        <v/>
      </c>
      <c r="BM42" s="7" t="str">
        <f>IF(AND(ISNUMBER($C42),ISNUMBER($D42),BM$1&lt;=$D42,BM$1+6&gt;=$C42),1,"")</f>
        <v/>
      </c>
      <c r="BN42" s="7" t="str">
        <f>IF(AND(ISNUMBER($C42),ISNUMBER($D42),BN$1&lt;=$D42,BN$1+6&gt;=$C42),1,"")</f>
        <v/>
      </c>
      <c r="BO42" s="7" t="str">
        <f>IF(AND(ISNUMBER($C42),ISNUMBER($D42),BO$1&lt;=$D42,BO$1+6&gt;=$C42),1,"")</f>
        <v/>
      </c>
      <c r="BP42" s="7" t="str">
        <f>IF(AND(ISNUMBER($C42),ISNUMBER($D42),BP$1&lt;=$D42,BP$1+6&gt;=$C42),1,"")</f>
        <v/>
      </c>
      <c r="BQ42" s="7" t="str">
        <f>IF(AND(ISNUMBER($C42),ISNUMBER($D42),BQ$1&lt;=$D42,BQ$1+6&gt;=$C42),1,"")</f>
        <v/>
      </c>
      <c r="BR42" s="7" t="str">
        <f>IF(AND(ISNUMBER($C42),ISNUMBER($D42),BR$1&lt;=$D42,BR$1+6&gt;=$C42),1,"")</f>
        <v/>
      </c>
      <c r="BS42" s="7" t="str">
        <f>IF(AND(ISNUMBER($C42),ISNUMBER($D42),BS$1&lt;=$D42,BS$1+6&gt;=$C42),1,"")</f>
        <v/>
      </c>
      <c r="BT42" s="7" t="str">
        <f>IF(AND(ISNUMBER($C42),ISNUMBER($D42),BT$1&lt;=$D42,BT$1+6&gt;=$C42),1,"")</f>
        <v/>
      </c>
      <c r="BU42" s="7" t="str">
        <f>IF(AND(ISNUMBER($C42),ISNUMBER($D42),BU$1&lt;=$D42,BU$1+6&gt;=$C42),1,"")</f>
        <v/>
      </c>
      <c r="BV42" s="7" t="str">
        <f>IF(AND(ISNUMBER($C42),ISNUMBER($D42),BV$1&lt;=$D42,BV$1+6&gt;=$C42),1,"")</f>
        <v/>
      </c>
      <c r="BW42" s="7" t="str">
        <f>IF(AND(ISNUMBER($C42),ISNUMBER($D42),BW$1&lt;=$D42,BW$1+6&gt;=$C42),1,"")</f>
        <v/>
      </c>
      <c r="BX42" s="7" t="str">
        <f>IF(AND(ISNUMBER($C42),ISNUMBER($D42),BX$1&lt;=$D42,BX$1+6&gt;=$C42),1,"")</f>
        <v/>
      </c>
      <c r="BY42" s="7" t="str">
        <f>IF(AND(ISNUMBER($C42),ISNUMBER($D42),BY$1&lt;=$D42,BY$1+6&gt;=$C42),1,"")</f>
        <v/>
      </c>
      <c r="BZ42" s="7" t="str">
        <f>IF(AND(ISNUMBER($C42),ISNUMBER($D42),BZ$1&lt;=$D42,BZ$1+6&gt;=$C42),1,"")</f>
        <v/>
      </c>
      <c r="CA42" s="7" t="str">
        <f>IF(AND(ISNUMBER($C42),ISNUMBER($D42),CA$1&lt;=$D42,CA$1+6&gt;=$C42),1,"")</f>
        <v/>
      </c>
      <c r="CB42" s="7" t="str">
        <f>IF(AND(ISNUMBER($C42),ISNUMBER($D42),CB$1&lt;=$D42,CB$1+6&gt;=$C42),1,"")</f>
        <v/>
      </c>
      <c r="CC42" s="7" t="str">
        <f>IF(AND(ISNUMBER($C42),ISNUMBER($D42),CC$1&lt;=$D42,CC$1+6&gt;=$C42),1,"")</f>
        <v/>
      </c>
      <c r="CD42" s="7" t="str">
        <f>IF(AND(ISNUMBER($C42),ISNUMBER($D42),CD$1&lt;=$D42,CD$1+6&gt;=$C42),1,"")</f>
        <v/>
      </c>
      <c r="CE42" s="7" t="str">
        <f>IF(AND(ISNUMBER($C42),ISNUMBER($D42),CE$1&lt;=$D42,CE$1+6&gt;=$C42),1,"")</f>
        <v/>
      </c>
      <c r="CF42" s="7" t="str">
        <f>IF(AND(ISNUMBER($C42),ISNUMBER($D42),CF$1&lt;=$D42,CF$1+6&gt;=$C42),1,"")</f>
        <v/>
      </c>
      <c r="CG42" s="7" t="str">
        <f>IF(AND(ISNUMBER($C42),ISNUMBER($D42),CG$1&lt;=$D42,CG$1+6&gt;=$C42),1,"")</f>
        <v/>
      </c>
      <c r="CH42" s="7" t="str">
        <f>IF(AND(ISNUMBER($C42),ISNUMBER($D42),CH$1&lt;=$D42,CH$1+6&gt;=$C42),1,"")</f>
        <v/>
      </c>
      <c r="CI42" s="7" t="str">
        <f>IF(AND(ISNUMBER($C42),ISNUMBER($D42),CI$1&lt;=$D42,CI$1+6&gt;=$C42),1,"")</f>
        <v/>
      </c>
      <c r="CJ42" s="7">
        <f>IF(AND(ISNUMBER($C42),ISNUMBER($D42),CJ$1&lt;=$D42,CJ$1+6&gt;=$C42),1,"")</f>
        <v>1</v>
      </c>
      <c r="CK42" s="7">
        <f>IF(AND(ISNUMBER($C42),ISNUMBER($D42),CK$1&lt;=$D42,CK$1+6&gt;=$C42),1,"")</f>
        <v>1</v>
      </c>
      <c r="CL42" s="7">
        <f>IF(AND(ISNUMBER($C42),ISNUMBER($D42),CL$1&lt;=$D42,CL$1+6&gt;=$C42),1,"")</f>
        <v>1</v>
      </c>
      <c r="CM42" s="7">
        <f>IF(AND(ISNUMBER($C42),ISNUMBER($D42),CM$1&lt;=$D42,CM$1+6&gt;=$C42),1,"")</f>
        <v>1</v>
      </c>
      <c r="CN42" s="7">
        <f>IF(AND(ISNUMBER($C42),ISNUMBER($D42),CN$1&lt;=$D42,CN$1+6&gt;=$C42),1,"")</f>
        <v>1</v>
      </c>
      <c r="CO42" s="7">
        <f>IF(AND(ISNUMBER($C42),ISNUMBER($D42),CO$1&lt;=$D42,CO$1+6&gt;=$C42),1,"")</f>
        <v>1</v>
      </c>
      <c r="CP42" s="7" t="str">
        <f>IF(AND(ISNUMBER($C42),ISNUMBER($D42),CP$1&lt;=$D42,CP$1+6&gt;=$C42),1,"")</f>
        <v/>
      </c>
      <c r="CQ42" s="7" t="str">
        <f>IF(AND(ISNUMBER($C42),ISNUMBER($D42),CQ$1&lt;=$D42,CQ$1+6&gt;=$C42),1,"")</f>
        <v/>
      </c>
      <c r="CR42" s="7" t="str">
        <f>IF(AND(ISNUMBER($C42),ISNUMBER($D42),CR$1&lt;=$D42,CR$1+6&gt;=$C42),1,"")</f>
        <v/>
      </c>
      <c r="CS42" s="7" t="str">
        <f>IF(AND(ISNUMBER($C42),ISNUMBER($D42),CS$1&lt;=$D42,CS$1+6&gt;=$C42),1,"")</f>
        <v/>
      </c>
      <c r="CT42" s="7" t="str">
        <f>IF(AND(ISNUMBER($C42),ISNUMBER($D42),CT$1&lt;=$D42,CT$1+6&gt;=$C42),1,"")</f>
        <v/>
      </c>
      <c r="CU42" s="7" t="str">
        <f>IF(AND(ISNUMBER($C42),ISNUMBER($D42),CU$1&lt;=$D42,CU$1+6&gt;=$C42),1,"")</f>
        <v/>
      </c>
      <c r="CV42" s="7" t="str">
        <f>IF(AND(ISNUMBER($C42),ISNUMBER($D42),CV$1&lt;=$D42,CV$1+6&gt;=$C42),1,"")</f>
        <v/>
      </c>
      <c r="CW42" s="7" t="str">
        <f>IF(AND(ISNUMBER($C42),ISNUMBER($D42),CW$1&lt;=$D42,CW$1+6&gt;=$C42),1,"")</f>
        <v/>
      </c>
      <c r="CX42" s="7" t="str">
        <f>IF(AND(ISNUMBER($C42),ISNUMBER($D42),CX$1&lt;=$D42,CX$1+6&gt;=$C42),1,"")</f>
        <v/>
      </c>
      <c r="CY42" s="7" t="str">
        <f>IF(AND(ISNUMBER($C42),ISNUMBER($D42),CY$1&lt;=$D42,CY$1+6&gt;=$C42),1,"")</f>
        <v/>
      </c>
      <c r="CZ42" s="7" t="str">
        <f>IF(AND(ISNUMBER($C42),ISNUMBER($D42),CZ$1&lt;=$D42,CZ$1+6&gt;=$C42),1,"")</f>
        <v/>
      </c>
      <c r="DA42" s="7" t="str">
        <f>IF(AND(ISNUMBER($C42),ISNUMBER($D42),DA$1&lt;=$D42,DA$1+6&gt;=$C42),1,"")</f>
        <v/>
      </c>
      <c r="DB42" s="7" t="str">
        <f>IF(AND(ISNUMBER($C42),ISNUMBER($D42),DB$1&lt;=$D42,DB$1+6&gt;=$C42),1,"")</f>
        <v/>
      </c>
      <c r="DC42" s="7" t="str">
        <f>IF(AND(ISNUMBER($C42),ISNUMBER($D42),DC$1&lt;=$D42,DC$1+6&gt;=$C42),1,"")</f>
        <v/>
      </c>
      <c r="DD42" s="7" t="str">
        <f>IF(AND(ISNUMBER($C42),ISNUMBER($D42),DD$1&lt;=$D42,DD$1+6&gt;=$C42),1,"")</f>
        <v/>
      </c>
    </row>
    <row r="43" spans="1:108" x14ac:dyDescent="0.35">
      <c r="A43" s="6" t="str">
        <f>Schedule!B43</f>
        <v>Value report feedback and portfolio</v>
      </c>
      <c r="B43" s="6" t="str">
        <f>Schedule!C43</f>
        <v>Delivery</v>
      </c>
      <c r="C43" s="4">
        <f>IF(Schedule!P43="","",Schedule!P43)</f>
        <v>46940</v>
      </c>
      <c r="D43" s="4">
        <f>IF(Schedule!Q43="","",Schedule!Q43)</f>
        <v>46973</v>
      </c>
      <c r="E43" s="7" t="str">
        <f>IF(AND(ISNUMBER($C43),ISNUMBER($D43),E$1&lt;=$D43,E$1+6&gt;=$C43),1,"")</f>
        <v/>
      </c>
      <c r="F43" s="7" t="str">
        <f>IF(AND(ISNUMBER($C43),ISNUMBER($D43),F$1&lt;=$D43,F$1+6&gt;=$C43),1,"")</f>
        <v/>
      </c>
      <c r="G43" s="7" t="str">
        <f>IF(AND(ISNUMBER($C43),ISNUMBER($D43),G$1&lt;=$D43,G$1+6&gt;=$C43),1,"")</f>
        <v/>
      </c>
      <c r="H43" s="7" t="str">
        <f>IF(AND(ISNUMBER($C43),ISNUMBER($D43),H$1&lt;=$D43,H$1+6&gt;=$C43),1,"")</f>
        <v/>
      </c>
      <c r="I43" s="7" t="str">
        <f>IF(AND(ISNUMBER($C43),ISNUMBER($D43),I$1&lt;=$D43,I$1+6&gt;=$C43),1,"")</f>
        <v/>
      </c>
      <c r="J43" s="7" t="str">
        <f>IF(AND(ISNUMBER($C43),ISNUMBER($D43),J$1&lt;=$D43,J$1+6&gt;=$C43),1,"")</f>
        <v/>
      </c>
      <c r="K43" s="7" t="str">
        <f>IF(AND(ISNUMBER($C43),ISNUMBER($D43),K$1&lt;=$D43,K$1+6&gt;=$C43),1,"")</f>
        <v/>
      </c>
      <c r="L43" s="7" t="str">
        <f>IF(AND(ISNUMBER($C43),ISNUMBER($D43),L$1&lt;=$D43,L$1+6&gt;=$C43),1,"")</f>
        <v/>
      </c>
      <c r="M43" s="7" t="str">
        <f>IF(AND(ISNUMBER($C43),ISNUMBER($D43),M$1&lt;=$D43,M$1+6&gt;=$C43),1,"")</f>
        <v/>
      </c>
      <c r="N43" s="7" t="str">
        <f>IF(AND(ISNUMBER($C43),ISNUMBER($D43),N$1&lt;=$D43,N$1+6&gt;=$C43),1,"")</f>
        <v/>
      </c>
      <c r="O43" s="7" t="str">
        <f>IF(AND(ISNUMBER($C43),ISNUMBER($D43),O$1&lt;=$D43,O$1+6&gt;=$C43),1,"")</f>
        <v/>
      </c>
      <c r="P43" s="7" t="str">
        <f>IF(AND(ISNUMBER($C43),ISNUMBER($D43),P$1&lt;=$D43,P$1+6&gt;=$C43),1,"")</f>
        <v/>
      </c>
      <c r="Q43" s="7" t="str">
        <f>IF(AND(ISNUMBER($C43),ISNUMBER($D43),Q$1&lt;=$D43,Q$1+6&gt;=$C43),1,"")</f>
        <v/>
      </c>
      <c r="R43" s="7" t="str">
        <f>IF(AND(ISNUMBER($C43),ISNUMBER($D43),R$1&lt;=$D43,R$1+6&gt;=$C43),1,"")</f>
        <v/>
      </c>
      <c r="S43" s="7" t="str">
        <f>IF(AND(ISNUMBER($C43),ISNUMBER($D43),S$1&lt;=$D43,S$1+6&gt;=$C43),1,"")</f>
        <v/>
      </c>
      <c r="T43" s="7" t="str">
        <f>IF(AND(ISNUMBER($C43),ISNUMBER($D43),T$1&lt;=$D43,T$1+6&gt;=$C43),1,"")</f>
        <v/>
      </c>
      <c r="U43" s="7" t="str">
        <f>IF(AND(ISNUMBER($C43),ISNUMBER($D43),U$1&lt;=$D43,U$1+6&gt;=$C43),1,"")</f>
        <v/>
      </c>
      <c r="V43" s="7" t="str">
        <f>IF(AND(ISNUMBER($C43),ISNUMBER($D43),V$1&lt;=$D43,V$1+6&gt;=$C43),1,"")</f>
        <v/>
      </c>
      <c r="W43" s="7" t="str">
        <f>IF(AND(ISNUMBER($C43),ISNUMBER($D43),W$1&lt;=$D43,W$1+6&gt;=$C43),1,"")</f>
        <v/>
      </c>
      <c r="X43" s="7" t="str">
        <f>IF(AND(ISNUMBER($C43),ISNUMBER($D43),X$1&lt;=$D43,X$1+6&gt;=$C43),1,"")</f>
        <v/>
      </c>
      <c r="Y43" s="7" t="str">
        <f>IF(AND(ISNUMBER($C43),ISNUMBER($D43),Y$1&lt;=$D43,Y$1+6&gt;=$C43),1,"")</f>
        <v/>
      </c>
      <c r="Z43" s="7" t="str">
        <f>IF(AND(ISNUMBER($C43),ISNUMBER($D43),Z$1&lt;=$D43,Z$1+6&gt;=$C43),1,"")</f>
        <v/>
      </c>
      <c r="AA43" s="7" t="str">
        <f>IF(AND(ISNUMBER($C43),ISNUMBER($D43),AA$1&lt;=$D43,AA$1+6&gt;=$C43),1,"")</f>
        <v/>
      </c>
      <c r="AB43" s="7" t="str">
        <f>IF(AND(ISNUMBER($C43),ISNUMBER($D43),AB$1&lt;=$D43,AB$1+6&gt;=$C43),1,"")</f>
        <v/>
      </c>
      <c r="AC43" s="7" t="str">
        <f>IF(AND(ISNUMBER($C43),ISNUMBER($D43),AC$1&lt;=$D43,AC$1+6&gt;=$C43),1,"")</f>
        <v/>
      </c>
      <c r="AD43" s="7" t="str">
        <f>IF(AND(ISNUMBER($C43),ISNUMBER($D43),AD$1&lt;=$D43,AD$1+6&gt;=$C43),1,"")</f>
        <v/>
      </c>
      <c r="AE43" s="7" t="str">
        <f>IF(AND(ISNUMBER($C43),ISNUMBER($D43),AE$1&lt;=$D43,AE$1+6&gt;=$C43),1,"")</f>
        <v/>
      </c>
      <c r="AF43" s="7" t="str">
        <f>IF(AND(ISNUMBER($C43),ISNUMBER($D43),AF$1&lt;=$D43,AF$1+6&gt;=$C43),1,"")</f>
        <v/>
      </c>
      <c r="AG43" s="7" t="str">
        <f>IF(AND(ISNUMBER($C43),ISNUMBER($D43),AG$1&lt;=$D43,AG$1+6&gt;=$C43),1,"")</f>
        <v/>
      </c>
      <c r="AH43" s="7" t="str">
        <f>IF(AND(ISNUMBER($C43),ISNUMBER($D43),AH$1&lt;=$D43,AH$1+6&gt;=$C43),1,"")</f>
        <v/>
      </c>
      <c r="AI43" s="7" t="str">
        <f>IF(AND(ISNUMBER($C43),ISNUMBER($D43),AI$1&lt;=$D43,AI$1+6&gt;=$C43),1,"")</f>
        <v/>
      </c>
      <c r="AJ43" s="7" t="str">
        <f>IF(AND(ISNUMBER($C43),ISNUMBER($D43),AJ$1&lt;=$D43,AJ$1+6&gt;=$C43),1,"")</f>
        <v/>
      </c>
      <c r="AK43" s="7" t="str">
        <f>IF(AND(ISNUMBER($C43),ISNUMBER($D43),AK$1&lt;=$D43,AK$1+6&gt;=$C43),1,"")</f>
        <v/>
      </c>
      <c r="AL43" s="7" t="str">
        <f>IF(AND(ISNUMBER($C43),ISNUMBER($D43),AL$1&lt;=$D43,AL$1+6&gt;=$C43),1,"")</f>
        <v/>
      </c>
      <c r="AM43" s="7" t="str">
        <f>IF(AND(ISNUMBER($C43),ISNUMBER($D43),AM$1&lt;=$D43,AM$1+6&gt;=$C43),1,"")</f>
        <v/>
      </c>
      <c r="AN43" s="7" t="str">
        <f>IF(AND(ISNUMBER($C43),ISNUMBER($D43),AN$1&lt;=$D43,AN$1+6&gt;=$C43),1,"")</f>
        <v/>
      </c>
      <c r="AO43" s="7" t="str">
        <f>IF(AND(ISNUMBER($C43),ISNUMBER($D43),AO$1&lt;=$D43,AO$1+6&gt;=$C43),1,"")</f>
        <v/>
      </c>
      <c r="AP43" s="7" t="str">
        <f>IF(AND(ISNUMBER($C43),ISNUMBER($D43),AP$1&lt;=$D43,AP$1+6&gt;=$C43),1,"")</f>
        <v/>
      </c>
      <c r="AQ43" s="7" t="str">
        <f>IF(AND(ISNUMBER($C43),ISNUMBER($D43),AQ$1&lt;=$D43,AQ$1+6&gt;=$C43),1,"")</f>
        <v/>
      </c>
      <c r="AR43" s="7" t="str">
        <f>IF(AND(ISNUMBER($C43),ISNUMBER($D43),AR$1&lt;=$D43,AR$1+6&gt;=$C43),1,"")</f>
        <v/>
      </c>
      <c r="AS43" s="7" t="str">
        <f>IF(AND(ISNUMBER($C43),ISNUMBER($D43),AS$1&lt;=$D43,AS$1+6&gt;=$C43),1,"")</f>
        <v/>
      </c>
      <c r="AT43" s="7" t="str">
        <f>IF(AND(ISNUMBER($C43),ISNUMBER($D43),AT$1&lt;=$D43,AT$1+6&gt;=$C43),1,"")</f>
        <v/>
      </c>
      <c r="AU43" s="7" t="str">
        <f>IF(AND(ISNUMBER($C43),ISNUMBER($D43),AU$1&lt;=$D43,AU$1+6&gt;=$C43),1,"")</f>
        <v/>
      </c>
      <c r="AV43" s="7" t="str">
        <f>IF(AND(ISNUMBER($C43),ISNUMBER($D43),AV$1&lt;=$D43,AV$1+6&gt;=$C43),1,"")</f>
        <v/>
      </c>
      <c r="AW43" s="7" t="str">
        <f>IF(AND(ISNUMBER($C43),ISNUMBER($D43),AW$1&lt;=$D43,AW$1+6&gt;=$C43),1,"")</f>
        <v/>
      </c>
      <c r="AX43" s="7" t="str">
        <f>IF(AND(ISNUMBER($C43),ISNUMBER($D43),AX$1&lt;=$D43,AX$1+6&gt;=$C43),1,"")</f>
        <v/>
      </c>
      <c r="AY43" s="7" t="str">
        <f>IF(AND(ISNUMBER($C43),ISNUMBER($D43),AY$1&lt;=$D43,AY$1+6&gt;=$C43),1,"")</f>
        <v/>
      </c>
      <c r="AZ43" s="7" t="str">
        <f>IF(AND(ISNUMBER($C43),ISNUMBER($D43),AZ$1&lt;=$D43,AZ$1+6&gt;=$C43),1,"")</f>
        <v/>
      </c>
      <c r="BA43" s="7" t="str">
        <f>IF(AND(ISNUMBER($C43),ISNUMBER($D43),BA$1&lt;=$D43,BA$1+6&gt;=$C43),1,"")</f>
        <v/>
      </c>
      <c r="BB43" s="7" t="str">
        <f>IF(AND(ISNUMBER($C43),ISNUMBER($D43),BB$1&lt;=$D43,BB$1+6&gt;=$C43),1,"")</f>
        <v/>
      </c>
      <c r="BC43" s="7" t="str">
        <f>IF(AND(ISNUMBER($C43),ISNUMBER($D43),BC$1&lt;=$D43,BC$1+6&gt;=$C43),1,"")</f>
        <v/>
      </c>
      <c r="BD43" s="7" t="str">
        <f>IF(AND(ISNUMBER($C43),ISNUMBER($D43),BD$1&lt;=$D43,BD$1+6&gt;=$C43),1,"")</f>
        <v/>
      </c>
      <c r="BE43" s="7" t="str">
        <f>IF(AND(ISNUMBER($C43),ISNUMBER($D43),BE$1&lt;=$D43,BE$1+6&gt;=$C43),1,"")</f>
        <v/>
      </c>
      <c r="BF43" s="7" t="str">
        <f>IF(AND(ISNUMBER($C43),ISNUMBER($D43),BF$1&lt;=$D43,BF$1+6&gt;=$C43),1,"")</f>
        <v/>
      </c>
      <c r="BG43" s="7" t="str">
        <f>IF(AND(ISNUMBER($C43),ISNUMBER($D43),BG$1&lt;=$D43,BG$1+6&gt;=$C43),1,"")</f>
        <v/>
      </c>
      <c r="BH43" s="7" t="str">
        <f>IF(AND(ISNUMBER($C43),ISNUMBER($D43),BH$1&lt;=$D43,BH$1+6&gt;=$C43),1,"")</f>
        <v/>
      </c>
      <c r="BI43" s="7" t="str">
        <f>IF(AND(ISNUMBER($C43),ISNUMBER($D43),BI$1&lt;=$D43,BI$1+6&gt;=$C43),1,"")</f>
        <v/>
      </c>
      <c r="BJ43" s="7" t="str">
        <f>IF(AND(ISNUMBER($C43),ISNUMBER($D43),BJ$1&lt;=$D43,BJ$1+6&gt;=$C43),1,"")</f>
        <v/>
      </c>
      <c r="BK43" s="7" t="str">
        <f>IF(AND(ISNUMBER($C43),ISNUMBER($D43),BK$1&lt;=$D43,BK$1+6&gt;=$C43),1,"")</f>
        <v/>
      </c>
      <c r="BL43" s="7" t="str">
        <f>IF(AND(ISNUMBER($C43),ISNUMBER($D43),BL$1&lt;=$D43,BL$1+6&gt;=$C43),1,"")</f>
        <v/>
      </c>
      <c r="BM43" s="7" t="str">
        <f>IF(AND(ISNUMBER($C43),ISNUMBER($D43),BM$1&lt;=$D43,BM$1+6&gt;=$C43),1,"")</f>
        <v/>
      </c>
      <c r="BN43" s="7" t="str">
        <f>IF(AND(ISNUMBER($C43),ISNUMBER($D43),BN$1&lt;=$D43,BN$1+6&gt;=$C43),1,"")</f>
        <v/>
      </c>
      <c r="BO43" s="7" t="str">
        <f>IF(AND(ISNUMBER($C43),ISNUMBER($D43),BO$1&lt;=$D43,BO$1+6&gt;=$C43),1,"")</f>
        <v/>
      </c>
      <c r="BP43" s="7" t="str">
        <f>IF(AND(ISNUMBER($C43),ISNUMBER($D43),BP$1&lt;=$D43,BP$1+6&gt;=$C43),1,"")</f>
        <v/>
      </c>
      <c r="BQ43" s="7" t="str">
        <f>IF(AND(ISNUMBER($C43),ISNUMBER($D43),BQ$1&lt;=$D43,BQ$1+6&gt;=$C43),1,"")</f>
        <v/>
      </c>
      <c r="BR43" s="7" t="str">
        <f>IF(AND(ISNUMBER($C43),ISNUMBER($D43),BR$1&lt;=$D43,BR$1+6&gt;=$C43),1,"")</f>
        <v/>
      </c>
      <c r="BS43" s="7" t="str">
        <f>IF(AND(ISNUMBER($C43),ISNUMBER($D43),BS$1&lt;=$D43,BS$1+6&gt;=$C43),1,"")</f>
        <v/>
      </c>
      <c r="BT43" s="7" t="str">
        <f>IF(AND(ISNUMBER($C43),ISNUMBER($D43),BT$1&lt;=$D43,BT$1+6&gt;=$C43),1,"")</f>
        <v/>
      </c>
      <c r="BU43" s="7" t="str">
        <f>IF(AND(ISNUMBER($C43),ISNUMBER($D43),BU$1&lt;=$D43,BU$1+6&gt;=$C43),1,"")</f>
        <v/>
      </c>
      <c r="BV43" s="7" t="str">
        <f>IF(AND(ISNUMBER($C43),ISNUMBER($D43),BV$1&lt;=$D43,BV$1+6&gt;=$C43),1,"")</f>
        <v/>
      </c>
      <c r="BW43" s="7" t="str">
        <f>IF(AND(ISNUMBER($C43),ISNUMBER($D43),BW$1&lt;=$D43,BW$1+6&gt;=$C43),1,"")</f>
        <v/>
      </c>
      <c r="BX43" s="7" t="str">
        <f>IF(AND(ISNUMBER($C43),ISNUMBER($D43),BX$1&lt;=$D43,BX$1+6&gt;=$C43),1,"")</f>
        <v/>
      </c>
      <c r="BY43" s="7" t="str">
        <f>IF(AND(ISNUMBER($C43),ISNUMBER($D43),BY$1&lt;=$D43,BY$1+6&gt;=$C43),1,"")</f>
        <v/>
      </c>
      <c r="BZ43" s="7" t="str">
        <f>IF(AND(ISNUMBER($C43),ISNUMBER($D43),BZ$1&lt;=$D43,BZ$1+6&gt;=$C43),1,"")</f>
        <v/>
      </c>
      <c r="CA43" s="7" t="str">
        <f>IF(AND(ISNUMBER($C43),ISNUMBER($D43),CA$1&lt;=$D43,CA$1+6&gt;=$C43),1,"")</f>
        <v/>
      </c>
      <c r="CB43" s="7" t="str">
        <f>IF(AND(ISNUMBER($C43),ISNUMBER($D43),CB$1&lt;=$D43,CB$1+6&gt;=$C43),1,"")</f>
        <v/>
      </c>
      <c r="CC43" s="7" t="str">
        <f>IF(AND(ISNUMBER($C43),ISNUMBER($D43),CC$1&lt;=$D43,CC$1+6&gt;=$C43),1,"")</f>
        <v/>
      </c>
      <c r="CD43" s="7" t="str">
        <f>IF(AND(ISNUMBER($C43),ISNUMBER($D43),CD$1&lt;=$D43,CD$1+6&gt;=$C43),1,"")</f>
        <v/>
      </c>
      <c r="CE43" s="7" t="str">
        <f>IF(AND(ISNUMBER($C43),ISNUMBER($D43),CE$1&lt;=$D43,CE$1+6&gt;=$C43),1,"")</f>
        <v/>
      </c>
      <c r="CF43" s="7" t="str">
        <f>IF(AND(ISNUMBER($C43),ISNUMBER($D43),CF$1&lt;=$D43,CF$1+6&gt;=$C43),1,"")</f>
        <v/>
      </c>
      <c r="CG43" s="7" t="str">
        <f>IF(AND(ISNUMBER($C43),ISNUMBER($D43),CG$1&lt;=$D43,CG$1+6&gt;=$C43),1,"")</f>
        <v/>
      </c>
      <c r="CH43" s="7" t="str">
        <f>IF(AND(ISNUMBER($C43),ISNUMBER($D43),CH$1&lt;=$D43,CH$1+6&gt;=$C43),1,"")</f>
        <v/>
      </c>
      <c r="CI43" s="7" t="str">
        <f>IF(AND(ISNUMBER($C43),ISNUMBER($D43),CI$1&lt;=$D43,CI$1+6&gt;=$C43),1,"")</f>
        <v/>
      </c>
      <c r="CJ43" s="7" t="str">
        <f>IF(AND(ISNUMBER($C43),ISNUMBER($D43),CJ$1&lt;=$D43,CJ$1+6&gt;=$C43),1,"")</f>
        <v/>
      </c>
      <c r="CK43" s="7" t="str">
        <f>IF(AND(ISNUMBER($C43),ISNUMBER($D43),CK$1&lt;=$D43,CK$1+6&gt;=$C43),1,"")</f>
        <v/>
      </c>
      <c r="CL43" s="7" t="str">
        <f>IF(AND(ISNUMBER($C43),ISNUMBER($D43),CL$1&lt;=$D43,CL$1+6&gt;=$C43),1,"")</f>
        <v/>
      </c>
      <c r="CM43" s="7" t="str">
        <f>IF(AND(ISNUMBER($C43),ISNUMBER($D43),CM$1&lt;=$D43,CM$1+6&gt;=$C43),1,"")</f>
        <v/>
      </c>
      <c r="CN43" s="7" t="str">
        <f>IF(AND(ISNUMBER($C43),ISNUMBER($D43),CN$1&lt;=$D43,CN$1+6&gt;=$C43),1,"")</f>
        <v/>
      </c>
      <c r="CO43" s="7">
        <f>IF(AND(ISNUMBER($C43),ISNUMBER($D43),CO$1&lt;=$D43,CO$1+6&gt;=$C43),1,"")</f>
        <v>1</v>
      </c>
      <c r="CP43" s="7">
        <f>IF(AND(ISNUMBER($C43),ISNUMBER($D43),CP$1&lt;=$D43,CP$1+6&gt;=$C43),1,"")</f>
        <v>1</v>
      </c>
      <c r="CQ43" s="7">
        <f>IF(AND(ISNUMBER($C43),ISNUMBER($D43),CQ$1&lt;=$D43,CQ$1+6&gt;=$C43),1,"")</f>
        <v>1</v>
      </c>
      <c r="CR43" s="7">
        <f>IF(AND(ISNUMBER($C43),ISNUMBER($D43),CR$1&lt;=$D43,CR$1+6&gt;=$C43),1,"")</f>
        <v>1</v>
      </c>
      <c r="CS43" s="7">
        <f>IF(AND(ISNUMBER($C43),ISNUMBER($D43),CS$1&lt;=$D43,CS$1+6&gt;=$C43),1,"")</f>
        <v>1</v>
      </c>
      <c r="CT43" s="7">
        <f>IF(AND(ISNUMBER($C43),ISNUMBER($D43),CT$1&lt;=$D43,CT$1+6&gt;=$C43),1,"")</f>
        <v>1</v>
      </c>
      <c r="CU43" s="7" t="str">
        <f>IF(AND(ISNUMBER($C43),ISNUMBER($D43),CU$1&lt;=$D43,CU$1+6&gt;=$C43),1,"")</f>
        <v/>
      </c>
      <c r="CV43" s="7" t="str">
        <f>IF(AND(ISNUMBER($C43),ISNUMBER($D43),CV$1&lt;=$D43,CV$1+6&gt;=$C43),1,"")</f>
        <v/>
      </c>
      <c r="CW43" s="7" t="str">
        <f>IF(AND(ISNUMBER($C43),ISNUMBER($D43),CW$1&lt;=$D43,CW$1+6&gt;=$C43),1,"")</f>
        <v/>
      </c>
      <c r="CX43" s="7" t="str">
        <f>IF(AND(ISNUMBER($C43),ISNUMBER($D43),CX$1&lt;=$D43,CX$1+6&gt;=$C43),1,"")</f>
        <v/>
      </c>
      <c r="CY43" s="7" t="str">
        <f>IF(AND(ISNUMBER($C43),ISNUMBER($D43),CY$1&lt;=$D43,CY$1+6&gt;=$C43),1,"")</f>
        <v/>
      </c>
      <c r="CZ43" s="7" t="str">
        <f>IF(AND(ISNUMBER($C43),ISNUMBER($D43),CZ$1&lt;=$D43,CZ$1+6&gt;=$C43),1,"")</f>
        <v/>
      </c>
      <c r="DA43" s="7" t="str">
        <f>IF(AND(ISNUMBER($C43),ISNUMBER($D43),DA$1&lt;=$D43,DA$1+6&gt;=$C43),1,"")</f>
        <v/>
      </c>
      <c r="DB43" s="7" t="str">
        <f>IF(AND(ISNUMBER($C43),ISNUMBER($D43),DB$1&lt;=$D43,DB$1+6&gt;=$C43),1,"")</f>
        <v/>
      </c>
      <c r="DC43" s="7" t="str">
        <f>IF(AND(ISNUMBER($C43),ISNUMBER($D43),DC$1&lt;=$D43,DC$1+6&gt;=$C43),1,"")</f>
        <v/>
      </c>
      <c r="DD43" s="7" t="str">
        <f>IF(AND(ISNUMBER($C43),ISNUMBER($D43),DD$1&lt;=$D43,DD$1+6&gt;=$C43),1,"")</f>
        <v/>
      </c>
    </row>
    <row r="44" spans="1:108" x14ac:dyDescent="0.35">
      <c r="A44" s="6" t="str">
        <f>Schedule!B44</f>
        <v>Optional additional programming languages</v>
      </c>
      <c r="B44" s="6" t="str">
        <f>Schedule!C44</f>
        <v>Core</v>
      </c>
      <c r="C44" s="4" t="str">
        <f>IF(Schedule!P44="","",Schedule!P44)</f>
        <v/>
      </c>
      <c r="D44" s="4" t="str">
        <f>IF(Schedule!Q44="","",Schedule!Q44)</f>
        <v/>
      </c>
      <c r="E44" s="7" t="str">
        <f>IF(AND(ISNUMBER($C44),ISNUMBER($D44),E$1&lt;=$D44,E$1+6&gt;=$C44),1,"")</f>
        <v/>
      </c>
      <c r="F44" s="7" t="str">
        <f>IF(AND(ISNUMBER($C44),ISNUMBER($D44),F$1&lt;=$D44,F$1+6&gt;=$C44),1,"")</f>
        <v/>
      </c>
      <c r="G44" s="7" t="str">
        <f>IF(AND(ISNUMBER($C44),ISNUMBER($D44),G$1&lt;=$D44,G$1+6&gt;=$C44),1,"")</f>
        <v/>
      </c>
      <c r="H44" s="7" t="str">
        <f>IF(AND(ISNUMBER($C44),ISNUMBER($D44),H$1&lt;=$D44,H$1+6&gt;=$C44),1,"")</f>
        <v/>
      </c>
      <c r="I44" s="7" t="str">
        <f>IF(AND(ISNUMBER($C44),ISNUMBER($D44),I$1&lt;=$D44,I$1+6&gt;=$C44),1,"")</f>
        <v/>
      </c>
      <c r="J44" s="7" t="str">
        <f>IF(AND(ISNUMBER($C44),ISNUMBER($D44),J$1&lt;=$D44,J$1+6&gt;=$C44),1,"")</f>
        <v/>
      </c>
      <c r="K44" s="7" t="str">
        <f>IF(AND(ISNUMBER($C44),ISNUMBER($D44),K$1&lt;=$D44,K$1+6&gt;=$C44),1,"")</f>
        <v/>
      </c>
      <c r="L44" s="7" t="str">
        <f>IF(AND(ISNUMBER($C44),ISNUMBER($D44),L$1&lt;=$D44,L$1+6&gt;=$C44),1,"")</f>
        <v/>
      </c>
      <c r="M44" s="7" t="str">
        <f>IF(AND(ISNUMBER($C44),ISNUMBER($D44),M$1&lt;=$D44,M$1+6&gt;=$C44),1,"")</f>
        <v/>
      </c>
      <c r="N44" s="7" t="str">
        <f>IF(AND(ISNUMBER($C44),ISNUMBER($D44),N$1&lt;=$D44,N$1+6&gt;=$C44),1,"")</f>
        <v/>
      </c>
      <c r="O44" s="7" t="str">
        <f>IF(AND(ISNUMBER($C44),ISNUMBER($D44),O$1&lt;=$D44,O$1+6&gt;=$C44),1,"")</f>
        <v/>
      </c>
      <c r="P44" s="7" t="str">
        <f>IF(AND(ISNUMBER($C44),ISNUMBER($D44),P$1&lt;=$D44,P$1+6&gt;=$C44),1,"")</f>
        <v/>
      </c>
      <c r="Q44" s="7" t="str">
        <f>IF(AND(ISNUMBER($C44),ISNUMBER($D44),Q$1&lt;=$D44,Q$1+6&gt;=$C44),1,"")</f>
        <v/>
      </c>
      <c r="R44" s="7" t="str">
        <f>IF(AND(ISNUMBER($C44),ISNUMBER($D44),R$1&lt;=$D44,R$1+6&gt;=$C44),1,"")</f>
        <v/>
      </c>
      <c r="S44" s="7" t="str">
        <f>IF(AND(ISNUMBER($C44),ISNUMBER($D44),S$1&lt;=$D44,S$1+6&gt;=$C44),1,"")</f>
        <v/>
      </c>
      <c r="T44" s="7" t="str">
        <f>IF(AND(ISNUMBER($C44),ISNUMBER($D44),T$1&lt;=$D44,T$1+6&gt;=$C44),1,"")</f>
        <v/>
      </c>
      <c r="U44" s="7" t="str">
        <f>IF(AND(ISNUMBER($C44),ISNUMBER($D44),U$1&lt;=$D44,U$1+6&gt;=$C44),1,"")</f>
        <v/>
      </c>
      <c r="V44" s="7" t="str">
        <f>IF(AND(ISNUMBER($C44),ISNUMBER($D44),V$1&lt;=$D44,V$1+6&gt;=$C44),1,"")</f>
        <v/>
      </c>
      <c r="W44" s="7" t="str">
        <f>IF(AND(ISNUMBER($C44),ISNUMBER($D44),W$1&lt;=$D44,W$1+6&gt;=$C44),1,"")</f>
        <v/>
      </c>
      <c r="X44" s="7" t="str">
        <f>IF(AND(ISNUMBER($C44),ISNUMBER($D44),X$1&lt;=$D44,X$1+6&gt;=$C44),1,"")</f>
        <v/>
      </c>
      <c r="Y44" s="7" t="str">
        <f>IF(AND(ISNUMBER($C44),ISNUMBER($D44),Y$1&lt;=$D44,Y$1+6&gt;=$C44),1,"")</f>
        <v/>
      </c>
      <c r="Z44" s="7" t="str">
        <f>IF(AND(ISNUMBER($C44),ISNUMBER($D44),Z$1&lt;=$D44,Z$1+6&gt;=$C44),1,"")</f>
        <v/>
      </c>
      <c r="AA44" s="7" t="str">
        <f>IF(AND(ISNUMBER($C44),ISNUMBER($D44),AA$1&lt;=$D44,AA$1+6&gt;=$C44),1,"")</f>
        <v/>
      </c>
      <c r="AB44" s="7" t="str">
        <f>IF(AND(ISNUMBER($C44),ISNUMBER($D44),AB$1&lt;=$D44,AB$1+6&gt;=$C44),1,"")</f>
        <v/>
      </c>
      <c r="AC44" s="7" t="str">
        <f>IF(AND(ISNUMBER($C44),ISNUMBER($D44),AC$1&lt;=$D44,AC$1+6&gt;=$C44),1,"")</f>
        <v/>
      </c>
      <c r="AD44" s="7" t="str">
        <f>IF(AND(ISNUMBER($C44),ISNUMBER($D44),AD$1&lt;=$D44,AD$1+6&gt;=$C44),1,"")</f>
        <v/>
      </c>
      <c r="AE44" s="7" t="str">
        <f>IF(AND(ISNUMBER($C44),ISNUMBER($D44),AE$1&lt;=$D44,AE$1+6&gt;=$C44),1,"")</f>
        <v/>
      </c>
      <c r="AF44" s="7" t="str">
        <f>IF(AND(ISNUMBER($C44),ISNUMBER($D44),AF$1&lt;=$D44,AF$1+6&gt;=$C44),1,"")</f>
        <v/>
      </c>
      <c r="AG44" s="7" t="str">
        <f>IF(AND(ISNUMBER($C44),ISNUMBER($D44),AG$1&lt;=$D44,AG$1+6&gt;=$C44),1,"")</f>
        <v/>
      </c>
      <c r="AH44" s="7" t="str">
        <f>IF(AND(ISNUMBER($C44),ISNUMBER($D44),AH$1&lt;=$D44,AH$1+6&gt;=$C44),1,"")</f>
        <v/>
      </c>
      <c r="AI44" s="7" t="str">
        <f>IF(AND(ISNUMBER($C44),ISNUMBER($D44),AI$1&lt;=$D44,AI$1+6&gt;=$C44),1,"")</f>
        <v/>
      </c>
      <c r="AJ44" s="7" t="str">
        <f>IF(AND(ISNUMBER($C44),ISNUMBER($D44),AJ$1&lt;=$D44,AJ$1+6&gt;=$C44),1,"")</f>
        <v/>
      </c>
      <c r="AK44" s="7" t="str">
        <f>IF(AND(ISNUMBER($C44),ISNUMBER($D44),AK$1&lt;=$D44,AK$1+6&gt;=$C44),1,"")</f>
        <v/>
      </c>
      <c r="AL44" s="7" t="str">
        <f>IF(AND(ISNUMBER($C44),ISNUMBER($D44),AL$1&lt;=$D44,AL$1+6&gt;=$C44),1,"")</f>
        <v/>
      </c>
      <c r="AM44" s="7" t="str">
        <f>IF(AND(ISNUMBER($C44),ISNUMBER($D44),AM$1&lt;=$D44,AM$1+6&gt;=$C44),1,"")</f>
        <v/>
      </c>
      <c r="AN44" s="7" t="str">
        <f>IF(AND(ISNUMBER($C44),ISNUMBER($D44),AN$1&lt;=$D44,AN$1+6&gt;=$C44),1,"")</f>
        <v/>
      </c>
      <c r="AO44" s="7" t="str">
        <f>IF(AND(ISNUMBER($C44),ISNUMBER($D44),AO$1&lt;=$D44,AO$1+6&gt;=$C44),1,"")</f>
        <v/>
      </c>
      <c r="AP44" s="7" t="str">
        <f>IF(AND(ISNUMBER($C44),ISNUMBER($D44),AP$1&lt;=$D44,AP$1+6&gt;=$C44),1,"")</f>
        <v/>
      </c>
      <c r="AQ44" s="7" t="str">
        <f>IF(AND(ISNUMBER($C44),ISNUMBER($D44),AQ$1&lt;=$D44,AQ$1+6&gt;=$C44),1,"")</f>
        <v/>
      </c>
      <c r="AR44" s="7" t="str">
        <f>IF(AND(ISNUMBER($C44),ISNUMBER($D44),AR$1&lt;=$D44,AR$1+6&gt;=$C44),1,"")</f>
        <v/>
      </c>
      <c r="AS44" s="7" t="str">
        <f>IF(AND(ISNUMBER($C44),ISNUMBER($D44),AS$1&lt;=$D44,AS$1+6&gt;=$C44),1,"")</f>
        <v/>
      </c>
      <c r="AT44" s="7" t="str">
        <f>IF(AND(ISNUMBER($C44),ISNUMBER($D44),AT$1&lt;=$D44,AT$1+6&gt;=$C44),1,"")</f>
        <v/>
      </c>
      <c r="AU44" s="7" t="str">
        <f>IF(AND(ISNUMBER($C44),ISNUMBER($D44),AU$1&lt;=$D44,AU$1+6&gt;=$C44),1,"")</f>
        <v/>
      </c>
      <c r="AV44" s="7" t="str">
        <f>IF(AND(ISNUMBER($C44),ISNUMBER($D44),AV$1&lt;=$D44,AV$1+6&gt;=$C44),1,"")</f>
        <v/>
      </c>
      <c r="AW44" s="7" t="str">
        <f>IF(AND(ISNUMBER($C44),ISNUMBER($D44),AW$1&lt;=$D44,AW$1+6&gt;=$C44),1,"")</f>
        <v/>
      </c>
      <c r="AX44" s="7" t="str">
        <f>IF(AND(ISNUMBER($C44),ISNUMBER($D44),AX$1&lt;=$D44,AX$1+6&gt;=$C44),1,"")</f>
        <v/>
      </c>
      <c r="AY44" s="7" t="str">
        <f>IF(AND(ISNUMBER($C44),ISNUMBER($D44),AY$1&lt;=$D44,AY$1+6&gt;=$C44),1,"")</f>
        <v/>
      </c>
      <c r="AZ44" s="7" t="str">
        <f>IF(AND(ISNUMBER($C44),ISNUMBER($D44),AZ$1&lt;=$D44,AZ$1+6&gt;=$C44),1,"")</f>
        <v/>
      </c>
      <c r="BA44" s="7" t="str">
        <f>IF(AND(ISNUMBER($C44),ISNUMBER($D44),BA$1&lt;=$D44,BA$1+6&gt;=$C44),1,"")</f>
        <v/>
      </c>
      <c r="BB44" s="7" t="str">
        <f>IF(AND(ISNUMBER($C44),ISNUMBER($D44),BB$1&lt;=$D44,BB$1+6&gt;=$C44),1,"")</f>
        <v/>
      </c>
      <c r="BC44" s="7" t="str">
        <f>IF(AND(ISNUMBER($C44),ISNUMBER($D44),BC$1&lt;=$D44,BC$1+6&gt;=$C44),1,"")</f>
        <v/>
      </c>
      <c r="BD44" s="7" t="str">
        <f>IF(AND(ISNUMBER($C44),ISNUMBER($D44),BD$1&lt;=$D44,BD$1+6&gt;=$C44),1,"")</f>
        <v/>
      </c>
      <c r="BE44" s="7" t="str">
        <f>IF(AND(ISNUMBER($C44),ISNUMBER($D44),BE$1&lt;=$D44,BE$1+6&gt;=$C44),1,"")</f>
        <v/>
      </c>
      <c r="BF44" s="7" t="str">
        <f>IF(AND(ISNUMBER($C44),ISNUMBER($D44),BF$1&lt;=$D44,BF$1+6&gt;=$C44),1,"")</f>
        <v/>
      </c>
      <c r="BG44" s="7" t="str">
        <f>IF(AND(ISNUMBER($C44),ISNUMBER($D44),BG$1&lt;=$D44,BG$1+6&gt;=$C44),1,"")</f>
        <v/>
      </c>
      <c r="BH44" s="7" t="str">
        <f>IF(AND(ISNUMBER($C44),ISNUMBER($D44),BH$1&lt;=$D44,BH$1+6&gt;=$C44),1,"")</f>
        <v/>
      </c>
      <c r="BI44" s="7" t="str">
        <f>IF(AND(ISNUMBER($C44),ISNUMBER($D44),BI$1&lt;=$D44,BI$1+6&gt;=$C44),1,"")</f>
        <v/>
      </c>
      <c r="BJ44" s="7" t="str">
        <f>IF(AND(ISNUMBER($C44),ISNUMBER($D44),BJ$1&lt;=$D44,BJ$1+6&gt;=$C44),1,"")</f>
        <v/>
      </c>
      <c r="BK44" s="7" t="str">
        <f>IF(AND(ISNUMBER($C44),ISNUMBER($D44),BK$1&lt;=$D44,BK$1+6&gt;=$C44),1,"")</f>
        <v/>
      </c>
      <c r="BL44" s="7" t="str">
        <f>IF(AND(ISNUMBER($C44),ISNUMBER($D44),BL$1&lt;=$D44,BL$1+6&gt;=$C44),1,"")</f>
        <v/>
      </c>
      <c r="BM44" s="7" t="str">
        <f>IF(AND(ISNUMBER($C44),ISNUMBER($D44),BM$1&lt;=$D44,BM$1+6&gt;=$C44),1,"")</f>
        <v/>
      </c>
      <c r="BN44" s="7" t="str">
        <f>IF(AND(ISNUMBER($C44),ISNUMBER($D44),BN$1&lt;=$D44,BN$1+6&gt;=$C44),1,"")</f>
        <v/>
      </c>
      <c r="BO44" s="7" t="str">
        <f>IF(AND(ISNUMBER($C44),ISNUMBER($D44),BO$1&lt;=$D44,BO$1+6&gt;=$C44),1,"")</f>
        <v/>
      </c>
      <c r="BP44" s="7" t="str">
        <f>IF(AND(ISNUMBER($C44),ISNUMBER($D44),BP$1&lt;=$D44,BP$1+6&gt;=$C44),1,"")</f>
        <v/>
      </c>
      <c r="BQ44" s="7" t="str">
        <f>IF(AND(ISNUMBER($C44),ISNUMBER($D44),BQ$1&lt;=$D44,BQ$1+6&gt;=$C44),1,"")</f>
        <v/>
      </c>
      <c r="BR44" s="7" t="str">
        <f>IF(AND(ISNUMBER($C44),ISNUMBER($D44),BR$1&lt;=$D44,BR$1+6&gt;=$C44),1,"")</f>
        <v/>
      </c>
      <c r="BS44" s="7" t="str">
        <f>IF(AND(ISNUMBER($C44),ISNUMBER($D44),BS$1&lt;=$D44,BS$1+6&gt;=$C44),1,"")</f>
        <v/>
      </c>
      <c r="BT44" s="7" t="str">
        <f>IF(AND(ISNUMBER($C44),ISNUMBER($D44),BT$1&lt;=$D44,BT$1+6&gt;=$C44),1,"")</f>
        <v/>
      </c>
      <c r="BU44" s="7" t="str">
        <f>IF(AND(ISNUMBER($C44),ISNUMBER($D44),BU$1&lt;=$D44,BU$1+6&gt;=$C44),1,"")</f>
        <v/>
      </c>
      <c r="BV44" s="7" t="str">
        <f>IF(AND(ISNUMBER($C44),ISNUMBER($D44),BV$1&lt;=$D44,BV$1+6&gt;=$C44),1,"")</f>
        <v/>
      </c>
      <c r="BW44" s="7" t="str">
        <f>IF(AND(ISNUMBER($C44),ISNUMBER($D44),BW$1&lt;=$D44,BW$1+6&gt;=$C44),1,"")</f>
        <v/>
      </c>
      <c r="BX44" s="7" t="str">
        <f>IF(AND(ISNUMBER($C44),ISNUMBER($D44),BX$1&lt;=$D44,BX$1+6&gt;=$C44),1,"")</f>
        <v/>
      </c>
      <c r="BY44" s="7" t="str">
        <f>IF(AND(ISNUMBER($C44),ISNUMBER($D44),BY$1&lt;=$D44,BY$1+6&gt;=$C44),1,"")</f>
        <v/>
      </c>
      <c r="BZ44" s="7" t="str">
        <f>IF(AND(ISNUMBER($C44),ISNUMBER($D44),BZ$1&lt;=$D44,BZ$1+6&gt;=$C44),1,"")</f>
        <v/>
      </c>
      <c r="CA44" s="7" t="str">
        <f>IF(AND(ISNUMBER($C44),ISNUMBER($D44),CA$1&lt;=$D44,CA$1+6&gt;=$C44),1,"")</f>
        <v/>
      </c>
      <c r="CB44" s="7" t="str">
        <f>IF(AND(ISNUMBER($C44),ISNUMBER($D44),CB$1&lt;=$D44,CB$1+6&gt;=$C44),1,"")</f>
        <v/>
      </c>
      <c r="CC44" s="7" t="str">
        <f>IF(AND(ISNUMBER($C44),ISNUMBER($D44),CC$1&lt;=$D44,CC$1+6&gt;=$C44),1,"")</f>
        <v/>
      </c>
      <c r="CD44" s="7" t="str">
        <f>IF(AND(ISNUMBER($C44),ISNUMBER($D44),CD$1&lt;=$D44,CD$1+6&gt;=$C44),1,"")</f>
        <v/>
      </c>
      <c r="CE44" s="7" t="str">
        <f>IF(AND(ISNUMBER($C44),ISNUMBER($D44),CE$1&lt;=$D44,CE$1+6&gt;=$C44),1,"")</f>
        <v/>
      </c>
      <c r="CF44" s="7" t="str">
        <f>IF(AND(ISNUMBER($C44),ISNUMBER($D44),CF$1&lt;=$D44,CF$1+6&gt;=$C44),1,"")</f>
        <v/>
      </c>
      <c r="CG44" s="7" t="str">
        <f>IF(AND(ISNUMBER($C44),ISNUMBER($D44),CG$1&lt;=$D44,CG$1+6&gt;=$C44),1,"")</f>
        <v/>
      </c>
      <c r="CH44" s="7" t="str">
        <f>IF(AND(ISNUMBER($C44),ISNUMBER($D44),CH$1&lt;=$D44,CH$1+6&gt;=$C44),1,"")</f>
        <v/>
      </c>
      <c r="CI44" s="7" t="str">
        <f>IF(AND(ISNUMBER($C44),ISNUMBER($D44),CI$1&lt;=$D44,CI$1+6&gt;=$C44),1,"")</f>
        <v/>
      </c>
      <c r="CJ44" s="7" t="str">
        <f>IF(AND(ISNUMBER($C44),ISNUMBER($D44),CJ$1&lt;=$D44,CJ$1+6&gt;=$C44),1,"")</f>
        <v/>
      </c>
      <c r="CK44" s="7" t="str">
        <f>IF(AND(ISNUMBER($C44),ISNUMBER($D44),CK$1&lt;=$D44,CK$1+6&gt;=$C44),1,"")</f>
        <v/>
      </c>
      <c r="CL44" s="7" t="str">
        <f>IF(AND(ISNUMBER($C44),ISNUMBER($D44),CL$1&lt;=$D44,CL$1+6&gt;=$C44),1,"")</f>
        <v/>
      </c>
      <c r="CM44" s="7" t="str">
        <f>IF(AND(ISNUMBER($C44),ISNUMBER($D44),CM$1&lt;=$D44,CM$1+6&gt;=$C44),1,"")</f>
        <v/>
      </c>
      <c r="CN44" s="7" t="str">
        <f>IF(AND(ISNUMBER($C44),ISNUMBER($D44),CN$1&lt;=$D44,CN$1+6&gt;=$C44),1,"")</f>
        <v/>
      </c>
      <c r="CO44" s="7" t="str">
        <f>IF(AND(ISNUMBER($C44),ISNUMBER($D44),CO$1&lt;=$D44,CO$1+6&gt;=$C44),1,"")</f>
        <v/>
      </c>
      <c r="CP44" s="7" t="str">
        <f>IF(AND(ISNUMBER($C44),ISNUMBER($D44),CP$1&lt;=$D44,CP$1+6&gt;=$C44),1,"")</f>
        <v/>
      </c>
      <c r="CQ44" s="7" t="str">
        <f>IF(AND(ISNUMBER($C44),ISNUMBER($D44),CQ$1&lt;=$D44,CQ$1+6&gt;=$C44),1,"")</f>
        <v/>
      </c>
      <c r="CR44" s="7" t="str">
        <f>IF(AND(ISNUMBER($C44),ISNUMBER($D44),CR$1&lt;=$D44,CR$1+6&gt;=$C44),1,"")</f>
        <v/>
      </c>
      <c r="CS44" s="7" t="str">
        <f>IF(AND(ISNUMBER($C44),ISNUMBER($D44),CS$1&lt;=$D44,CS$1+6&gt;=$C44),1,"")</f>
        <v/>
      </c>
      <c r="CT44" s="7" t="str">
        <f>IF(AND(ISNUMBER($C44),ISNUMBER($D44),CT$1&lt;=$D44,CT$1+6&gt;=$C44),1,"")</f>
        <v/>
      </c>
      <c r="CU44" s="7" t="str">
        <f>IF(AND(ISNUMBER($C44),ISNUMBER($D44),CU$1&lt;=$D44,CU$1+6&gt;=$C44),1,"")</f>
        <v/>
      </c>
      <c r="CV44" s="7" t="str">
        <f>IF(AND(ISNUMBER($C44),ISNUMBER($D44),CV$1&lt;=$D44,CV$1+6&gt;=$C44),1,"")</f>
        <v/>
      </c>
      <c r="CW44" s="7" t="str">
        <f>IF(AND(ISNUMBER($C44),ISNUMBER($D44),CW$1&lt;=$D44,CW$1+6&gt;=$C44),1,"")</f>
        <v/>
      </c>
      <c r="CX44" s="7" t="str">
        <f>IF(AND(ISNUMBER($C44),ISNUMBER($D44),CX$1&lt;=$D44,CX$1+6&gt;=$C44),1,"")</f>
        <v/>
      </c>
      <c r="CY44" s="7" t="str">
        <f>IF(AND(ISNUMBER($C44),ISNUMBER($D44),CY$1&lt;=$D44,CY$1+6&gt;=$C44),1,"")</f>
        <v/>
      </c>
      <c r="CZ44" s="7" t="str">
        <f>IF(AND(ISNUMBER($C44),ISNUMBER($D44),CZ$1&lt;=$D44,CZ$1+6&gt;=$C44),1,"")</f>
        <v/>
      </c>
      <c r="DA44" s="7" t="str">
        <f>IF(AND(ISNUMBER($C44),ISNUMBER($D44),DA$1&lt;=$D44,DA$1+6&gt;=$C44),1,"")</f>
        <v/>
      </c>
      <c r="DB44" s="7" t="str">
        <f>IF(AND(ISNUMBER($C44),ISNUMBER($D44),DB$1&lt;=$D44,DB$1+6&gt;=$C44),1,"")</f>
        <v/>
      </c>
      <c r="DC44" s="7" t="str">
        <f>IF(AND(ISNUMBER($C44),ISNUMBER($D44),DC$1&lt;=$D44,DC$1+6&gt;=$C44),1,"")</f>
        <v/>
      </c>
      <c r="DD44" s="7" t="str">
        <f>IF(AND(ISNUMBER($C44),ISNUMBER($D44),DD$1&lt;=$D44,DD$1+6&gt;=$C44),1,"")</f>
        <v/>
      </c>
    </row>
    <row r="45" spans="1:108" x14ac:dyDescent="0.35">
      <c r="A45" s="6" t="str">
        <f>Schedule!B45</f>
        <v>Optional alternative cloud depth</v>
      </c>
      <c r="B45" s="6" t="str">
        <f>Schedule!C45</f>
        <v>Core</v>
      </c>
      <c r="C45" s="4" t="str">
        <f>IF(Schedule!P45="","",Schedule!P45)</f>
        <v/>
      </c>
      <c r="D45" s="4" t="str">
        <f>IF(Schedule!Q45="","",Schedule!Q45)</f>
        <v/>
      </c>
      <c r="E45" s="7" t="str">
        <f>IF(AND(ISNUMBER($C45),ISNUMBER($D45),E$1&lt;=$D45,E$1+6&gt;=$C45),1,"")</f>
        <v/>
      </c>
      <c r="F45" s="7" t="str">
        <f>IF(AND(ISNUMBER($C45),ISNUMBER($D45),F$1&lt;=$D45,F$1+6&gt;=$C45),1,"")</f>
        <v/>
      </c>
      <c r="G45" s="7" t="str">
        <f>IF(AND(ISNUMBER($C45),ISNUMBER($D45),G$1&lt;=$D45,G$1+6&gt;=$C45),1,"")</f>
        <v/>
      </c>
      <c r="H45" s="7" t="str">
        <f>IF(AND(ISNUMBER($C45),ISNUMBER($D45),H$1&lt;=$D45,H$1+6&gt;=$C45),1,"")</f>
        <v/>
      </c>
      <c r="I45" s="7" t="str">
        <f>IF(AND(ISNUMBER($C45),ISNUMBER($D45),I$1&lt;=$D45,I$1+6&gt;=$C45),1,"")</f>
        <v/>
      </c>
      <c r="J45" s="7" t="str">
        <f>IF(AND(ISNUMBER($C45),ISNUMBER($D45),J$1&lt;=$D45,J$1+6&gt;=$C45),1,"")</f>
        <v/>
      </c>
      <c r="K45" s="7" t="str">
        <f>IF(AND(ISNUMBER($C45),ISNUMBER($D45),K$1&lt;=$D45,K$1+6&gt;=$C45),1,"")</f>
        <v/>
      </c>
      <c r="L45" s="7" t="str">
        <f>IF(AND(ISNUMBER($C45),ISNUMBER($D45),L$1&lt;=$D45,L$1+6&gt;=$C45),1,"")</f>
        <v/>
      </c>
      <c r="M45" s="7" t="str">
        <f>IF(AND(ISNUMBER($C45),ISNUMBER($D45),M$1&lt;=$D45,M$1+6&gt;=$C45),1,"")</f>
        <v/>
      </c>
      <c r="N45" s="7" t="str">
        <f>IF(AND(ISNUMBER($C45),ISNUMBER($D45),N$1&lt;=$D45,N$1+6&gt;=$C45),1,"")</f>
        <v/>
      </c>
      <c r="O45" s="7" t="str">
        <f>IF(AND(ISNUMBER($C45),ISNUMBER($D45),O$1&lt;=$D45,O$1+6&gt;=$C45),1,"")</f>
        <v/>
      </c>
      <c r="P45" s="7" t="str">
        <f>IF(AND(ISNUMBER($C45),ISNUMBER($D45),P$1&lt;=$D45,P$1+6&gt;=$C45),1,"")</f>
        <v/>
      </c>
      <c r="Q45" s="7" t="str">
        <f>IF(AND(ISNUMBER($C45),ISNUMBER($D45),Q$1&lt;=$D45,Q$1+6&gt;=$C45),1,"")</f>
        <v/>
      </c>
      <c r="R45" s="7" t="str">
        <f>IF(AND(ISNUMBER($C45),ISNUMBER($D45),R$1&lt;=$D45,R$1+6&gt;=$C45),1,"")</f>
        <v/>
      </c>
      <c r="S45" s="7" t="str">
        <f>IF(AND(ISNUMBER($C45),ISNUMBER($D45),S$1&lt;=$D45,S$1+6&gt;=$C45),1,"")</f>
        <v/>
      </c>
      <c r="T45" s="7" t="str">
        <f>IF(AND(ISNUMBER($C45),ISNUMBER($D45),T$1&lt;=$D45,T$1+6&gt;=$C45),1,"")</f>
        <v/>
      </c>
      <c r="U45" s="7" t="str">
        <f>IF(AND(ISNUMBER($C45),ISNUMBER($D45),U$1&lt;=$D45,U$1+6&gt;=$C45),1,"")</f>
        <v/>
      </c>
      <c r="V45" s="7" t="str">
        <f>IF(AND(ISNUMBER($C45),ISNUMBER($D45),V$1&lt;=$D45,V$1+6&gt;=$C45),1,"")</f>
        <v/>
      </c>
      <c r="W45" s="7" t="str">
        <f>IF(AND(ISNUMBER($C45),ISNUMBER($D45),W$1&lt;=$D45,W$1+6&gt;=$C45),1,"")</f>
        <v/>
      </c>
      <c r="X45" s="7" t="str">
        <f>IF(AND(ISNUMBER($C45),ISNUMBER($D45),X$1&lt;=$D45,X$1+6&gt;=$C45),1,"")</f>
        <v/>
      </c>
      <c r="Y45" s="7" t="str">
        <f>IF(AND(ISNUMBER($C45),ISNUMBER($D45),Y$1&lt;=$D45,Y$1+6&gt;=$C45),1,"")</f>
        <v/>
      </c>
      <c r="Z45" s="7" t="str">
        <f>IF(AND(ISNUMBER($C45),ISNUMBER($D45),Z$1&lt;=$D45,Z$1+6&gt;=$C45),1,"")</f>
        <v/>
      </c>
      <c r="AA45" s="7" t="str">
        <f>IF(AND(ISNUMBER($C45),ISNUMBER($D45),AA$1&lt;=$D45,AA$1+6&gt;=$C45),1,"")</f>
        <v/>
      </c>
      <c r="AB45" s="7" t="str">
        <f>IF(AND(ISNUMBER($C45),ISNUMBER($D45),AB$1&lt;=$D45,AB$1+6&gt;=$C45),1,"")</f>
        <v/>
      </c>
      <c r="AC45" s="7" t="str">
        <f>IF(AND(ISNUMBER($C45),ISNUMBER($D45),AC$1&lt;=$D45,AC$1+6&gt;=$C45),1,"")</f>
        <v/>
      </c>
      <c r="AD45" s="7" t="str">
        <f>IF(AND(ISNUMBER($C45),ISNUMBER($D45),AD$1&lt;=$D45,AD$1+6&gt;=$C45),1,"")</f>
        <v/>
      </c>
      <c r="AE45" s="7" t="str">
        <f>IF(AND(ISNUMBER($C45),ISNUMBER($D45),AE$1&lt;=$D45,AE$1+6&gt;=$C45),1,"")</f>
        <v/>
      </c>
      <c r="AF45" s="7" t="str">
        <f>IF(AND(ISNUMBER($C45),ISNUMBER($D45),AF$1&lt;=$D45,AF$1+6&gt;=$C45),1,"")</f>
        <v/>
      </c>
      <c r="AG45" s="7" t="str">
        <f>IF(AND(ISNUMBER($C45),ISNUMBER($D45),AG$1&lt;=$D45,AG$1+6&gt;=$C45),1,"")</f>
        <v/>
      </c>
      <c r="AH45" s="7" t="str">
        <f>IF(AND(ISNUMBER($C45),ISNUMBER($D45),AH$1&lt;=$D45,AH$1+6&gt;=$C45),1,"")</f>
        <v/>
      </c>
      <c r="AI45" s="7" t="str">
        <f>IF(AND(ISNUMBER($C45),ISNUMBER($D45),AI$1&lt;=$D45,AI$1+6&gt;=$C45),1,"")</f>
        <v/>
      </c>
      <c r="AJ45" s="7" t="str">
        <f>IF(AND(ISNUMBER($C45),ISNUMBER($D45),AJ$1&lt;=$D45,AJ$1+6&gt;=$C45),1,"")</f>
        <v/>
      </c>
      <c r="AK45" s="7" t="str">
        <f>IF(AND(ISNUMBER($C45),ISNUMBER($D45),AK$1&lt;=$D45,AK$1+6&gt;=$C45),1,"")</f>
        <v/>
      </c>
      <c r="AL45" s="7" t="str">
        <f>IF(AND(ISNUMBER($C45),ISNUMBER($D45),AL$1&lt;=$D45,AL$1+6&gt;=$C45),1,"")</f>
        <v/>
      </c>
      <c r="AM45" s="7" t="str">
        <f>IF(AND(ISNUMBER($C45),ISNUMBER($D45),AM$1&lt;=$D45,AM$1+6&gt;=$C45),1,"")</f>
        <v/>
      </c>
      <c r="AN45" s="7" t="str">
        <f>IF(AND(ISNUMBER($C45),ISNUMBER($D45),AN$1&lt;=$D45,AN$1+6&gt;=$C45),1,"")</f>
        <v/>
      </c>
      <c r="AO45" s="7" t="str">
        <f>IF(AND(ISNUMBER($C45),ISNUMBER($D45),AO$1&lt;=$D45,AO$1+6&gt;=$C45),1,"")</f>
        <v/>
      </c>
      <c r="AP45" s="7" t="str">
        <f>IF(AND(ISNUMBER($C45),ISNUMBER($D45),AP$1&lt;=$D45,AP$1+6&gt;=$C45),1,"")</f>
        <v/>
      </c>
      <c r="AQ45" s="7" t="str">
        <f>IF(AND(ISNUMBER($C45),ISNUMBER($D45),AQ$1&lt;=$D45,AQ$1+6&gt;=$C45),1,"")</f>
        <v/>
      </c>
      <c r="AR45" s="7" t="str">
        <f>IF(AND(ISNUMBER($C45),ISNUMBER($D45),AR$1&lt;=$D45,AR$1+6&gt;=$C45),1,"")</f>
        <v/>
      </c>
      <c r="AS45" s="7" t="str">
        <f>IF(AND(ISNUMBER($C45),ISNUMBER($D45),AS$1&lt;=$D45,AS$1+6&gt;=$C45),1,"")</f>
        <v/>
      </c>
      <c r="AT45" s="7" t="str">
        <f>IF(AND(ISNUMBER($C45),ISNUMBER($D45),AT$1&lt;=$D45,AT$1+6&gt;=$C45),1,"")</f>
        <v/>
      </c>
      <c r="AU45" s="7" t="str">
        <f>IF(AND(ISNUMBER($C45),ISNUMBER($D45),AU$1&lt;=$D45,AU$1+6&gt;=$C45),1,"")</f>
        <v/>
      </c>
      <c r="AV45" s="7" t="str">
        <f>IF(AND(ISNUMBER($C45),ISNUMBER($D45),AV$1&lt;=$D45,AV$1+6&gt;=$C45),1,"")</f>
        <v/>
      </c>
      <c r="AW45" s="7" t="str">
        <f>IF(AND(ISNUMBER($C45),ISNUMBER($D45),AW$1&lt;=$D45,AW$1+6&gt;=$C45),1,"")</f>
        <v/>
      </c>
      <c r="AX45" s="7" t="str">
        <f>IF(AND(ISNUMBER($C45),ISNUMBER($D45),AX$1&lt;=$D45,AX$1+6&gt;=$C45),1,"")</f>
        <v/>
      </c>
      <c r="AY45" s="7" t="str">
        <f>IF(AND(ISNUMBER($C45),ISNUMBER($D45),AY$1&lt;=$D45,AY$1+6&gt;=$C45),1,"")</f>
        <v/>
      </c>
      <c r="AZ45" s="7" t="str">
        <f>IF(AND(ISNUMBER($C45),ISNUMBER($D45),AZ$1&lt;=$D45,AZ$1+6&gt;=$C45),1,"")</f>
        <v/>
      </c>
      <c r="BA45" s="7" t="str">
        <f>IF(AND(ISNUMBER($C45),ISNUMBER($D45),BA$1&lt;=$D45,BA$1+6&gt;=$C45),1,"")</f>
        <v/>
      </c>
      <c r="BB45" s="7" t="str">
        <f>IF(AND(ISNUMBER($C45),ISNUMBER($D45),BB$1&lt;=$D45,BB$1+6&gt;=$C45),1,"")</f>
        <v/>
      </c>
      <c r="BC45" s="7" t="str">
        <f>IF(AND(ISNUMBER($C45),ISNUMBER($D45),BC$1&lt;=$D45,BC$1+6&gt;=$C45),1,"")</f>
        <v/>
      </c>
      <c r="BD45" s="7" t="str">
        <f>IF(AND(ISNUMBER($C45),ISNUMBER($D45),BD$1&lt;=$D45,BD$1+6&gt;=$C45),1,"")</f>
        <v/>
      </c>
      <c r="BE45" s="7" t="str">
        <f>IF(AND(ISNUMBER($C45),ISNUMBER($D45),BE$1&lt;=$D45,BE$1+6&gt;=$C45),1,"")</f>
        <v/>
      </c>
      <c r="BF45" s="7" t="str">
        <f>IF(AND(ISNUMBER($C45),ISNUMBER($D45),BF$1&lt;=$D45,BF$1+6&gt;=$C45),1,"")</f>
        <v/>
      </c>
      <c r="BG45" s="7" t="str">
        <f>IF(AND(ISNUMBER($C45),ISNUMBER($D45),BG$1&lt;=$D45,BG$1+6&gt;=$C45),1,"")</f>
        <v/>
      </c>
      <c r="BH45" s="7" t="str">
        <f>IF(AND(ISNUMBER($C45),ISNUMBER($D45),BH$1&lt;=$D45,BH$1+6&gt;=$C45),1,"")</f>
        <v/>
      </c>
      <c r="BI45" s="7" t="str">
        <f>IF(AND(ISNUMBER($C45),ISNUMBER($D45),BI$1&lt;=$D45,BI$1+6&gt;=$C45),1,"")</f>
        <v/>
      </c>
      <c r="BJ45" s="7" t="str">
        <f>IF(AND(ISNUMBER($C45),ISNUMBER($D45),BJ$1&lt;=$D45,BJ$1+6&gt;=$C45),1,"")</f>
        <v/>
      </c>
      <c r="BK45" s="7" t="str">
        <f>IF(AND(ISNUMBER($C45),ISNUMBER($D45),BK$1&lt;=$D45,BK$1+6&gt;=$C45),1,"")</f>
        <v/>
      </c>
      <c r="BL45" s="7" t="str">
        <f>IF(AND(ISNUMBER($C45),ISNUMBER($D45),BL$1&lt;=$D45,BL$1+6&gt;=$C45),1,"")</f>
        <v/>
      </c>
      <c r="BM45" s="7" t="str">
        <f>IF(AND(ISNUMBER($C45),ISNUMBER($D45),BM$1&lt;=$D45,BM$1+6&gt;=$C45),1,"")</f>
        <v/>
      </c>
      <c r="BN45" s="7" t="str">
        <f>IF(AND(ISNUMBER($C45),ISNUMBER($D45),BN$1&lt;=$D45,BN$1+6&gt;=$C45),1,"")</f>
        <v/>
      </c>
      <c r="BO45" s="7" t="str">
        <f>IF(AND(ISNUMBER($C45),ISNUMBER($D45),BO$1&lt;=$D45,BO$1+6&gt;=$C45),1,"")</f>
        <v/>
      </c>
      <c r="BP45" s="7" t="str">
        <f>IF(AND(ISNUMBER($C45),ISNUMBER($D45),BP$1&lt;=$D45,BP$1+6&gt;=$C45),1,"")</f>
        <v/>
      </c>
      <c r="BQ45" s="7" t="str">
        <f>IF(AND(ISNUMBER($C45),ISNUMBER($D45),BQ$1&lt;=$D45,BQ$1+6&gt;=$C45),1,"")</f>
        <v/>
      </c>
      <c r="BR45" s="7" t="str">
        <f>IF(AND(ISNUMBER($C45),ISNUMBER($D45),BR$1&lt;=$D45,BR$1+6&gt;=$C45),1,"")</f>
        <v/>
      </c>
      <c r="BS45" s="7" t="str">
        <f>IF(AND(ISNUMBER($C45),ISNUMBER($D45),BS$1&lt;=$D45,BS$1+6&gt;=$C45),1,"")</f>
        <v/>
      </c>
      <c r="BT45" s="7" t="str">
        <f>IF(AND(ISNUMBER($C45),ISNUMBER($D45),BT$1&lt;=$D45,BT$1+6&gt;=$C45),1,"")</f>
        <v/>
      </c>
      <c r="BU45" s="7" t="str">
        <f>IF(AND(ISNUMBER($C45),ISNUMBER($D45),BU$1&lt;=$D45,BU$1+6&gt;=$C45),1,"")</f>
        <v/>
      </c>
      <c r="BV45" s="7" t="str">
        <f>IF(AND(ISNUMBER($C45),ISNUMBER($D45),BV$1&lt;=$D45,BV$1+6&gt;=$C45),1,"")</f>
        <v/>
      </c>
      <c r="BW45" s="7" t="str">
        <f>IF(AND(ISNUMBER($C45),ISNUMBER($D45),BW$1&lt;=$D45,BW$1+6&gt;=$C45),1,"")</f>
        <v/>
      </c>
      <c r="BX45" s="7" t="str">
        <f>IF(AND(ISNUMBER($C45),ISNUMBER($D45),BX$1&lt;=$D45,BX$1+6&gt;=$C45),1,"")</f>
        <v/>
      </c>
      <c r="BY45" s="7" t="str">
        <f>IF(AND(ISNUMBER($C45),ISNUMBER($D45),BY$1&lt;=$D45,BY$1+6&gt;=$C45),1,"")</f>
        <v/>
      </c>
      <c r="BZ45" s="7" t="str">
        <f>IF(AND(ISNUMBER($C45),ISNUMBER($D45),BZ$1&lt;=$D45,BZ$1+6&gt;=$C45),1,"")</f>
        <v/>
      </c>
      <c r="CA45" s="7" t="str">
        <f>IF(AND(ISNUMBER($C45),ISNUMBER($D45),CA$1&lt;=$D45,CA$1+6&gt;=$C45),1,"")</f>
        <v/>
      </c>
      <c r="CB45" s="7" t="str">
        <f>IF(AND(ISNUMBER($C45),ISNUMBER($D45),CB$1&lt;=$D45,CB$1+6&gt;=$C45),1,"")</f>
        <v/>
      </c>
      <c r="CC45" s="7" t="str">
        <f>IF(AND(ISNUMBER($C45),ISNUMBER($D45),CC$1&lt;=$D45,CC$1+6&gt;=$C45),1,"")</f>
        <v/>
      </c>
      <c r="CD45" s="7" t="str">
        <f>IF(AND(ISNUMBER($C45),ISNUMBER($D45),CD$1&lt;=$D45,CD$1+6&gt;=$C45),1,"")</f>
        <v/>
      </c>
      <c r="CE45" s="7" t="str">
        <f>IF(AND(ISNUMBER($C45),ISNUMBER($D45),CE$1&lt;=$D45,CE$1+6&gt;=$C45),1,"")</f>
        <v/>
      </c>
      <c r="CF45" s="7" t="str">
        <f>IF(AND(ISNUMBER($C45),ISNUMBER($D45),CF$1&lt;=$D45,CF$1+6&gt;=$C45),1,"")</f>
        <v/>
      </c>
      <c r="CG45" s="7" t="str">
        <f>IF(AND(ISNUMBER($C45),ISNUMBER($D45),CG$1&lt;=$D45,CG$1+6&gt;=$C45),1,"")</f>
        <v/>
      </c>
      <c r="CH45" s="7" t="str">
        <f>IF(AND(ISNUMBER($C45),ISNUMBER($D45),CH$1&lt;=$D45,CH$1+6&gt;=$C45),1,"")</f>
        <v/>
      </c>
      <c r="CI45" s="7" t="str">
        <f>IF(AND(ISNUMBER($C45),ISNUMBER($D45),CI$1&lt;=$D45,CI$1+6&gt;=$C45),1,"")</f>
        <v/>
      </c>
      <c r="CJ45" s="7" t="str">
        <f>IF(AND(ISNUMBER($C45),ISNUMBER($D45),CJ$1&lt;=$D45,CJ$1+6&gt;=$C45),1,"")</f>
        <v/>
      </c>
      <c r="CK45" s="7" t="str">
        <f>IF(AND(ISNUMBER($C45),ISNUMBER($D45),CK$1&lt;=$D45,CK$1+6&gt;=$C45),1,"")</f>
        <v/>
      </c>
      <c r="CL45" s="7" t="str">
        <f>IF(AND(ISNUMBER($C45),ISNUMBER($D45),CL$1&lt;=$D45,CL$1+6&gt;=$C45),1,"")</f>
        <v/>
      </c>
      <c r="CM45" s="7" t="str">
        <f>IF(AND(ISNUMBER($C45),ISNUMBER($D45),CM$1&lt;=$D45,CM$1+6&gt;=$C45),1,"")</f>
        <v/>
      </c>
      <c r="CN45" s="7" t="str">
        <f>IF(AND(ISNUMBER($C45),ISNUMBER($D45),CN$1&lt;=$D45,CN$1+6&gt;=$C45),1,"")</f>
        <v/>
      </c>
      <c r="CO45" s="7" t="str">
        <f>IF(AND(ISNUMBER($C45),ISNUMBER($D45),CO$1&lt;=$D45,CO$1+6&gt;=$C45),1,"")</f>
        <v/>
      </c>
      <c r="CP45" s="7" t="str">
        <f>IF(AND(ISNUMBER($C45),ISNUMBER($D45),CP$1&lt;=$D45,CP$1+6&gt;=$C45),1,"")</f>
        <v/>
      </c>
      <c r="CQ45" s="7" t="str">
        <f>IF(AND(ISNUMBER($C45),ISNUMBER($D45),CQ$1&lt;=$D45,CQ$1+6&gt;=$C45),1,"")</f>
        <v/>
      </c>
      <c r="CR45" s="7" t="str">
        <f>IF(AND(ISNUMBER($C45),ISNUMBER($D45),CR$1&lt;=$D45,CR$1+6&gt;=$C45),1,"")</f>
        <v/>
      </c>
      <c r="CS45" s="7" t="str">
        <f>IF(AND(ISNUMBER($C45),ISNUMBER($D45),CS$1&lt;=$D45,CS$1+6&gt;=$C45),1,"")</f>
        <v/>
      </c>
      <c r="CT45" s="7" t="str">
        <f>IF(AND(ISNUMBER($C45),ISNUMBER($D45),CT$1&lt;=$D45,CT$1+6&gt;=$C45),1,"")</f>
        <v/>
      </c>
      <c r="CU45" s="7" t="str">
        <f>IF(AND(ISNUMBER($C45),ISNUMBER($D45),CU$1&lt;=$D45,CU$1+6&gt;=$C45),1,"")</f>
        <v/>
      </c>
      <c r="CV45" s="7" t="str">
        <f>IF(AND(ISNUMBER($C45),ISNUMBER($D45),CV$1&lt;=$D45,CV$1+6&gt;=$C45),1,"")</f>
        <v/>
      </c>
      <c r="CW45" s="7" t="str">
        <f>IF(AND(ISNUMBER($C45),ISNUMBER($D45),CW$1&lt;=$D45,CW$1+6&gt;=$C45),1,"")</f>
        <v/>
      </c>
      <c r="CX45" s="7" t="str">
        <f>IF(AND(ISNUMBER($C45),ISNUMBER($D45),CX$1&lt;=$D45,CX$1+6&gt;=$C45),1,"")</f>
        <v/>
      </c>
      <c r="CY45" s="7" t="str">
        <f>IF(AND(ISNUMBER($C45),ISNUMBER($D45),CY$1&lt;=$D45,CY$1+6&gt;=$C45),1,"")</f>
        <v/>
      </c>
      <c r="CZ45" s="7" t="str">
        <f>IF(AND(ISNUMBER($C45),ISNUMBER($D45),CZ$1&lt;=$D45,CZ$1+6&gt;=$C45),1,"")</f>
        <v/>
      </c>
      <c r="DA45" s="7" t="str">
        <f>IF(AND(ISNUMBER($C45),ISNUMBER($D45),DA$1&lt;=$D45,DA$1+6&gt;=$C45),1,"")</f>
        <v/>
      </c>
      <c r="DB45" s="7" t="str">
        <f>IF(AND(ISNUMBER($C45),ISNUMBER($D45),DB$1&lt;=$D45,DB$1+6&gt;=$C45),1,"")</f>
        <v/>
      </c>
      <c r="DC45" s="7" t="str">
        <f>IF(AND(ISNUMBER($C45),ISNUMBER($D45),DC$1&lt;=$D45,DC$1+6&gt;=$C45),1,"")</f>
        <v/>
      </c>
      <c r="DD45" s="7" t="str">
        <f>IF(AND(ISNUMBER($C45),ISNUMBER($D45),DD$1&lt;=$D45,DD$1+6&gt;=$C45),1,"")</f>
        <v/>
      </c>
    </row>
    <row r="46" spans="1:108" x14ac:dyDescent="0.35">
      <c r="A46" s="6" t="str">
        <f>Schedule!B46</f>
        <v>Optional distributed processing and orchestration</v>
      </c>
      <c r="B46" s="6" t="str">
        <f>Schedule!C46</f>
        <v>Core</v>
      </c>
      <c r="C46" s="4" t="str">
        <f>IF(Schedule!P46="","",Schedule!P46)</f>
        <v/>
      </c>
      <c r="D46" s="4" t="str">
        <f>IF(Schedule!Q46="","",Schedule!Q46)</f>
        <v/>
      </c>
      <c r="E46" s="7" t="str">
        <f>IF(AND(ISNUMBER($C46),ISNUMBER($D46),E$1&lt;=$D46,E$1+6&gt;=$C46),1,"")</f>
        <v/>
      </c>
      <c r="F46" s="7" t="str">
        <f>IF(AND(ISNUMBER($C46),ISNUMBER($D46),F$1&lt;=$D46,F$1+6&gt;=$C46),1,"")</f>
        <v/>
      </c>
      <c r="G46" s="7" t="str">
        <f>IF(AND(ISNUMBER($C46),ISNUMBER($D46),G$1&lt;=$D46,G$1+6&gt;=$C46),1,"")</f>
        <v/>
      </c>
      <c r="H46" s="7" t="str">
        <f>IF(AND(ISNUMBER($C46),ISNUMBER($D46),H$1&lt;=$D46,H$1+6&gt;=$C46),1,"")</f>
        <v/>
      </c>
      <c r="I46" s="7" t="str">
        <f>IF(AND(ISNUMBER($C46),ISNUMBER($D46),I$1&lt;=$D46,I$1+6&gt;=$C46),1,"")</f>
        <v/>
      </c>
      <c r="J46" s="7" t="str">
        <f>IF(AND(ISNUMBER($C46),ISNUMBER($D46),J$1&lt;=$D46,J$1+6&gt;=$C46),1,"")</f>
        <v/>
      </c>
      <c r="K46" s="7" t="str">
        <f>IF(AND(ISNUMBER($C46),ISNUMBER($D46),K$1&lt;=$D46,K$1+6&gt;=$C46),1,"")</f>
        <v/>
      </c>
      <c r="L46" s="7" t="str">
        <f>IF(AND(ISNUMBER($C46),ISNUMBER($D46),L$1&lt;=$D46,L$1+6&gt;=$C46),1,"")</f>
        <v/>
      </c>
      <c r="M46" s="7" t="str">
        <f>IF(AND(ISNUMBER($C46),ISNUMBER($D46),M$1&lt;=$D46,M$1+6&gt;=$C46),1,"")</f>
        <v/>
      </c>
      <c r="N46" s="7" t="str">
        <f>IF(AND(ISNUMBER($C46),ISNUMBER($D46),N$1&lt;=$D46,N$1+6&gt;=$C46),1,"")</f>
        <v/>
      </c>
      <c r="O46" s="7" t="str">
        <f>IF(AND(ISNUMBER($C46),ISNUMBER($D46),O$1&lt;=$D46,O$1+6&gt;=$C46),1,"")</f>
        <v/>
      </c>
      <c r="P46" s="7" t="str">
        <f>IF(AND(ISNUMBER($C46),ISNUMBER($D46),P$1&lt;=$D46,P$1+6&gt;=$C46),1,"")</f>
        <v/>
      </c>
      <c r="Q46" s="7" t="str">
        <f>IF(AND(ISNUMBER($C46),ISNUMBER($D46),Q$1&lt;=$D46,Q$1+6&gt;=$C46),1,"")</f>
        <v/>
      </c>
      <c r="R46" s="7" t="str">
        <f>IF(AND(ISNUMBER($C46),ISNUMBER($D46),R$1&lt;=$D46,R$1+6&gt;=$C46),1,"")</f>
        <v/>
      </c>
      <c r="S46" s="7" t="str">
        <f>IF(AND(ISNUMBER($C46),ISNUMBER($D46),S$1&lt;=$D46,S$1+6&gt;=$C46),1,"")</f>
        <v/>
      </c>
      <c r="T46" s="7" t="str">
        <f>IF(AND(ISNUMBER($C46),ISNUMBER($D46),T$1&lt;=$D46,T$1+6&gt;=$C46),1,"")</f>
        <v/>
      </c>
      <c r="U46" s="7" t="str">
        <f>IF(AND(ISNUMBER($C46),ISNUMBER($D46),U$1&lt;=$D46,U$1+6&gt;=$C46),1,"")</f>
        <v/>
      </c>
      <c r="V46" s="7" t="str">
        <f>IF(AND(ISNUMBER($C46),ISNUMBER($D46),V$1&lt;=$D46,V$1+6&gt;=$C46),1,"")</f>
        <v/>
      </c>
      <c r="W46" s="7" t="str">
        <f>IF(AND(ISNUMBER($C46),ISNUMBER($D46),W$1&lt;=$D46,W$1+6&gt;=$C46),1,"")</f>
        <v/>
      </c>
      <c r="X46" s="7" t="str">
        <f>IF(AND(ISNUMBER($C46),ISNUMBER($D46),X$1&lt;=$D46,X$1+6&gt;=$C46),1,"")</f>
        <v/>
      </c>
      <c r="Y46" s="7" t="str">
        <f>IF(AND(ISNUMBER($C46),ISNUMBER($D46),Y$1&lt;=$D46,Y$1+6&gt;=$C46),1,"")</f>
        <v/>
      </c>
      <c r="Z46" s="7" t="str">
        <f>IF(AND(ISNUMBER($C46),ISNUMBER($D46),Z$1&lt;=$D46,Z$1+6&gt;=$C46),1,"")</f>
        <v/>
      </c>
      <c r="AA46" s="7" t="str">
        <f>IF(AND(ISNUMBER($C46),ISNUMBER($D46),AA$1&lt;=$D46,AA$1+6&gt;=$C46),1,"")</f>
        <v/>
      </c>
      <c r="AB46" s="7" t="str">
        <f>IF(AND(ISNUMBER($C46),ISNUMBER($D46),AB$1&lt;=$D46,AB$1+6&gt;=$C46),1,"")</f>
        <v/>
      </c>
      <c r="AC46" s="7" t="str">
        <f>IF(AND(ISNUMBER($C46),ISNUMBER($D46),AC$1&lt;=$D46,AC$1+6&gt;=$C46),1,"")</f>
        <v/>
      </c>
      <c r="AD46" s="7" t="str">
        <f>IF(AND(ISNUMBER($C46),ISNUMBER($D46),AD$1&lt;=$D46,AD$1+6&gt;=$C46),1,"")</f>
        <v/>
      </c>
      <c r="AE46" s="7" t="str">
        <f>IF(AND(ISNUMBER($C46),ISNUMBER($D46),AE$1&lt;=$D46,AE$1+6&gt;=$C46),1,"")</f>
        <v/>
      </c>
      <c r="AF46" s="7" t="str">
        <f>IF(AND(ISNUMBER($C46),ISNUMBER($D46),AF$1&lt;=$D46,AF$1+6&gt;=$C46),1,"")</f>
        <v/>
      </c>
      <c r="AG46" s="7" t="str">
        <f>IF(AND(ISNUMBER($C46),ISNUMBER($D46),AG$1&lt;=$D46,AG$1+6&gt;=$C46),1,"")</f>
        <v/>
      </c>
      <c r="AH46" s="7" t="str">
        <f>IF(AND(ISNUMBER($C46),ISNUMBER($D46),AH$1&lt;=$D46,AH$1+6&gt;=$C46),1,"")</f>
        <v/>
      </c>
      <c r="AI46" s="7" t="str">
        <f>IF(AND(ISNUMBER($C46),ISNUMBER($D46),AI$1&lt;=$D46,AI$1+6&gt;=$C46),1,"")</f>
        <v/>
      </c>
      <c r="AJ46" s="7" t="str">
        <f>IF(AND(ISNUMBER($C46),ISNUMBER($D46),AJ$1&lt;=$D46,AJ$1+6&gt;=$C46),1,"")</f>
        <v/>
      </c>
      <c r="AK46" s="7" t="str">
        <f>IF(AND(ISNUMBER($C46),ISNUMBER($D46),AK$1&lt;=$D46,AK$1+6&gt;=$C46),1,"")</f>
        <v/>
      </c>
      <c r="AL46" s="7" t="str">
        <f>IF(AND(ISNUMBER($C46),ISNUMBER($D46),AL$1&lt;=$D46,AL$1+6&gt;=$C46),1,"")</f>
        <v/>
      </c>
      <c r="AM46" s="7" t="str">
        <f>IF(AND(ISNUMBER($C46),ISNUMBER($D46),AM$1&lt;=$D46,AM$1+6&gt;=$C46),1,"")</f>
        <v/>
      </c>
      <c r="AN46" s="7" t="str">
        <f>IF(AND(ISNUMBER($C46),ISNUMBER($D46),AN$1&lt;=$D46,AN$1+6&gt;=$C46),1,"")</f>
        <v/>
      </c>
      <c r="AO46" s="7" t="str">
        <f>IF(AND(ISNUMBER($C46),ISNUMBER($D46),AO$1&lt;=$D46,AO$1+6&gt;=$C46),1,"")</f>
        <v/>
      </c>
      <c r="AP46" s="7" t="str">
        <f>IF(AND(ISNUMBER($C46),ISNUMBER($D46),AP$1&lt;=$D46,AP$1+6&gt;=$C46),1,"")</f>
        <v/>
      </c>
      <c r="AQ46" s="7" t="str">
        <f>IF(AND(ISNUMBER($C46),ISNUMBER($D46),AQ$1&lt;=$D46,AQ$1+6&gt;=$C46),1,"")</f>
        <v/>
      </c>
      <c r="AR46" s="7" t="str">
        <f>IF(AND(ISNUMBER($C46),ISNUMBER($D46),AR$1&lt;=$D46,AR$1+6&gt;=$C46),1,"")</f>
        <v/>
      </c>
      <c r="AS46" s="7" t="str">
        <f>IF(AND(ISNUMBER($C46),ISNUMBER($D46),AS$1&lt;=$D46,AS$1+6&gt;=$C46),1,"")</f>
        <v/>
      </c>
      <c r="AT46" s="7" t="str">
        <f>IF(AND(ISNUMBER($C46),ISNUMBER($D46),AT$1&lt;=$D46,AT$1+6&gt;=$C46),1,"")</f>
        <v/>
      </c>
      <c r="AU46" s="7" t="str">
        <f>IF(AND(ISNUMBER($C46),ISNUMBER($D46),AU$1&lt;=$D46,AU$1+6&gt;=$C46),1,"")</f>
        <v/>
      </c>
      <c r="AV46" s="7" t="str">
        <f>IF(AND(ISNUMBER($C46),ISNUMBER($D46),AV$1&lt;=$D46,AV$1+6&gt;=$C46),1,"")</f>
        <v/>
      </c>
      <c r="AW46" s="7" t="str">
        <f>IF(AND(ISNUMBER($C46),ISNUMBER($D46),AW$1&lt;=$D46,AW$1+6&gt;=$C46),1,"")</f>
        <v/>
      </c>
      <c r="AX46" s="7" t="str">
        <f>IF(AND(ISNUMBER($C46),ISNUMBER($D46),AX$1&lt;=$D46,AX$1+6&gt;=$C46),1,"")</f>
        <v/>
      </c>
      <c r="AY46" s="7" t="str">
        <f>IF(AND(ISNUMBER($C46),ISNUMBER($D46),AY$1&lt;=$D46,AY$1+6&gt;=$C46),1,"")</f>
        <v/>
      </c>
      <c r="AZ46" s="7" t="str">
        <f>IF(AND(ISNUMBER($C46),ISNUMBER($D46),AZ$1&lt;=$D46,AZ$1+6&gt;=$C46),1,"")</f>
        <v/>
      </c>
      <c r="BA46" s="7" t="str">
        <f>IF(AND(ISNUMBER($C46),ISNUMBER($D46),BA$1&lt;=$D46,BA$1+6&gt;=$C46),1,"")</f>
        <v/>
      </c>
      <c r="BB46" s="7" t="str">
        <f>IF(AND(ISNUMBER($C46),ISNUMBER($D46),BB$1&lt;=$D46,BB$1+6&gt;=$C46),1,"")</f>
        <v/>
      </c>
      <c r="BC46" s="7" t="str">
        <f>IF(AND(ISNUMBER($C46),ISNUMBER($D46),BC$1&lt;=$D46,BC$1+6&gt;=$C46),1,"")</f>
        <v/>
      </c>
      <c r="BD46" s="7" t="str">
        <f>IF(AND(ISNUMBER($C46),ISNUMBER($D46),BD$1&lt;=$D46,BD$1+6&gt;=$C46),1,"")</f>
        <v/>
      </c>
      <c r="BE46" s="7" t="str">
        <f>IF(AND(ISNUMBER($C46),ISNUMBER($D46),BE$1&lt;=$D46,BE$1+6&gt;=$C46),1,"")</f>
        <v/>
      </c>
      <c r="BF46" s="7" t="str">
        <f>IF(AND(ISNUMBER($C46),ISNUMBER($D46),BF$1&lt;=$D46,BF$1+6&gt;=$C46),1,"")</f>
        <v/>
      </c>
      <c r="BG46" s="7" t="str">
        <f>IF(AND(ISNUMBER($C46),ISNUMBER($D46),BG$1&lt;=$D46,BG$1+6&gt;=$C46),1,"")</f>
        <v/>
      </c>
      <c r="BH46" s="7" t="str">
        <f>IF(AND(ISNUMBER($C46),ISNUMBER($D46),BH$1&lt;=$D46,BH$1+6&gt;=$C46),1,"")</f>
        <v/>
      </c>
      <c r="BI46" s="7" t="str">
        <f>IF(AND(ISNUMBER($C46),ISNUMBER($D46),BI$1&lt;=$D46,BI$1+6&gt;=$C46),1,"")</f>
        <v/>
      </c>
      <c r="BJ46" s="7" t="str">
        <f>IF(AND(ISNUMBER($C46),ISNUMBER($D46),BJ$1&lt;=$D46,BJ$1+6&gt;=$C46),1,"")</f>
        <v/>
      </c>
      <c r="BK46" s="7" t="str">
        <f>IF(AND(ISNUMBER($C46),ISNUMBER($D46),BK$1&lt;=$D46,BK$1+6&gt;=$C46),1,"")</f>
        <v/>
      </c>
      <c r="BL46" s="7" t="str">
        <f>IF(AND(ISNUMBER($C46),ISNUMBER($D46),BL$1&lt;=$D46,BL$1+6&gt;=$C46),1,"")</f>
        <v/>
      </c>
      <c r="BM46" s="7" t="str">
        <f>IF(AND(ISNUMBER($C46),ISNUMBER($D46),BM$1&lt;=$D46,BM$1+6&gt;=$C46),1,"")</f>
        <v/>
      </c>
      <c r="BN46" s="7" t="str">
        <f>IF(AND(ISNUMBER($C46),ISNUMBER($D46),BN$1&lt;=$D46,BN$1+6&gt;=$C46),1,"")</f>
        <v/>
      </c>
      <c r="BO46" s="7" t="str">
        <f>IF(AND(ISNUMBER($C46),ISNUMBER($D46),BO$1&lt;=$D46,BO$1+6&gt;=$C46),1,"")</f>
        <v/>
      </c>
      <c r="BP46" s="7" t="str">
        <f>IF(AND(ISNUMBER($C46),ISNUMBER($D46),BP$1&lt;=$D46,BP$1+6&gt;=$C46),1,"")</f>
        <v/>
      </c>
      <c r="BQ46" s="7" t="str">
        <f>IF(AND(ISNUMBER($C46),ISNUMBER($D46),BQ$1&lt;=$D46,BQ$1+6&gt;=$C46),1,"")</f>
        <v/>
      </c>
      <c r="BR46" s="7" t="str">
        <f>IF(AND(ISNUMBER($C46),ISNUMBER($D46),BR$1&lt;=$D46,BR$1+6&gt;=$C46),1,"")</f>
        <v/>
      </c>
      <c r="BS46" s="7" t="str">
        <f>IF(AND(ISNUMBER($C46),ISNUMBER($D46),BS$1&lt;=$D46,BS$1+6&gt;=$C46),1,"")</f>
        <v/>
      </c>
      <c r="BT46" s="7" t="str">
        <f>IF(AND(ISNUMBER($C46),ISNUMBER($D46),BT$1&lt;=$D46,BT$1+6&gt;=$C46),1,"")</f>
        <v/>
      </c>
      <c r="BU46" s="7" t="str">
        <f>IF(AND(ISNUMBER($C46),ISNUMBER($D46),BU$1&lt;=$D46,BU$1+6&gt;=$C46),1,"")</f>
        <v/>
      </c>
      <c r="BV46" s="7" t="str">
        <f>IF(AND(ISNUMBER($C46),ISNUMBER($D46),BV$1&lt;=$D46,BV$1+6&gt;=$C46),1,"")</f>
        <v/>
      </c>
      <c r="BW46" s="7" t="str">
        <f>IF(AND(ISNUMBER($C46),ISNUMBER($D46),BW$1&lt;=$D46,BW$1+6&gt;=$C46),1,"")</f>
        <v/>
      </c>
      <c r="BX46" s="7" t="str">
        <f>IF(AND(ISNUMBER($C46),ISNUMBER($D46),BX$1&lt;=$D46,BX$1+6&gt;=$C46),1,"")</f>
        <v/>
      </c>
      <c r="BY46" s="7" t="str">
        <f>IF(AND(ISNUMBER($C46),ISNUMBER($D46),BY$1&lt;=$D46,BY$1+6&gt;=$C46),1,"")</f>
        <v/>
      </c>
      <c r="BZ46" s="7" t="str">
        <f>IF(AND(ISNUMBER($C46),ISNUMBER($D46),BZ$1&lt;=$D46,BZ$1+6&gt;=$C46),1,"")</f>
        <v/>
      </c>
      <c r="CA46" s="7" t="str">
        <f>IF(AND(ISNUMBER($C46),ISNUMBER($D46),CA$1&lt;=$D46,CA$1+6&gt;=$C46),1,"")</f>
        <v/>
      </c>
      <c r="CB46" s="7" t="str">
        <f>IF(AND(ISNUMBER($C46),ISNUMBER($D46),CB$1&lt;=$D46,CB$1+6&gt;=$C46),1,"")</f>
        <v/>
      </c>
      <c r="CC46" s="7" t="str">
        <f>IF(AND(ISNUMBER($C46),ISNUMBER($D46),CC$1&lt;=$D46,CC$1+6&gt;=$C46),1,"")</f>
        <v/>
      </c>
      <c r="CD46" s="7" t="str">
        <f>IF(AND(ISNUMBER($C46),ISNUMBER($D46),CD$1&lt;=$D46,CD$1+6&gt;=$C46),1,"")</f>
        <v/>
      </c>
      <c r="CE46" s="7" t="str">
        <f>IF(AND(ISNUMBER($C46),ISNUMBER($D46),CE$1&lt;=$D46,CE$1+6&gt;=$C46),1,"")</f>
        <v/>
      </c>
      <c r="CF46" s="7" t="str">
        <f>IF(AND(ISNUMBER($C46),ISNUMBER($D46),CF$1&lt;=$D46,CF$1+6&gt;=$C46),1,"")</f>
        <v/>
      </c>
      <c r="CG46" s="7" t="str">
        <f>IF(AND(ISNUMBER($C46),ISNUMBER($D46),CG$1&lt;=$D46,CG$1+6&gt;=$C46),1,"")</f>
        <v/>
      </c>
      <c r="CH46" s="7" t="str">
        <f>IF(AND(ISNUMBER($C46),ISNUMBER($D46),CH$1&lt;=$D46,CH$1+6&gt;=$C46),1,"")</f>
        <v/>
      </c>
      <c r="CI46" s="7" t="str">
        <f>IF(AND(ISNUMBER($C46),ISNUMBER($D46),CI$1&lt;=$D46,CI$1+6&gt;=$C46),1,"")</f>
        <v/>
      </c>
      <c r="CJ46" s="7" t="str">
        <f>IF(AND(ISNUMBER($C46),ISNUMBER($D46),CJ$1&lt;=$D46,CJ$1+6&gt;=$C46),1,"")</f>
        <v/>
      </c>
      <c r="CK46" s="7" t="str">
        <f>IF(AND(ISNUMBER($C46),ISNUMBER($D46),CK$1&lt;=$D46,CK$1+6&gt;=$C46),1,"")</f>
        <v/>
      </c>
      <c r="CL46" s="7" t="str">
        <f>IF(AND(ISNUMBER($C46),ISNUMBER($D46),CL$1&lt;=$D46,CL$1+6&gt;=$C46),1,"")</f>
        <v/>
      </c>
      <c r="CM46" s="7" t="str">
        <f>IF(AND(ISNUMBER($C46),ISNUMBER($D46),CM$1&lt;=$D46,CM$1+6&gt;=$C46),1,"")</f>
        <v/>
      </c>
      <c r="CN46" s="7" t="str">
        <f>IF(AND(ISNUMBER($C46),ISNUMBER($D46),CN$1&lt;=$D46,CN$1+6&gt;=$C46),1,"")</f>
        <v/>
      </c>
      <c r="CO46" s="7" t="str">
        <f>IF(AND(ISNUMBER($C46),ISNUMBER($D46),CO$1&lt;=$D46,CO$1+6&gt;=$C46),1,"")</f>
        <v/>
      </c>
      <c r="CP46" s="7" t="str">
        <f>IF(AND(ISNUMBER($C46),ISNUMBER($D46),CP$1&lt;=$D46,CP$1+6&gt;=$C46),1,"")</f>
        <v/>
      </c>
      <c r="CQ46" s="7" t="str">
        <f>IF(AND(ISNUMBER($C46),ISNUMBER($D46),CQ$1&lt;=$D46,CQ$1+6&gt;=$C46),1,"")</f>
        <v/>
      </c>
      <c r="CR46" s="7" t="str">
        <f>IF(AND(ISNUMBER($C46),ISNUMBER($D46),CR$1&lt;=$D46,CR$1+6&gt;=$C46),1,"")</f>
        <v/>
      </c>
      <c r="CS46" s="7" t="str">
        <f>IF(AND(ISNUMBER($C46),ISNUMBER($D46),CS$1&lt;=$D46,CS$1+6&gt;=$C46),1,"")</f>
        <v/>
      </c>
      <c r="CT46" s="7" t="str">
        <f>IF(AND(ISNUMBER($C46),ISNUMBER($D46),CT$1&lt;=$D46,CT$1+6&gt;=$C46),1,"")</f>
        <v/>
      </c>
      <c r="CU46" s="7" t="str">
        <f>IF(AND(ISNUMBER($C46),ISNUMBER($D46),CU$1&lt;=$D46,CU$1+6&gt;=$C46),1,"")</f>
        <v/>
      </c>
      <c r="CV46" s="7" t="str">
        <f>IF(AND(ISNUMBER($C46),ISNUMBER($D46),CV$1&lt;=$D46,CV$1+6&gt;=$C46),1,"")</f>
        <v/>
      </c>
      <c r="CW46" s="7" t="str">
        <f>IF(AND(ISNUMBER($C46),ISNUMBER($D46),CW$1&lt;=$D46,CW$1+6&gt;=$C46),1,"")</f>
        <v/>
      </c>
      <c r="CX46" s="7" t="str">
        <f>IF(AND(ISNUMBER($C46),ISNUMBER($D46),CX$1&lt;=$D46,CX$1+6&gt;=$C46),1,"")</f>
        <v/>
      </c>
      <c r="CY46" s="7" t="str">
        <f>IF(AND(ISNUMBER($C46),ISNUMBER($D46),CY$1&lt;=$D46,CY$1+6&gt;=$C46),1,"")</f>
        <v/>
      </c>
      <c r="CZ46" s="7" t="str">
        <f>IF(AND(ISNUMBER($C46),ISNUMBER($D46),CZ$1&lt;=$D46,CZ$1+6&gt;=$C46),1,"")</f>
        <v/>
      </c>
      <c r="DA46" s="7" t="str">
        <f>IF(AND(ISNUMBER($C46),ISNUMBER($D46),DA$1&lt;=$D46,DA$1+6&gt;=$C46),1,"")</f>
        <v/>
      </c>
      <c r="DB46" s="7" t="str">
        <f>IF(AND(ISNUMBER($C46),ISNUMBER($D46),DB$1&lt;=$D46,DB$1+6&gt;=$C46),1,"")</f>
        <v/>
      </c>
      <c r="DC46" s="7" t="str">
        <f>IF(AND(ISNUMBER($C46),ISNUMBER($D46),DC$1&lt;=$D46,DC$1+6&gt;=$C46),1,"")</f>
        <v/>
      </c>
      <c r="DD46" s="7" t="str">
        <f>IF(AND(ISNUMBER($C46),ISNUMBER($D46),DD$1&lt;=$D46,DD$1+6&gt;=$C46),1,"")</f>
        <v/>
      </c>
    </row>
    <row r="47" spans="1:108" x14ac:dyDescent="0.35">
      <c r="A47" s="6" t="str">
        <f>Schedule!B47</f>
        <v>Optional Kubernetes operations</v>
      </c>
      <c r="B47" s="6" t="str">
        <f>Schedule!C47</f>
        <v>Core</v>
      </c>
      <c r="C47" s="4" t="str">
        <f>IF(Schedule!P47="","",Schedule!P47)</f>
        <v/>
      </c>
      <c r="D47" s="4" t="str">
        <f>IF(Schedule!Q47="","",Schedule!Q47)</f>
        <v/>
      </c>
      <c r="E47" s="7" t="str">
        <f>IF(AND(ISNUMBER($C47),ISNUMBER($D47),E$1&lt;=$D47,E$1+6&gt;=$C47),1,"")</f>
        <v/>
      </c>
      <c r="F47" s="7" t="str">
        <f>IF(AND(ISNUMBER($C47),ISNUMBER($D47),F$1&lt;=$D47,F$1+6&gt;=$C47),1,"")</f>
        <v/>
      </c>
      <c r="G47" s="7" t="str">
        <f>IF(AND(ISNUMBER($C47),ISNUMBER($D47),G$1&lt;=$D47,G$1+6&gt;=$C47),1,"")</f>
        <v/>
      </c>
      <c r="H47" s="7" t="str">
        <f>IF(AND(ISNUMBER($C47),ISNUMBER($D47),H$1&lt;=$D47,H$1+6&gt;=$C47),1,"")</f>
        <v/>
      </c>
      <c r="I47" s="7" t="str">
        <f>IF(AND(ISNUMBER($C47),ISNUMBER($D47),I$1&lt;=$D47,I$1+6&gt;=$C47),1,"")</f>
        <v/>
      </c>
      <c r="J47" s="7" t="str">
        <f>IF(AND(ISNUMBER($C47),ISNUMBER($D47),J$1&lt;=$D47,J$1+6&gt;=$C47),1,"")</f>
        <v/>
      </c>
      <c r="K47" s="7" t="str">
        <f>IF(AND(ISNUMBER($C47),ISNUMBER($D47),K$1&lt;=$D47,K$1+6&gt;=$C47),1,"")</f>
        <v/>
      </c>
      <c r="L47" s="7" t="str">
        <f>IF(AND(ISNUMBER($C47),ISNUMBER($D47),L$1&lt;=$D47,L$1+6&gt;=$C47),1,"")</f>
        <v/>
      </c>
      <c r="M47" s="7" t="str">
        <f>IF(AND(ISNUMBER($C47),ISNUMBER($D47),M$1&lt;=$D47,M$1+6&gt;=$C47),1,"")</f>
        <v/>
      </c>
      <c r="N47" s="7" t="str">
        <f>IF(AND(ISNUMBER($C47),ISNUMBER($D47),N$1&lt;=$D47,N$1+6&gt;=$C47),1,"")</f>
        <v/>
      </c>
      <c r="O47" s="7" t="str">
        <f>IF(AND(ISNUMBER($C47),ISNUMBER($D47),O$1&lt;=$D47,O$1+6&gt;=$C47),1,"")</f>
        <v/>
      </c>
      <c r="P47" s="7" t="str">
        <f>IF(AND(ISNUMBER($C47),ISNUMBER($D47),P$1&lt;=$D47,P$1+6&gt;=$C47),1,"")</f>
        <v/>
      </c>
      <c r="Q47" s="7" t="str">
        <f>IF(AND(ISNUMBER($C47),ISNUMBER($D47),Q$1&lt;=$D47,Q$1+6&gt;=$C47),1,"")</f>
        <v/>
      </c>
      <c r="R47" s="7" t="str">
        <f>IF(AND(ISNUMBER($C47),ISNUMBER($D47),R$1&lt;=$D47,R$1+6&gt;=$C47),1,"")</f>
        <v/>
      </c>
      <c r="S47" s="7" t="str">
        <f>IF(AND(ISNUMBER($C47),ISNUMBER($D47),S$1&lt;=$D47,S$1+6&gt;=$C47),1,"")</f>
        <v/>
      </c>
      <c r="T47" s="7" t="str">
        <f>IF(AND(ISNUMBER($C47),ISNUMBER($D47),T$1&lt;=$D47,T$1+6&gt;=$C47),1,"")</f>
        <v/>
      </c>
      <c r="U47" s="7" t="str">
        <f>IF(AND(ISNUMBER($C47),ISNUMBER($D47),U$1&lt;=$D47,U$1+6&gt;=$C47),1,"")</f>
        <v/>
      </c>
      <c r="V47" s="7" t="str">
        <f>IF(AND(ISNUMBER($C47),ISNUMBER($D47),V$1&lt;=$D47,V$1+6&gt;=$C47),1,"")</f>
        <v/>
      </c>
      <c r="W47" s="7" t="str">
        <f>IF(AND(ISNUMBER($C47),ISNUMBER($D47),W$1&lt;=$D47,W$1+6&gt;=$C47),1,"")</f>
        <v/>
      </c>
      <c r="X47" s="7" t="str">
        <f>IF(AND(ISNUMBER($C47),ISNUMBER($D47),X$1&lt;=$D47,X$1+6&gt;=$C47),1,"")</f>
        <v/>
      </c>
      <c r="Y47" s="7" t="str">
        <f>IF(AND(ISNUMBER($C47),ISNUMBER($D47),Y$1&lt;=$D47,Y$1+6&gt;=$C47),1,"")</f>
        <v/>
      </c>
      <c r="Z47" s="7" t="str">
        <f>IF(AND(ISNUMBER($C47),ISNUMBER($D47),Z$1&lt;=$D47,Z$1+6&gt;=$C47),1,"")</f>
        <v/>
      </c>
      <c r="AA47" s="7" t="str">
        <f>IF(AND(ISNUMBER($C47),ISNUMBER($D47),AA$1&lt;=$D47,AA$1+6&gt;=$C47),1,"")</f>
        <v/>
      </c>
      <c r="AB47" s="7" t="str">
        <f>IF(AND(ISNUMBER($C47),ISNUMBER($D47),AB$1&lt;=$D47,AB$1+6&gt;=$C47),1,"")</f>
        <v/>
      </c>
      <c r="AC47" s="7" t="str">
        <f>IF(AND(ISNUMBER($C47),ISNUMBER($D47),AC$1&lt;=$D47,AC$1+6&gt;=$C47),1,"")</f>
        <v/>
      </c>
      <c r="AD47" s="7" t="str">
        <f>IF(AND(ISNUMBER($C47),ISNUMBER($D47),AD$1&lt;=$D47,AD$1+6&gt;=$C47),1,"")</f>
        <v/>
      </c>
      <c r="AE47" s="7" t="str">
        <f>IF(AND(ISNUMBER($C47),ISNUMBER($D47),AE$1&lt;=$D47,AE$1+6&gt;=$C47),1,"")</f>
        <v/>
      </c>
      <c r="AF47" s="7" t="str">
        <f>IF(AND(ISNUMBER($C47),ISNUMBER($D47),AF$1&lt;=$D47,AF$1+6&gt;=$C47),1,"")</f>
        <v/>
      </c>
      <c r="AG47" s="7" t="str">
        <f>IF(AND(ISNUMBER($C47),ISNUMBER($D47),AG$1&lt;=$D47,AG$1+6&gt;=$C47),1,"")</f>
        <v/>
      </c>
      <c r="AH47" s="7" t="str">
        <f>IF(AND(ISNUMBER($C47),ISNUMBER($D47),AH$1&lt;=$D47,AH$1+6&gt;=$C47),1,"")</f>
        <v/>
      </c>
      <c r="AI47" s="7" t="str">
        <f>IF(AND(ISNUMBER($C47),ISNUMBER($D47),AI$1&lt;=$D47,AI$1+6&gt;=$C47),1,"")</f>
        <v/>
      </c>
      <c r="AJ47" s="7" t="str">
        <f>IF(AND(ISNUMBER($C47),ISNUMBER($D47),AJ$1&lt;=$D47,AJ$1+6&gt;=$C47),1,"")</f>
        <v/>
      </c>
      <c r="AK47" s="7" t="str">
        <f>IF(AND(ISNUMBER($C47),ISNUMBER($D47),AK$1&lt;=$D47,AK$1+6&gt;=$C47),1,"")</f>
        <v/>
      </c>
      <c r="AL47" s="7" t="str">
        <f>IF(AND(ISNUMBER($C47),ISNUMBER($D47),AL$1&lt;=$D47,AL$1+6&gt;=$C47),1,"")</f>
        <v/>
      </c>
      <c r="AM47" s="7" t="str">
        <f>IF(AND(ISNUMBER($C47),ISNUMBER($D47),AM$1&lt;=$D47,AM$1+6&gt;=$C47),1,"")</f>
        <v/>
      </c>
      <c r="AN47" s="7" t="str">
        <f>IF(AND(ISNUMBER($C47),ISNUMBER($D47),AN$1&lt;=$D47,AN$1+6&gt;=$C47),1,"")</f>
        <v/>
      </c>
      <c r="AO47" s="7" t="str">
        <f>IF(AND(ISNUMBER($C47),ISNUMBER($D47),AO$1&lt;=$D47,AO$1+6&gt;=$C47),1,"")</f>
        <v/>
      </c>
      <c r="AP47" s="7" t="str">
        <f>IF(AND(ISNUMBER($C47),ISNUMBER($D47),AP$1&lt;=$D47,AP$1+6&gt;=$C47),1,"")</f>
        <v/>
      </c>
      <c r="AQ47" s="7" t="str">
        <f>IF(AND(ISNUMBER($C47),ISNUMBER($D47),AQ$1&lt;=$D47,AQ$1+6&gt;=$C47),1,"")</f>
        <v/>
      </c>
      <c r="AR47" s="7" t="str">
        <f>IF(AND(ISNUMBER($C47),ISNUMBER($D47),AR$1&lt;=$D47,AR$1+6&gt;=$C47),1,"")</f>
        <v/>
      </c>
      <c r="AS47" s="7" t="str">
        <f>IF(AND(ISNUMBER($C47),ISNUMBER($D47),AS$1&lt;=$D47,AS$1+6&gt;=$C47),1,"")</f>
        <v/>
      </c>
      <c r="AT47" s="7" t="str">
        <f>IF(AND(ISNUMBER($C47),ISNUMBER($D47),AT$1&lt;=$D47,AT$1+6&gt;=$C47),1,"")</f>
        <v/>
      </c>
      <c r="AU47" s="7" t="str">
        <f>IF(AND(ISNUMBER($C47),ISNUMBER($D47),AU$1&lt;=$D47,AU$1+6&gt;=$C47),1,"")</f>
        <v/>
      </c>
      <c r="AV47" s="7" t="str">
        <f>IF(AND(ISNUMBER($C47),ISNUMBER($D47),AV$1&lt;=$D47,AV$1+6&gt;=$C47),1,"")</f>
        <v/>
      </c>
      <c r="AW47" s="7" t="str">
        <f>IF(AND(ISNUMBER($C47),ISNUMBER($D47),AW$1&lt;=$D47,AW$1+6&gt;=$C47),1,"")</f>
        <v/>
      </c>
      <c r="AX47" s="7" t="str">
        <f>IF(AND(ISNUMBER($C47),ISNUMBER($D47),AX$1&lt;=$D47,AX$1+6&gt;=$C47),1,"")</f>
        <v/>
      </c>
      <c r="AY47" s="7" t="str">
        <f>IF(AND(ISNUMBER($C47),ISNUMBER($D47),AY$1&lt;=$D47,AY$1+6&gt;=$C47),1,"")</f>
        <v/>
      </c>
      <c r="AZ47" s="7" t="str">
        <f>IF(AND(ISNUMBER($C47),ISNUMBER($D47),AZ$1&lt;=$D47,AZ$1+6&gt;=$C47),1,"")</f>
        <v/>
      </c>
      <c r="BA47" s="7" t="str">
        <f>IF(AND(ISNUMBER($C47),ISNUMBER($D47),BA$1&lt;=$D47,BA$1+6&gt;=$C47),1,"")</f>
        <v/>
      </c>
      <c r="BB47" s="7" t="str">
        <f>IF(AND(ISNUMBER($C47),ISNUMBER($D47),BB$1&lt;=$D47,BB$1+6&gt;=$C47),1,"")</f>
        <v/>
      </c>
      <c r="BC47" s="7" t="str">
        <f>IF(AND(ISNUMBER($C47),ISNUMBER($D47),BC$1&lt;=$D47,BC$1+6&gt;=$C47),1,"")</f>
        <v/>
      </c>
      <c r="BD47" s="7" t="str">
        <f>IF(AND(ISNUMBER($C47),ISNUMBER($D47),BD$1&lt;=$D47,BD$1+6&gt;=$C47),1,"")</f>
        <v/>
      </c>
      <c r="BE47" s="7" t="str">
        <f>IF(AND(ISNUMBER($C47),ISNUMBER($D47),BE$1&lt;=$D47,BE$1+6&gt;=$C47),1,"")</f>
        <v/>
      </c>
      <c r="BF47" s="7" t="str">
        <f>IF(AND(ISNUMBER($C47),ISNUMBER($D47),BF$1&lt;=$D47,BF$1+6&gt;=$C47),1,"")</f>
        <v/>
      </c>
      <c r="BG47" s="7" t="str">
        <f>IF(AND(ISNUMBER($C47),ISNUMBER($D47),BG$1&lt;=$D47,BG$1+6&gt;=$C47),1,"")</f>
        <v/>
      </c>
      <c r="BH47" s="7" t="str">
        <f>IF(AND(ISNUMBER($C47),ISNUMBER($D47),BH$1&lt;=$D47,BH$1+6&gt;=$C47),1,"")</f>
        <v/>
      </c>
      <c r="BI47" s="7" t="str">
        <f>IF(AND(ISNUMBER($C47),ISNUMBER($D47),BI$1&lt;=$D47,BI$1+6&gt;=$C47),1,"")</f>
        <v/>
      </c>
      <c r="BJ47" s="7" t="str">
        <f>IF(AND(ISNUMBER($C47),ISNUMBER($D47),BJ$1&lt;=$D47,BJ$1+6&gt;=$C47),1,"")</f>
        <v/>
      </c>
      <c r="BK47" s="7" t="str">
        <f>IF(AND(ISNUMBER($C47),ISNUMBER($D47),BK$1&lt;=$D47,BK$1+6&gt;=$C47),1,"")</f>
        <v/>
      </c>
      <c r="BL47" s="7" t="str">
        <f>IF(AND(ISNUMBER($C47),ISNUMBER($D47),BL$1&lt;=$D47,BL$1+6&gt;=$C47),1,"")</f>
        <v/>
      </c>
      <c r="BM47" s="7" t="str">
        <f>IF(AND(ISNUMBER($C47),ISNUMBER($D47),BM$1&lt;=$D47,BM$1+6&gt;=$C47),1,"")</f>
        <v/>
      </c>
      <c r="BN47" s="7" t="str">
        <f>IF(AND(ISNUMBER($C47),ISNUMBER($D47),BN$1&lt;=$D47,BN$1+6&gt;=$C47),1,"")</f>
        <v/>
      </c>
      <c r="BO47" s="7" t="str">
        <f>IF(AND(ISNUMBER($C47),ISNUMBER($D47),BO$1&lt;=$D47,BO$1+6&gt;=$C47),1,"")</f>
        <v/>
      </c>
      <c r="BP47" s="7" t="str">
        <f>IF(AND(ISNUMBER($C47),ISNUMBER($D47),BP$1&lt;=$D47,BP$1+6&gt;=$C47),1,"")</f>
        <v/>
      </c>
      <c r="BQ47" s="7" t="str">
        <f>IF(AND(ISNUMBER($C47),ISNUMBER($D47),BQ$1&lt;=$D47,BQ$1+6&gt;=$C47),1,"")</f>
        <v/>
      </c>
      <c r="BR47" s="7" t="str">
        <f>IF(AND(ISNUMBER($C47),ISNUMBER($D47),BR$1&lt;=$D47,BR$1+6&gt;=$C47),1,"")</f>
        <v/>
      </c>
      <c r="BS47" s="7" t="str">
        <f>IF(AND(ISNUMBER($C47),ISNUMBER($D47),BS$1&lt;=$D47,BS$1+6&gt;=$C47),1,"")</f>
        <v/>
      </c>
      <c r="BT47" s="7" t="str">
        <f>IF(AND(ISNUMBER($C47),ISNUMBER($D47),BT$1&lt;=$D47,BT$1+6&gt;=$C47),1,"")</f>
        <v/>
      </c>
      <c r="BU47" s="7" t="str">
        <f>IF(AND(ISNUMBER($C47),ISNUMBER($D47),BU$1&lt;=$D47,BU$1+6&gt;=$C47),1,"")</f>
        <v/>
      </c>
      <c r="BV47" s="7" t="str">
        <f>IF(AND(ISNUMBER($C47),ISNUMBER($D47),BV$1&lt;=$D47,BV$1+6&gt;=$C47),1,"")</f>
        <v/>
      </c>
      <c r="BW47" s="7" t="str">
        <f>IF(AND(ISNUMBER($C47),ISNUMBER($D47),BW$1&lt;=$D47,BW$1+6&gt;=$C47),1,"")</f>
        <v/>
      </c>
      <c r="BX47" s="7" t="str">
        <f>IF(AND(ISNUMBER($C47),ISNUMBER($D47),BX$1&lt;=$D47,BX$1+6&gt;=$C47),1,"")</f>
        <v/>
      </c>
      <c r="BY47" s="7" t="str">
        <f>IF(AND(ISNUMBER($C47),ISNUMBER($D47),BY$1&lt;=$D47,BY$1+6&gt;=$C47),1,"")</f>
        <v/>
      </c>
      <c r="BZ47" s="7" t="str">
        <f>IF(AND(ISNUMBER($C47),ISNUMBER($D47),BZ$1&lt;=$D47,BZ$1+6&gt;=$C47),1,"")</f>
        <v/>
      </c>
      <c r="CA47" s="7" t="str">
        <f>IF(AND(ISNUMBER($C47),ISNUMBER($D47),CA$1&lt;=$D47,CA$1+6&gt;=$C47),1,"")</f>
        <v/>
      </c>
      <c r="CB47" s="7" t="str">
        <f>IF(AND(ISNUMBER($C47),ISNUMBER($D47),CB$1&lt;=$D47,CB$1+6&gt;=$C47),1,"")</f>
        <v/>
      </c>
      <c r="CC47" s="7" t="str">
        <f>IF(AND(ISNUMBER($C47),ISNUMBER($D47),CC$1&lt;=$D47,CC$1+6&gt;=$C47),1,"")</f>
        <v/>
      </c>
      <c r="CD47" s="7" t="str">
        <f>IF(AND(ISNUMBER($C47),ISNUMBER($D47),CD$1&lt;=$D47,CD$1+6&gt;=$C47),1,"")</f>
        <v/>
      </c>
      <c r="CE47" s="7" t="str">
        <f>IF(AND(ISNUMBER($C47),ISNUMBER($D47),CE$1&lt;=$D47,CE$1+6&gt;=$C47),1,"")</f>
        <v/>
      </c>
      <c r="CF47" s="7" t="str">
        <f>IF(AND(ISNUMBER($C47),ISNUMBER($D47),CF$1&lt;=$D47,CF$1+6&gt;=$C47),1,"")</f>
        <v/>
      </c>
      <c r="CG47" s="7" t="str">
        <f>IF(AND(ISNUMBER($C47),ISNUMBER($D47),CG$1&lt;=$D47,CG$1+6&gt;=$C47),1,"")</f>
        <v/>
      </c>
      <c r="CH47" s="7" t="str">
        <f>IF(AND(ISNUMBER($C47),ISNUMBER($D47),CH$1&lt;=$D47,CH$1+6&gt;=$C47),1,"")</f>
        <v/>
      </c>
      <c r="CI47" s="7" t="str">
        <f>IF(AND(ISNUMBER($C47),ISNUMBER($D47),CI$1&lt;=$D47,CI$1+6&gt;=$C47),1,"")</f>
        <v/>
      </c>
      <c r="CJ47" s="7" t="str">
        <f>IF(AND(ISNUMBER($C47),ISNUMBER($D47),CJ$1&lt;=$D47,CJ$1+6&gt;=$C47),1,"")</f>
        <v/>
      </c>
      <c r="CK47" s="7" t="str">
        <f>IF(AND(ISNUMBER($C47),ISNUMBER($D47),CK$1&lt;=$D47,CK$1+6&gt;=$C47),1,"")</f>
        <v/>
      </c>
      <c r="CL47" s="7" t="str">
        <f>IF(AND(ISNUMBER($C47),ISNUMBER($D47),CL$1&lt;=$D47,CL$1+6&gt;=$C47),1,"")</f>
        <v/>
      </c>
      <c r="CM47" s="7" t="str">
        <f>IF(AND(ISNUMBER($C47),ISNUMBER($D47),CM$1&lt;=$D47,CM$1+6&gt;=$C47),1,"")</f>
        <v/>
      </c>
      <c r="CN47" s="7" t="str">
        <f>IF(AND(ISNUMBER($C47),ISNUMBER($D47),CN$1&lt;=$D47,CN$1+6&gt;=$C47),1,"")</f>
        <v/>
      </c>
      <c r="CO47" s="7" t="str">
        <f>IF(AND(ISNUMBER($C47),ISNUMBER($D47),CO$1&lt;=$D47,CO$1+6&gt;=$C47),1,"")</f>
        <v/>
      </c>
      <c r="CP47" s="7" t="str">
        <f>IF(AND(ISNUMBER($C47),ISNUMBER($D47),CP$1&lt;=$D47,CP$1+6&gt;=$C47),1,"")</f>
        <v/>
      </c>
      <c r="CQ47" s="7" t="str">
        <f>IF(AND(ISNUMBER($C47),ISNUMBER($D47),CQ$1&lt;=$D47,CQ$1+6&gt;=$C47),1,"")</f>
        <v/>
      </c>
      <c r="CR47" s="7" t="str">
        <f>IF(AND(ISNUMBER($C47),ISNUMBER($D47),CR$1&lt;=$D47,CR$1+6&gt;=$C47),1,"")</f>
        <v/>
      </c>
      <c r="CS47" s="7" t="str">
        <f>IF(AND(ISNUMBER($C47),ISNUMBER($D47),CS$1&lt;=$D47,CS$1+6&gt;=$C47),1,"")</f>
        <v/>
      </c>
      <c r="CT47" s="7" t="str">
        <f>IF(AND(ISNUMBER($C47),ISNUMBER($D47),CT$1&lt;=$D47,CT$1+6&gt;=$C47),1,"")</f>
        <v/>
      </c>
      <c r="CU47" s="7" t="str">
        <f>IF(AND(ISNUMBER($C47),ISNUMBER($D47),CU$1&lt;=$D47,CU$1+6&gt;=$C47),1,"")</f>
        <v/>
      </c>
      <c r="CV47" s="7" t="str">
        <f>IF(AND(ISNUMBER($C47),ISNUMBER($D47),CV$1&lt;=$D47,CV$1+6&gt;=$C47),1,"")</f>
        <v/>
      </c>
      <c r="CW47" s="7" t="str">
        <f>IF(AND(ISNUMBER($C47),ISNUMBER($D47),CW$1&lt;=$D47,CW$1+6&gt;=$C47),1,"")</f>
        <v/>
      </c>
      <c r="CX47" s="7" t="str">
        <f>IF(AND(ISNUMBER($C47),ISNUMBER($D47),CX$1&lt;=$D47,CX$1+6&gt;=$C47),1,"")</f>
        <v/>
      </c>
      <c r="CY47" s="7" t="str">
        <f>IF(AND(ISNUMBER($C47),ISNUMBER($D47),CY$1&lt;=$D47,CY$1+6&gt;=$C47),1,"")</f>
        <v/>
      </c>
      <c r="CZ47" s="7" t="str">
        <f>IF(AND(ISNUMBER($C47),ISNUMBER($D47),CZ$1&lt;=$D47,CZ$1+6&gt;=$C47),1,"")</f>
        <v/>
      </c>
      <c r="DA47" s="7" t="str">
        <f>IF(AND(ISNUMBER($C47),ISNUMBER($D47),DA$1&lt;=$D47,DA$1+6&gt;=$C47),1,"")</f>
        <v/>
      </c>
      <c r="DB47" s="7" t="str">
        <f>IF(AND(ISNUMBER($C47),ISNUMBER($D47),DB$1&lt;=$D47,DB$1+6&gt;=$C47),1,"")</f>
        <v/>
      </c>
      <c r="DC47" s="7" t="str">
        <f>IF(AND(ISNUMBER($C47),ISNUMBER($D47),DC$1&lt;=$D47,DC$1+6&gt;=$C47),1,"")</f>
        <v/>
      </c>
      <c r="DD47" s="7" t="str">
        <f>IF(AND(ISNUMBER($C47),ISNUMBER($D47),DD$1&lt;=$D47,DD$1+6&gt;=$C47),1,"")</f>
        <v/>
      </c>
    </row>
    <row r="48" spans="1:108" x14ac:dyDescent="0.35">
      <c r="A48" s="6" t="str">
        <f>Schedule!B48</f>
        <v>Optional alternative stores APIs and runtimes</v>
      </c>
      <c r="B48" s="6" t="str">
        <f>Schedule!C48</f>
        <v>Core</v>
      </c>
      <c r="C48" s="4" t="str">
        <f>IF(Schedule!P48="","",Schedule!P48)</f>
        <v/>
      </c>
      <c r="D48" s="4" t="str">
        <f>IF(Schedule!Q48="","",Schedule!Q48)</f>
        <v/>
      </c>
      <c r="E48" s="7" t="str">
        <f>IF(AND(ISNUMBER($C48),ISNUMBER($D48),E$1&lt;=$D48,E$1+6&gt;=$C48),1,"")</f>
        <v/>
      </c>
      <c r="F48" s="7" t="str">
        <f>IF(AND(ISNUMBER($C48),ISNUMBER($D48),F$1&lt;=$D48,F$1+6&gt;=$C48),1,"")</f>
        <v/>
      </c>
      <c r="G48" s="7" t="str">
        <f>IF(AND(ISNUMBER($C48),ISNUMBER($D48),G$1&lt;=$D48,G$1+6&gt;=$C48),1,"")</f>
        <v/>
      </c>
      <c r="H48" s="7" t="str">
        <f>IF(AND(ISNUMBER($C48),ISNUMBER($D48),H$1&lt;=$D48,H$1+6&gt;=$C48),1,"")</f>
        <v/>
      </c>
      <c r="I48" s="7" t="str">
        <f>IF(AND(ISNUMBER($C48),ISNUMBER($D48),I$1&lt;=$D48,I$1+6&gt;=$C48),1,"")</f>
        <v/>
      </c>
      <c r="J48" s="7" t="str">
        <f>IF(AND(ISNUMBER($C48),ISNUMBER($D48),J$1&lt;=$D48,J$1+6&gt;=$C48),1,"")</f>
        <v/>
      </c>
      <c r="K48" s="7" t="str">
        <f>IF(AND(ISNUMBER($C48),ISNUMBER($D48),K$1&lt;=$D48,K$1+6&gt;=$C48),1,"")</f>
        <v/>
      </c>
      <c r="L48" s="7" t="str">
        <f>IF(AND(ISNUMBER($C48),ISNUMBER($D48),L$1&lt;=$D48,L$1+6&gt;=$C48),1,"")</f>
        <v/>
      </c>
      <c r="M48" s="7" t="str">
        <f>IF(AND(ISNUMBER($C48),ISNUMBER($D48),M$1&lt;=$D48,M$1+6&gt;=$C48),1,"")</f>
        <v/>
      </c>
      <c r="N48" s="7" t="str">
        <f>IF(AND(ISNUMBER($C48),ISNUMBER($D48),N$1&lt;=$D48,N$1+6&gt;=$C48),1,"")</f>
        <v/>
      </c>
      <c r="O48" s="7" t="str">
        <f>IF(AND(ISNUMBER($C48),ISNUMBER($D48),O$1&lt;=$D48,O$1+6&gt;=$C48),1,"")</f>
        <v/>
      </c>
      <c r="P48" s="7" t="str">
        <f>IF(AND(ISNUMBER($C48),ISNUMBER($D48),P$1&lt;=$D48,P$1+6&gt;=$C48),1,"")</f>
        <v/>
      </c>
      <c r="Q48" s="7" t="str">
        <f>IF(AND(ISNUMBER($C48),ISNUMBER($D48),Q$1&lt;=$D48,Q$1+6&gt;=$C48),1,"")</f>
        <v/>
      </c>
      <c r="R48" s="7" t="str">
        <f>IF(AND(ISNUMBER($C48),ISNUMBER($D48),R$1&lt;=$D48,R$1+6&gt;=$C48),1,"")</f>
        <v/>
      </c>
      <c r="S48" s="7" t="str">
        <f>IF(AND(ISNUMBER($C48),ISNUMBER($D48),S$1&lt;=$D48,S$1+6&gt;=$C48),1,"")</f>
        <v/>
      </c>
      <c r="T48" s="7" t="str">
        <f>IF(AND(ISNUMBER($C48),ISNUMBER($D48),T$1&lt;=$D48,T$1+6&gt;=$C48),1,"")</f>
        <v/>
      </c>
      <c r="U48" s="7" t="str">
        <f>IF(AND(ISNUMBER($C48),ISNUMBER($D48),U$1&lt;=$D48,U$1+6&gt;=$C48),1,"")</f>
        <v/>
      </c>
      <c r="V48" s="7" t="str">
        <f>IF(AND(ISNUMBER($C48),ISNUMBER($D48),V$1&lt;=$D48,V$1+6&gt;=$C48),1,"")</f>
        <v/>
      </c>
      <c r="W48" s="7" t="str">
        <f>IF(AND(ISNUMBER($C48),ISNUMBER($D48),W$1&lt;=$D48,W$1+6&gt;=$C48),1,"")</f>
        <v/>
      </c>
      <c r="X48" s="7" t="str">
        <f>IF(AND(ISNUMBER($C48),ISNUMBER($D48),X$1&lt;=$D48,X$1+6&gt;=$C48),1,"")</f>
        <v/>
      </c>
      <c r="Y48" s="7" t="str">
        <f>IF(AND(ISNUMBER($C48),ISNUMBER($D48),Y$1&lt;=$D48,Y$1+6&gt;=$C48),1,"")</f>
        <v/>
      </c>
      <c r="Z48" s="7" t="str">
        <f>IF(AND(ISNUMBER($C48),ISNUMBER($D48),Z$1&lt;=$D48,Z$1+6&gt;=$C48),1,"")</f>
        <v/>
      </c>
      <c r="AA48" s="7" t="str">
        <f>IF(AND(ISNUMBER($C48),ISNUMBER($D48),AA$1&lt;=$D48,AA$1+6&gt;=$C48),1,"")</f>
        <v/>
      </c>
      <c r="AB48" s="7" t="str">
        <f>IF(AND(ISNUMBER($C48),ISNUMBER($D48),AB$1&lt;=$D48,AB$1+6&gt;=$C48),1,"")</f>
        <v/>
      </c>
      <c r="AC48" s="7" t="str">
        <f>IF(AND(ISNUMBER($C48),ISNUMBER($D48),AC$1&lt;=$D48,AC$1+6&gt;=$C48),1,"")</f>
        <v/>
      </c>
      <c r="AD48" s="7" t="str">
        <f>IF(AND(ISNUMBER($C48),ISNUMBER($D48),AD$1&lt;=$D48,AD$1+6&gt;=$C48),1,"")</f>
        <v/>
      </c>
      <c r="AE48" s="7" t="str">
        <f>IF(AND(ISNUMBER($C48),ISNUMBER($D48),AE$1&lt;=$D48,AE$1+6&gt;=$C48),1,"")</f>
        <v/>
      </c>
      <c r="AF48" s="7" t="str">
        <f>IF(AND(ISNUMBER($C48),ISNUMBER($D48),AF$1&lt;=$D48,AF$1+6&gt;=$C48),1,"")</f>
        <v/>
      </c>
      <c r="AG48" s="7" t="str">
        <f>IF(AND(ISNUMBER($C48),ISNUMBER($D48),AG$1&lt;=$D48,AG$1+6&gt;=$C48),1,"")</f>
        <v/>
      </c>
      <c r="AH48" s="7" t="str">
        <f>IF(AND(ISNUMBER($C48),ISNUMBER($D48),AH$1&lt;=$D48,AH$1+6&gt;=$C48),1,"")</f>
        <v/>
      </c>
      <c r="AI48" s="7" t="str">
        <f>IF(AND(ISNUMBER($C48),ISNUMBER($D48),AI$1&lt;=$D48,AI$1+6&gt;=$C48),1,"")</f>
        <v/>
      </c>
      <c r="AJ48" s="7" t="str">
        <f>IF(AND(ISNUMBER($C48),ISNUMBER($D48),AJ$1&lt;=$D48,AJ$1+6&gt;=$C48),1,"")</f>
        <v/>
      </c>
      <c r="AK48" s="7" t="str">
        <f>IF(AND(ISNUMBER($C48),ISNUMBER($D48),AK$1&lt;=$D48,AK$1+6&gt;=$C48),1,"")</f>
        <v/>
      </c>
      <c r="AL48" s="7" t="str">
        <f>IF(AND(ISNUMBER($C48),ISNUMBER($D48),AL$1&lt;=$D48,AL$1+6&gt;=$C48),1,"")</f>
        <v/>
      </c>
      <c r="AM48" s="7" t="str">
        <f>IF(AND(ISNUMBER($C48),ISNUMBER($D48),AM$1&lt;=$D48,AM$1+6&gt;=$C48),1,"")</f>
        <v/>
      </c>
      <c r="AN48" s="7" t="str">
        <f>IF(AND(ISNUMBER($C48),ISNUMBER($D48),AN$1&lt;=$D48,AN$1+6&gt;=$C48),1,"")</f>
        <v/>
      </c>
      <c r="AO48" s="7" t="str">
        <f>IF(AND(ISNUMBER($C48),ISNUMBER($D48),AO$1&lt;=$D48,AO$1+6&gt;=$C48),1,"")</f>
        <v/>
      </c>
      <c r="AP48" s="7" t="str">
        <f>IF(AND(ISNUMBER($C48),ISNUMBER($D48),AP$1&lt;=$D48,AP$1+6&gt;=$C48),1,"")</f>
        <v/>
      </c>
      <c r="AQ48" s="7" t="str">
        <f>IF(AND(ISNUMBER($C48),ISNUMBER($D48),AQ$1&lt;=$D48,AQ$1+6&gt;=$C48),1,"")</f>
        <v/>
      </c>
      <c r="AR48" s="7" t="str">
        <f>IF(AND(ISNUMBER($C48),ISNUMBER($D48),AR$1&lt;=$D48,AR$1+6&gt;=$C48),1,"")</f>
        <v/>
      </c>
      <c r="AS48" s="7" t="str">
        <f>IF(AND(ISNUMBER($C48),ISNUMBER($D48),AS$1&lt;=$D48,AS$1+6&gt;=$C48),1,"")</f>
        <v/>
      </c>
      <c r="AT48" s="7" t="str">
        <f>IF(AND(ISNUMBER($C48),ISNUMBER($D48),AT$1&lt;=$D48,AT$1+6&gt;=$C48),1,"")</f>
        <v/>
      </c>
      <c r="AU48" s="7" t="str">
        <f>IF(AND(ISNUMBER($C48),ISNUMBER($D48),AU$1&lt;=$D48,AU$1+6&gt;=$C48),1,"")</f>
        <v/>
      </c>
      <c r="AV48" s="7" t="str">
        <f>IF(AND(ISNUMBER($C48),ISNUMBER($D48),AV$1&lt;=$D48,AV$1+6&gt;=$C48),1,"")</f>
        <v/>
      </c>
      <c r="AW48" s="7" t="str">
        <f>IF(AND(ISNUMBER($C48),ISNUMBER($D48),AW$1&lt;=$D48,AW$1+6&gt;=$C48),1,"")</f>
        <v/>
      </c>
      <c r="AX48" s="7" t="str">
        <f>IF(AND(ISNUMBER($C48),ISNUMBER($D48),AX$1&lt;=$D48,AX$1+6&gt;=$C48),1,"")</f>
        <v/>
      </c>
      <c r="AY48" s="7" t="str">
        <f>IF(AND(ISNUMBER($C48),ISNUMBER($D48),AY$1&lt;=$D48,AY$1+6&gt;=$C48),1,"")</f>
        <v/>
      </c>
      <c r="AZ48" s="7" t="str">
        <f>IF(AND(ISNUMBER($C48),ISNUMBER($D48),AZ$1&lt;=$D48,AZ$1+6&gt;=$C48),1,"")</f>
        <v/>
      </c>
      <c r="BA48" s="7" t="str">
        <f>IF(AND(ISNUMBER($C48),ISNUMBER($D48),BA$1&lt;=$D48,BA$1+6&gt;=$C48),1,"")</f>
        <v/>
      </c>
      <c r="BB48" s="7" t="str">
        <f>IF(AND(ISNUMBER($C48),ISNUMBER($D48),BB$1&lt;=$D48,BB$1+6&gt;=$C48),1,"")</f>
        <v/>
      </c>
      <c r="BC48" s="7" t="str">
        <f>IF(AND(ISNUMBER($C48),ISNUMBER($D48),BC$1&lt;=$D48,BC$1+6&gt;=$C48),1,"")</f>
        <v/>
      </c>
      <c r="BD48" s="7" t="str">
        <f>IF(AND(ISNUMBER($C48),ISNUMBER($D48),BD$1&lt;=$D48,BD$1+6&gt;=$C48),1,"")</f>
        <v/>
      </c>
      <c r="BE48" s="7" t="str">
        <f>IF(AND(ISNUMBER($C48),ISNUMBER($D48),BE$1&lt;=$D48,BE$1+6&gt;=$C48),1,"")</f>
        <v/>
      </c>
      <c r="BF48" s="7" t="str">
        <f>IF(AND(ISNUMBER($C48),ISNUMBER($D48),BF$1&lt;=$D48,BF$1+6&gt;=$C48),1,"")</f>
        <v/>
      </c>
      <c r="BG48" s="7" t="str">
        <f>IF(AND(ISNUMBER($C48),ISNUMBER($D48),BG$1&lt;=$D48,BG$1+6&gt;=$C48),1,"")</f>
        <v/>
      </c>
      <c r="BH48" s="7" t="str">
        <f>IF(AND(ISNUMBER($C48),ISNUMBER($D48),BH$1&lt;=$D48,BH$1+6&gt;=$C48),1,"")</f>
        <v/>
      </c>
      <c r="BI48" s="7" t="str">
        <f>IF(AND(ISNUMBER($C48),ISNUMBER($D48),BI$1&lt;=$D48,BI$1+6&gt;=$C48),1,"")</f>
        <v/>
      </c>
      <c r="BJ48" s="7" t="str">
        <f>IF(AND(ISNUMBER($C48),ISNUMBER($D48),BJ$1&lt;=$D48,BJ$1+6&gt;=$C48),1,"")</f>
        <v/>
      </c>
      <c r="BK48" s="7" t="str">
        <f>IF(AND(ISNUMBER($C48),ISNUMBER($D48),BK$1&lt;=$D48,BK$1+6&gt;=$C48),1,"")</f>
        <v/>
      </c>
      <c r="BL48" s="7" t="str">
        <f>IF(AND(ISNUMBER($C48),ISNUMBER($D48),BL$1&lt;=$D48,BL$1+6&gt;=$C48),1,"")</f>
        <v/>
      </c>
      <c r="BM48" s="7" t="str">
        <f>IF(AND(ISNUMBER($C48),ISNUMBER($D48),BM$1&lt;=$D48,BM$1+6&gt;=$C48),1,"")</f>
        <v/>
      </c>
      <c r="BN48" s="7" t="str">
        <f>IF(AND(ISNUMBER($C48),ISNUMBER($D48),BN$1&lt;=$D48,BN$1+6&gt;=$C48),1,"")</f>
        <v/>
      </c>
      <c r="BO48" s="7" t="str">
        <f>IF(AND(ISNUMBER($C48),ISNUMBER($D48),BO$1&lt;=$D48,BO$1+6&gt;=$C48),1,"")</f>
        <v/>
      </c>
      <c r="BP48" s="7" t="str">
        <f>IF(AND(ISNUMBER($C48),ISNUMBER($D48),BP$1&lt;=$D48,BP$1+6&gt;=$C48),1,"")</f>
        <v/>
      </c>
      <c r="BQ48" s="7" t="str">
        <f>IF(AND(ISNUMBER($C48),ISNUMBER($D48),BQ$1&lt;=$D48,BQ$1+6&gt;=$C48),1,"")</f>
        <v/>
      </c>
      <c r="BR48" s="7" t="str">
        <f>IF(AND(ISNUMBER($C48),ISNUMBER($D48),BR$1&lt;=$D48,BR$1+6&gt;=$C48),1,"")</f>
        <v/>
      </c>
      <c r="BS48" s="7" t="str">
        <f>IF(AND(ISNUMBER($C48),ISNUMBER($D48),BS$1&lt;=$D48,BS$1+6&gt;=$C48),1,"")</f>
        <v/>
      </c>
      <c r="BT48" s="7" t="str">
        <f>IF(AND(ISNUMBER($C48),ISNUMBER($D48),BT$1&lt;=$D48,BT$1+6&gt;=$C48),1,"")</f>
        <v/>
      </c>
      <c r="BU48" s="7" t="str">
        <f>IF(AND(ISNUMBER($C48),ISNUMBER($D48),BU$1&lt;=$D48,BU$1+6&gt;=$C48),1,"")</f>
        <v/>
      </c>
      <c r="BV48" s="7" t="str">
        <f>IF(AND(ISNUMBER($C48),ISNUMBER($D48),BV$1&lt;=$D48,BV$1+6&gt;=$C48),1,"")</f>
        <v/>
      </c>
      <c r="BW48" s="7" t="str">
        <f>IF(AND(ISNUMBER($C48),ISNUMBER($D48),BW$1&lt;=$D48,BW$1+6&gt;=$C48),1,"")</f>
        <v/>
      </c>
      <c r="BX48" s="7" t="str">
        <f>IF(AND(ISNUMBER($C48),ISNUMBER($D48),BX$1&lt;=$D48,BX$1+6&gt;=$C48),1,"")</f>
        <v/>
      </c>
      <c r="BY48" s="7" t="str">
        <f>IF(AND(ISNUMBER($C48),ISNUMBER($D48),BY$1&lt;=$D48,BY$1+6&gt;=$C48),1,"")</f>
        <v/>
      </c>
      <c r="BZ48" s="7" t="str">
        <f>IF(AND(ISNUMBER($C48),ISNUMBER($D48),BZ$1&lt;=$D48,BZ$1+6&gt;=$C48),1,"")</f>
        <v/>
      </c>
      <c r="CA48" s="7" t="str">
        <f>IF(AND(ISNUMBER($C48),ISNUMBER($D48),CA$1&lt;=$D48,CA$1+6&gt;=$C48),1,"")</f>
        <v/>
      </c>
      <c r="CB48" s="7" t="str">
        <f>IF(AND(ISNUMBER($C48),ISNUMBER($D48),CB$1&lt;=$D48,CB$1+6&gt;=$C48),1,"")</f>
        <v/>
      </c>
      <c r="CC48" s="7" t="str">
        <f>IF(AND(ISNUMBER($C48),ISNUMBER($D48),CC$1&lt;=$D48,CC$1+6&gt;=$C48),1,"")</f>
        <v/>
      </c>
      <c r="CD48" s="7" t="str">
        <f>IF(AND(ISNUMBER($C48),ISNUMBER($D48),CD$1&lt;=$D48,CD$1+6&gt;=$C48),1,"")</f>
        <v/>
      </c>
      <c r="CE48" s="7" t="str">
        <f>IF(AND(ISNUMBER($C48),ISNUMBER($D48),CE$1&lt;=$D48,CE$1+6&gt;=$C48),1,"")</f>
        <v/>
      </c>
      <c r="CF48" s="7" t="str">
        <f>IF(AND(ISNUMBER($C48),ISNUMBER($D48),CF$1&lt;=$D48,CF$1+6&gt;=$C48),1,"")</f>
        <v/>
      </c>
      <c r="CG48" s="7" t="str">
        <f>IF(AND(ISNUMBER($C48),ISNUMBER($D48),CG$1&lt;=$D48,CG$1+6&gt;=$C48),1,"")</f>
        <v/>
      </c>
      <c r="CH48" s="7" t="str">
        <f>IF(AND(ISNUMBER($C48),ISNUMBER($D48),CH$1&lt;=$D48,CH$1+6&gt;=$C48),1,"")</f>
        <v/>
      </c>
      <c r="CI48" s="7" t="str">
        <f>IF(AND(ISNUMBER($C48),ISNUMBER($D48),CI$1&lt;=$D48,CI$1+6&gt;=$C48),1,"")</f>
        <v/>
      </c>
      <c r="CJ48" s="7" t="str">
        <f>IF(AND(ISNUMBER($C48),ISNUMBER($D48),CJ$1&lt;=$D48,CJ$1+6&gt;=$C48),1,"")</f>
        <v/>
      </c>
      <c r="CK48" s="7" t="str">
        <f>IF(AND(ISNUMBER($C48),ISNUMBER($D48),CK$1&lt;=$D48,CK$1+6&gt;=$C48),1,"")</f>
        <v/>
      </c>
      <c r="CL48" s="7" t="str">
        <f>IF(AND(ISNUMBER($C48),ISNUMBER($D48),CL$1&lt;=$D48,CL$1+6&gt;=$C48),1,"")</f>
        <v/>
      </c>
      <c r="CM48" s="7" t="str">
        <f>IF(AND(ISNUMBER($C48),ISNUMBER($D48),CM$1&lt;=$D48,CM$1+6&gt;=$C48),1,"")</f>
        <v/>
      </c>
      <c r="CN48" s="7" t="str">
        <f>IF(AND(ISNUMBER($C48),ISNUMBER($D48),CN$1&lt;=$D48,CN$1+6&gt;=$C48),1,"")</f>
        <v/>
      </c>
      <c r="CO48" s="7" t="str">
        <f>IF(AND(ISNUMBER($C48),ISNUMBER($D48),CO$1&lt;=$D48,CO$1+6&gt;=$C48),1,"")</f>
        <v/>
      </c>
      <c r="CP48" s="7" t="str">
        <f>IF(AND(ISNUMBER($C48),ISNUMBER($D48),CP$1&lt;=$D48,CP$1+6&gt;=$C48),1,"")</f>
        <v/>
      </c>
      <c r="CQ48" s="7" t="str">
        <f>IF(AND(ISNUMBER($C48),ISNUMBER($D48),CQ$1&lt;=$D48,CQ$1+6&gt;=$C48),1,"")</f>
        <v/>
      </c>
      <c r="CR48" s="7" t="str">
        <f>IF(AND(ISNUMBER($C48),ISNUMBER($D48),CR$1&lt;=$D48,CR$1+6&gt;=$C48),1,"")</f>
        <v/>
      </c>
      <c r="CS48" s="7" t="str">
        <f>IF(AND(ISNUMBER($C48),ISNUMBER($D48),CS$1&lt;=$D48,CS$1+6&gt;=$C48),1,"")</f>
        <v/>
      </c>
      <c r="CT48" s="7" t="str">
        <f>IF(AND(ISNUMBER($C48),ISNUMBER($D48),CT$1&lt;=$D48,CT$1+6&gt;=$C48),1,"")</f>
        <v/>
      </c>
      <c r="CU48" s="7" t="str">
        <f>IF(AND(ISNUMBER($C48),ISNUMBER($D48),CU$1&lt;=$D48,CU$1+6&gt;=$C48),1,"")</f>
        <v/>
      </c>
      <c r="CV48" s="7" t="str">
        <f>IF(AND(ISNUMBER($C48),ISNUMBER($D48),CV$1&lt;=$D48,CV$1+6&gt;=$C48),1,"")</f>
        <v/>
      </c>
      <c r="CW48" s="7" t="str">
        <f>IF(AND(ISNUMBER($C48),ISNUMBER($D48),CW$1&lt;=$D48,CW$1+6&gt;=$C48),1,"")</f>
        <v/>
      </c>
      <c r="CX48" s="7" t="str">
        <f>IF(AND(ISNUMBER($C48),ISNUMBER($D48),CX$1&lt;=$D48,CX$1+6&gt;=$C48),1,"")</f>
        <v/>
      </c>
      <c r="CY48" s="7" t="str">
        <f>IF(AND(ISNUMBER($C48),ISNUMBER($D48),CY$1&lt;=$D48,CY$1+6&gt;=$C48),1,"")</f>
        <v/>
      </c>
      <c r="CZ48" s="7" t="str">
        <f>IF(AND(ISNUMBER($C48),ISNUMBER($D48),CZ$1&lt;=$D48,CZ$1+6&gt;=$C48),1,"")</f>
        <v/>
      </c>
      <c r="DA48" s="7" t="str">
        <f>IF(AND(ISNUMBER($C48),ISNUMBER($D48),DA$1&lt;=$D48,DA$1+6&gt;=$C48),1,"")</f>
        <v/>
      </c>
      <c r="DB48" s="7" t="str">
        <f>IF(AND(ISNUMBER($C48),ISNUMBER($D48),DB$1&lt;=$D48,DB$1+6&gt;=$C48),1,"")</f>
        <v/>
      </c>
      <c r="DC48" s="7" t="str">
        <f>IF(AND(ISNUMBER($C48),ISNUMBER($D48),DC$1&lt;=$D48,DC$1+6&gt;=$C48),1,"")</f>
        <v/>
      </c>
      <c r="DD48" s="7" t="str">
        <f>IF(AND(ISNUMBER($C48),ISNUMBER($D48),DD$1&lt;=$D48,DD$1+6&gt;=$C48),1,"")</f>
        <v/>
      </c>
    </row>
    <row r="49" spans="1:108" x14ac:dyDescent="0.35">
      <c r="A49" s="6" t="str">
        <f>Schedule!B49</f>
        <v>Optional coding-agent product comparison</v>
      </c>
      <c r="B49" s="6" t="str">
        <f>Schedule!C49</f>
        <v>Core</v>
      </c>
      <c r="C49" s="4" t="str">
        <f>IF(Schedule!P49="","",Schedule!P49)</f>
        <v/>
      </c>
      <c r="D49" s="4" t="str">
        <f>IF(Schedule!Q49="","",Schedule!Q49)</f>
        <v/>
      </c>
      <c r="E49" s="7" t="str">
        <f>IF(AND(ISNUMBER($C49),ISNUMBER($D49),E$1&lt;=$D49,E$1+6&gt;=$C49),1,"")</f>
        <v/>
      </c>
      <c r="F49" s="7" t="str">
        <f>IF(AND(ISNUMBER($C49),ISNUMBER($D49),F$1&lt;=$D49,F$1+6&gt;=$C49),1,"")</f>
        <v/>
      </c>
      <c r="G49" s="7" t="str">
        <f>IF(AND(ISNUMBER($C49),ISNUMBER($D49),G$1&lt;=$D49,G$1+6&gt;=$C49),1,"")</f>
        <v/>
      </c>
      <c r="H49" s="7" t="str">
        <f>IF(AND(ISNUMBER($C49),ISNUMBER($D49),H$1&lt;=$D49,H$1+6&gt;=$C49),1,"")</f>
        <v/>
      </c>
      <c r="I49" s="7" t="str">
        <f>IF(AND(ISNUMBER($C49),ISNUMBER($D49),I$1&lt;=$D49,I$1+6&gt;=$C49),1,"")</f>
        <v/>
      </c>
      <c r="J49" s="7" t="str">
        <f>IF(AND(ISNUMBER($C49),ISNUMBER($D49),J$1&lt;=$D49,J$1+6&gt;=$C49),1,"")</f>
        <v/>
      </c>
      <c r="K49" s="7" t="str">
        <f>IF(AND(ISNUMBER($C49),ISNUMBER($D49),K$1&lt;=$D49,K$1+6&gt;=$C49),1,"")</f>
        <v/>
      </c>
      <c r="L49" s="7" t="str">
        <f>IF(AND(ISNUMBER($C49),ISNUMBER($D49),L$1&lt;=$D49,L$1+6&gt;=$C49),1,"")</f>
        <v/>
      </c>
      <c r="M49" s="7" t="str">
        <f>IF(AND(ISNUMBER($C49),ISNUMBER($D49),M$1&lt;=$D49,M$1+6&gt;=$C49),1,"")</f>
        <v/>
      </c>
      <c r="N49" s="7" t="str">
        <f>IF(AND(ISNUMBER($C49),ISNUMBER($D49),N$1&lt;=$D49,N$1+6&gt;=$C49),1,"")</f>
        <v/>
      </c>
      <c r="O49" s="7" t="str">
        <f>IF(AND(ISNUMBER($C49),ISNUMBER($D49),O$1&lt;=$D49,O$1+6&gt;=$C49),1,"")</f>
        <v/>
      </c>
      <c r="P49" s="7" t="str">
        <f>IF(AND(ISNUMBER($C49),ISNUMBER($D49),P$1&lt;=$D49,P$1+6&gt;=$C49),1,"")</f>
        <v/>
      </c>
      <c r="Q49" s="7" t="str">
        <f>IF(AND(ISNUMBER($C49),ISNUMBER($D49),Q$1&lt;=$D49,Q$1+6&gt;=$C49),1,"")</f>
        <v/>
      </c>
      <c r="R49" s="7" t="str">
        <f>IF(AND(ISNUMBER($C49),ISNUMBER($D49),R$1&lt;=$D49,R$1+6&gt;=$C49),1,"")</f>
        <v/>
      </c>
      <c r="S49" s="7" t="str">
        <f>IF(AND(ISNUMBER($C49),ISNUMBER($D49),S$1&lt;=$D49,S$1+6&gt;=$C49),1,"")</f>
        <v/>
      </c>
      <c r="T49" s="7" t="str">
        <f>IF(AND(ISNUMBER($C49),ISNUMBER($D49),T$1&lt;=$D49,T$1+6&gt;=$C49),1,"")</f>
        <v/>
      </c>
      <c r="U49" s="7" t="str">
        <f>IF(AND(ISNUMBER($C49),ISNUMBER($D49),U$1&lt;=$D49,U$1+6&gt;=$C49),1,"")</f>
        <v/>
      </c>
      <c r="V49" s="7" t="str">
        <f>IF(AND(ISNUMBER($C49),ISNUMBER($D49),V$1&lt;=$D49,V$1+6&gt;=$C49),1,"")</f>
        <v/>
      </c>
      <c r="W49" s="7" t="str">
        <f>IF(AND(ISNUMBER($C49),ISNUMBER($D49),W$1&lt;=$D49,W$1+6&gt;=$C49),1,"")</f>
        <v/>
      </c>
      <c r="X49" s="7" t="str">
        <f>IF(AND(ISNUMBER($C49),ISNUMBER($D49),X$1&lt;=$D49,X$1+6&gt;=$C49),1,"")</f>
        <v/>
      </c>
      <c r="Y49" s="7" t="str">
        <f>IF(AND(ISNUMBER($C49),ISNUMBER($D49),Y$1&lt;=$D49,Y$1+6&gt;=$C49),1,"")</f>
        <v/>
      </c>
      <c r="Z49" s="7" t="str">
        <f>IF(AND(ISNUMBER($C49),ISNUMBER($D49),Z$1&lt;=$D49,Z$1+6&gt;=$C49),1,"")</f>
        <v/>
      </c>
      <c r="AA49" s="7" t="str">
        <f>IF(AND(ISNUMBER($C49),ISNUMBER($D49),AA$1&lt;=$D49,AA$1+6&gt;=$C49),1,"")</f>
        <v/>
      </c>
      <c r="AB49" s="7" t="str">
        <f>IF(AND(ISNUMBER($C49),ISNUMBER($D49),AB$1&lt;=$D49,AB$1+6&gt;=$C49),1,"")</f>
        <v/>
      </c>
      <c r="AC49" s="7" t="str">
        <f>IF(AND(ISNUMBER($C49),ISNUMBER($D49),AC$1&lt;=$D49,AC$1+6&gt;=$C49),1,"")</f>
        <v/>
      </c>
      <c r="AD49" s="7" t="str">
        <f>IF(AND(ISNUMBER($C49),ISNUMBER($D49),AD$1&lt;=$D49,AD$1+6&gt;=$C49),1,"")</f>
        <v/>
      </c>
      <c r="AE49" s="7" t="str">
        <f>IF(AND(ISNUMBER($C49),ISNUMBER($D49),AE$1&lt;=$D49,AE$1+6&gt;=$C49),1,"")</f>
        <v/>
      </c>
      <c r="AF49" s="7" t="str">
        <f>IF(AND(ISNUMBER($C49),ISNUMBER($D49),AF$1&lt;=$D49,AF$1+6&gt;=$C49),1,"")</f>
        <v/>
      </c>
      <c r="AG49" s="7" t="str">
        <f>IF(AND(ISNUMBER($C49),ISNUMBER($D49),AG$1&lt;=$D49,AG$1+6&gt;=$C49),1,"")</f>
        <v/>
      </c>
      <c r="AH49" s="7" t="str">
        <f>IF(AND(ISNUMBER($C49),ISNUMBER($D49),AH$1&lt;=$D49,AH$1+6&gt;=$C49),1,"")</f>
        <v/>
      </c>
      <c r="AI49" s="7" t="str">
        <f>IF(AND(ISNUMBER($C49),ISNUMBER($D49),AI$1&lt;=$D49,AI$1+6&gt;=$C49),1,"")</f>
        <v/>
      </c>
      <c r="AJ49" s="7" t="str">
        <f>IF(AND(ISNUMBER($C49),ISNUMBER($D49),AJ$1&lt;=$D49,AJ$1+6&gt;=$C49),1,"")</f>
        <v/>
      </c>
      <c r="AK49" s="7" t="str">
        <f>IF(AND(ISNUMBER($C49),ISNUMBER($D49),AK$1&lt;=$D49,AK$1+6&gt;=$C49),1,"")</f>
        <v/>
      </c>
      <c r="AL49" s="7" t="str">
        <f>IF(AND(ISNUMBER($C49),ISNUMBER($D49),AL$1&lt;=$D49,AL$1+6&gt;=$C49),1,"")</f>
        <v/>
      </c>
      <c r="AM49" s="7" t="str">
        <f>IF(AND(ISNUMBER($C49),ISNUMBER($D49),AM$1&lt;=$D49,AM$1+6&gt;=$C49),1,"")</f>
        <v/>
      </c>
      <c r="AN49" s="7" t="str">
        <f>IF(AND(ISNUMBER($C49),ISNUMBER($D49),AN$1&lt;=$D49,AN$1+6&gt;=$C49),1,"")</f>
        <v/>
      </c>
      <c r="AO49" s="7" t="str">
        <f>IF(AND(ISNUMBER($C49),ISNUMBER($D49),AO$1&lt;=$D49,AO$1+6&gt;=$C49),1,"")</f>
        <v/>
      </c>
      <c r="AP49" s="7" t="str">
        <f>IF(AND(ISNUMBER($C49),ISNUMBER($D49),AP$1&lt;=$D49,AP$1+6&gt;=$C49),1,"")</f>
        <v/>
      </c>
      <c r="AQ49" s="7" t="str">
        <f>IF(AND(ISNUMBER($C49),ISNUMBER($D49),AQ$1&lt;=$D49,AQ$1+6&gt;=$C49),1,"")</f>
        <v/>
      </c>
      <c r="AR49" s="7" t="str">
        <f>IF(AND(ISNUMBER($C49),ISNUMBER($D49),AR$1&lt;=$D49,AR$1+6&gt;=$C49),1,"")</f>
        <v/>
      </c>
      <c r="AS49" s="7" t="str">
        <f>IF(AND(ISNUMBER($C49),ISNUMBER($D49),AS$1&lt;=$D49,AS$1+6&gt;=$C49),1,"")</f>
        <v/>
      </c>
      <c r="AT49" s="7" t="str">
        <f>IF(AND(ISNUMBER($C49),ISNUMBER($D49),AT$1&lt;=$D49,AT$1+6&gt;=$C49),1,"")</f>
        <v/>
      </c>
      <c r="AU49" s="7" t="str">
        <f>IF(AND(ISNUMBER($C49),ISNUMBER($D49),AU$1&lt;=$D49,AU$1+6&gt;=$C49),1,"")</f>
        <v/>
      </c>
      <c r="AV49" s="7" t="str">
        <f>IF(AND(ISNUMBER($C49),ISNUMBER($D49),AV$1&lt;=$D49,AV$1+6&gt;=$C49),1,"")</f>
        <v/>
      </c>
      <c r="AW49" s="7" t="str">
        <f>IF(AND(ISNUMBER($C49),ISNUMBER($D49),AW$1&lt;=$D49,AW$1+6&gt;=$C49),1,"")</f>
        <v/>
      </c>
      <c r="AX49" s="7" t="str">
        <f>IF(AND(ISNUMBER($C49),ISNUMBER($D49),AX$1&lt;=$D49,AX$1+6&gt;=$C49),1,"")</f>
        <v/>
      </c>
      <c r="AY49" s="7" t="str">
        <f>IF(AND(ISNUMBER($C49),ISNUMBER($D49),AY$1&lt;=$D49,AY$1+6&gt;=$C49),1,"")</f>
        <v/>
      </c>
      <c r="AZ49" s="7" t="str">
        <f>IF(AND(ISNUMBER($C49),ISNUMBER($D49),AZ$1&lt;=$D49,AZ$1+6&gt;=$C49),1,"")</f>
        <v/>
      </c>
      <c r="BA49" s="7" t="str">
        <f>IF(AND(ISNUMBER($C49),ISNUMBER($D49),BA$1&lt;=$D49,BA$1+6&gt;=$C49),1,"")</f>
        <v/>
      </c>
      <c r="BB49" s="7" t="str">
        <f>IF(AND(ISNUMBER($C49),ISNUMBER($D49),BB$1&lt;=$D49,BB$1+6&gt;=$C49),1,"")</f>
        <v/>
      </c>
      <c r="BC49" s="7" t="str">
        <f>IF(AND(ISNUMBER($C49),ISNUMBER($D49),BC$1&lt;=$D49,BC$1+6&gt;=$C49),1,"")</f>
        <v/>
      </c>
      <c r="BD49" s="7" t="str">
        <f>IF(AND(ISNUMBER($C49),ISNUMBER($D49),BD$1&lt;=$D49,BD$1+6&gt;=$C49),1,"")</f>
        <v/>
      </c>
      <c r="BE49" s="7" t="str">
        <f>IF(AND(ISNUMBER($C49),ISNUMBER($D49),BE$1&lt;=$D49,BE$1+6&gt;=$C49),1,"")</f>
        <v/>
      </c>
      <c r="BF49" s="7" t="str">
        <f>IF(AND(ISNUMBER($C49),ISNUMBER($D49),BF$1&lt;=$D49,BF$1+6&gt;=$C49),1,"")</f>
        <v/>
      </c>
      <c r="BG49" s="7" t="str">
        <f>IF(AND(ISNUMBER($C49),ISNUMBER($D49),BG$1&lt;=$D49,BG$1+6&gt;=$C49),1,"")</f>
        <v/>
      </c>
      <c r="BH49" s="7" t="str">
        <f>IF(AND(ISNUMBER($C49),ISNUMBER($D49),BH$1&lt;=$D49,BH$1+6&gt;=$C49),1,"")</f>
        <v/>
      </c>
      <c r="BI49" s="7" t="str">
        <f>IF(AND(ISNUMBER($C49),ISNUMBER($D49),BI$1&lt;=$D49,BI$1+6&gt;=$C49),1,"")</f>
        <v/>
      </c>
      <c r="BJ49" s="7" t="str">
        <f>IF(AND(ISNUMBER($C49),ISNUMBER($D49),BJ$1&lt;=$D49,BJ$1+6&gt;=$C49),1,"")</f>
        <v/>
      </c>
      <c r="BK49" s="7" t="str">
        <f>IF(AND(ISNUMBER($C49),ISNUMBER($D49),BK$1&lt;=$D49,BK$1+6&gt;=$C49),1,"")</f>
        <v/>
      </c>
      <c r="BL49" s="7" t="str">
        <f>IF(AND(ISNUMBER($C49),ISNUMBER($D49),BL$1&lt;=$D49,BL$1+6&gt;=$C49),1,"")</f>
        <v/>
      </c>
      <c r="BM49" s="7" t="str">
        <f>IF(AND(ISNUMBER($C49),ISNUMBER($D49),BM$1&lt;=$D49,BM$1+6&gt;=$C49),1,"")</f>
        <v/>
      </c>
      <c r="BN49" s="7" t="str">
        <f>IF(AND(ISNUMBER($C49),ISNUMBER($D49),BN$1&lt;=$D49,BN$1+6&gt;=$C49),1,"")</f>
        <v/>
      </c>
      <c r="BO49" s="7" t="str">
        <f>IF(AND(ISNUMBER($C49),ISNUMBER($D49),BO$1&lt;=$D49,BO$1+6&gt;=$C49),1,"")</f>
        <v/>
      </c>
      <c r="BP49" s="7" t="str">
        <f>IF(AND(ISNUMBER($C49),ISNUMBER($D49),BP$1&lt;=$D49,BP$1+6&gt;=$C49),1,"")</f>
        <v/>
      </c>
      <c r="BQ49" s="7" t="str">
        <f>IF(AND(ISNUMBER($C49),ISNUMBER($D49),BQ$1&lt;=$D49,BQ$1+6&gt;=$C49),1,"")</f>
        <v/>
      </c>
      <c r="BR49" s="7" t="str">
        <f>IF(AND(ISNUMBER($C49),ISNUMBER($D49),BR$1&lt;=$D49,BR$1+6&gt;=$C49),1,"")</f>
        <v/>
      </c>
      <c r="BS49" s="7" t="str">
        <f>IF(AND(ISNUMBER($C49),ISNUMBER($D49),BS$1&lt;=$D49,BS$1+6&gt;=$C49),1,"")</f>
        <v/>
      </c>
      <c r="BT49" s="7" t="str">
        <f>IF(AND(ISNUMBER($C49),ISNUMBER($D49),BT$1&lt;=$D49,BT$1+6&gt;=$C49),1,"")</f>
        <v/>
      </c>
      <c r="BU49" s="7" t="str">
        <f>IF(AND(ISNUMBER($C49),ISNUMBER($D49),BU$1&lt;=$D49,BU$1+6&gt;=$C49),1,"")</f>
        <v/>
      </c>
      <c r="BV49" s="7" t="str">
        <f>IF(AND(ISNUMBER($C49),ISNUMBER($D49),BV$1&lt;=$D49,BV$1+6&gt;=$C49),1,"")</f>
        <v/>
      </c>
      <c r="BW49" s="7" t="str">
        <f>IF(AND(ISNUMBER($C49),ISNUMBER($D49),BW$1&lt;=$D49,BW$1+6&gt;=$C49),1,"")</f>
        <v/>
      </c>
      <c r="BX49" s="7" t="str">
        <f>IF(AND(ISNUMBER($C49),ISNUMBER($D49),BX$1&lt;=$D49,BX$1+6&gt;=$C49),1,"")</f>
        <v/>
      </c>
      <c r="BY49" s="7" t="str">
        <f>IF(AND(ISNUMBER($C49),ISNUMBER($D49),BY$1&lt;=$D49,BY$1+6&gt;=$C49),1,"")</f>
        <v/>
      </c>
      <c r="BZ49" s="7" t="str">
        <f>IF(AND(ISNUMBER($C49),ISNUMBER($D49),BZ$1&lt;=$D49,BZ$1+6&gt;=$C49),1,"")</f>
        <v/>
      </c>
      <c r="CA49" s="7" t="str">
        <f>IF(AND(ISNUMBER($C49),ISNUMBER($D49),CA$1&lt;=$D49,CA$1+6&gt;=$C49),1,"")</f>
        <v/>
      </c>
      <c r="CB49" s="7" t="str">
        <f>IF(AND(ISNUMBER($C49),ISNUMBER($D49),CB$1&lt;=$D49,CB$1+6&gt;=$C49),1,"")</f>
        <v/>
      </c>
      <c r="CC49" s="7" t="str">
        <f>IF(AND(ISNUMBER($C49),ISNUMBER($D49),CC$1&lt;=$D49,CC$1+6&gt;=$C49),1,"")</f>
        <v/>
      </c>
      <c r="CD49" s="7" t="str">
        <f>IF(AND(ISNUMBER($C49),ISNUMBER($D49),CD$1&lt;=$D49,CD$1+6&gt;=$C49),1,"")</f>
        <v/>
      </c>
      <c r="CE49" s="7" t="str">
        <f>IF(AND(ISNUMBER($C49),ISNUMBER($D49),CE$1&lt;=$D49,CE$1+6&gt;=$C49),1,"")</f>
        <v/>
      </c>
      <c r="CF49" s="7" t="str">
        <f>IF(AND(ISNUMBER($C49),ISNUMBER($D49),CF$1&lt;=$D49,CF$1+6&gt;=$C49),1,"")</f>
        <v/>
      </c>
      <c r="CG49" s="7" t="str">
        <f>IF(AND(ISNUMBER($C49),ISNUMBER($D49),CG$1&lt;=$D49,CG$1+6&gt;=$C49),1,"")</f>
        <v/>
      </c>
      <c r="CH49" s="7" t="str">
        <f>IF(AND(ISNUMBER($C49),ISNUMBER($D49),CH$1&lt;=$D49,CH$1+6&gt;=$C49),1,"")</f>
        <v/>
      </c>
      <c r="CI49" s="7" t="str">
        <f>IF(AND(ISNUMBER($C49),ISNUMBER($D49),CI$1&lt;=$D49,CI$1+6&gt;=$C49),1,"")</f>
        <v/>
      </c>
      <c r="CJ49" s="7" t="str">
        <f>IF(AND(ISNUMBER($C49),ISNUMBER($D49),CJ$1&lt;=$D49,CJ$1+6&gt;=$C49),1,"")</f>
        <v/>
      </c>
      <c r="CK49" s="7" t="str">
        <f>IF(AND(ISNUMBER($C49),ISNUMBER($D49),CK$1&lt;=$D49,CK$1+6&gt;=$C49),1,"")</f>
        <v/>
      </c>
      <c r="CL49" s="7" t="str">
        <f>IF(AND(ISNUMBER($C49),ISNUMBER($D49),CL$1&lt;=$D49,CL$1+6&gt;=$C49),1,"")</f>
        <v/>
      </c>
      <c r="CM49" s="7" t="str">
        <f>IF(AND(ISNUMBER($C49),ISNUMBER($D49),CM$1&lt;=$D49,CM$1+6&gt;=$C49),1,"")</f>
        <v/>
      </c>
      <c r="CN49" s="7" t="str">
        <f>IF(AND(ISNUMBER($C49),ISNUMBER($D49),CN$1&lt;=$D49,CN$1+6&gt;=$C49),1,"")</f>
        <v/>
      </c>
      <c r="CO49" s="7" t="str">
        <f>IF(AND(ISNUMBER($C49),ISNUMBER($D49),CO$1&lt;=$D49,CO$1+6&gt;=$C49),1,"")</f>
        <v/>
      </c>
      <c r="CP49" s="7" t="str">
        <f>IF(AND(ISNUMBER($C49),ISNUMBER($D49),CP$1&lt;=$D49,CP$1+6&gt;=$C49),1,"")</f>
        <v/>
      </c>
      <c r="CQ49" s="7" t="str">
        <f>IF(AND(ISNUMBER($C49),ISNUMBER($D49),CQ$1&lt;=$D49,CQ$1+6&gt;=$C49),1,"")</f>
        <v/>
      </c>
      <c r="CR49" s="7" t="str">
        <f>IF(AND(ISNUMBER($C49),ISNUMBER($D49),CR$1&lt;=$D49,CR$1+6&gt;=$C49),1,"")</f>
        <v/>
      </c>
      <c r="CS49" s="7" t="str">
        <f>IF(AND(ISNUMBER($C49),ISNUMBER($D49),CS$1&lt;=$D49,CS$1+6&gt;=$C49),1,"")</f>
        <v/>
      </c>
      <c r="CT49" s="7" t="str">
        <f>IF(AND(ISNUMBER($C49),ISNUMBER($D49),CT$1&lt;=$D49,CT$1+6&gt;=$C49),1,"")</f>
        <v/>
      </c>
      <c r="CU49" s="7" t="str">
        <f>IF(AND(ISNUMBER($C49),ISNUMBER($D49),CU$1&lt;=$D49,CU$1+6&gt;=$C49),1,"")</f>
        <v/>
      </c>
      <c r="CV49" s="7" t="str">
        <f>IF(AND(ISNUMBER($C49),ISNUMBER($D49),CV$1&lt;=$D49,CV$1+6&gt;=$C49),1,"")</f>
        <v/>
      </c>
      <c r="CW49" s="7" t="str">
        <f>IF(AND(ISNUMBER($C49),ISNUMBER($D49),CW$1&lt;=$D49,CW$1+6&gt;=$C49),1,"")</f>
        <v/>
      </c>
      <c r="CX49" s="7" t="str">
        <f>IF(AND(ISNUMBER($C49),ISNUMBER($D49),CX$1&lt;=$D49,CX$1+6&gt;=$C49),1,"")</f>
        <v/>
      </c>
      <c r="CY49" s="7" t="str">
        <f>IF(AND(ISNUMBER($C49),ISNUMBER($D49),CY$1&lt;=$D49,CY$1+6&gt;=$C49),1,"")</f>
        <v/>
      </c>
      <c r="CZ49" s="7" t="str">
        <f>IF(AND(ISNUMBER($C49),ISNUMBER($D49),CZ$1&lt;=$D49,CZ$1+6&gt;=$C49),1,"")</f>
        <v/>
      </c>
      <c r="DA49" s="7" t="str">
        <f>IF(AND(ISNUMBER($C49),ISNUMBER($D49),DA$1&lt;=$D49,DA$1+6&gt;=$C49),1,"")</f>
        <v/>
      </c>
      <c r="DB49" s="7" t="str">
        <f>IF(AND(ISNUMBER($C49),ISNUMBER($D49),DB$1&lt;=$D49,DB$1+6&gt;=$C49),1,"")</f>
        <v/>
      </c>
      <c r="DC49" s="7" t="str">
        <f>IF(AND(ISNUMBER($C49),ISNUMBER($D49),DC$1&lt;=$D49,DC$1+6&gt;=$C49),1,"")</f>
        <v/>
      </c>
      <c r="DD49" s="7" t="str">
        <f>IF(AND(ISNUMBER($C49),ISNUMBER($D49),DD$1&lt;=$D49,DD$1+6&gt;=$C49),1,"")</f>
        <v/>
      </c>
    </row>
  </sheetData>
  <conditionalFormatting sqref="E2:DD49">
    <cfRule type="cellIs" dxfId="0" priority="1" stopIfTrue="1" operator="equal">
      <formula>1</formula>
    </cfRule>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CA630F-4AFF-4022-B48E-EC3B2772B957}">
  <dimension ref="A1:G95"/>
  <sheetViews>
    <sheetView workbookViewId="0">
      <pane ySplit="1" topLeftCell="A2" activePane="bottomLeft" state="frozenSplit"/>
      <selection pane="bottomLeft"/>
    </sheetView>
  </sheetViews>
  <sheetFormatPr defaultRowHeight="14.5" x14ac:dyDescent="0.35"/>
  <cols>
    <col min="1" max="4" width="32.6328125" customWidth="1"/>
    <col min="5" max="6" width="16.6328125" customWidth="1"/>
    <col min="7" max="7" width="90.6328125" customWidth="1"/>
  </cols>
  <sheetData>
    <row r="1" spans="1:7" ht="30" customHeight="1" x14ac:dyDescent="0.35">
      <c r="A1" s="1" t="s">
        <v>256</v>
      </c>
      <c r="B1" s="1" t="s">
        <v>257</v>
      </c>
      <c r="C1" s="1" t="s">
        <v>258</v>
      </c>
      <c r="D1" s="1" t="s">
        <v>259</v>
      </c>
      <c r="E1" s="1" t="s">
        <v>36</v>
      </c>
      <c r="F1" s="1" t="s">
        <v>45</v>
      </c>
      <c r="G1" s="1" t="s">
        <v>260</v>
      </c>
    </row>
    <row r="2" spans="1:7" ht="45" customHeight="1" x14ac:dyDescent="0.35">
      <c r="A2" s="8" t="s">
        <v>261</v>
      </c>
      <c r="B2" s="8" t="s">
        <v>262</v>
      </c>
      <c r="C2" s="8" t="s">
        <v>53</v>
      </c>
      <c r="D2" s="8" t="s">
        <v>54</v>
      </c>
      <c r="E2" s="8">
        <f>Schedule!D2</f>
        <v>1</v>
      </c>
      <c r="F2" s="8" t="str">
        <f>Schedule!M2</f>
        <v>Planned</v>
      </c>
      <c r="G2" s="8" t="s">
        <v>263</v>
      </c>
    </row>
    <row r="3" spans="1:7" ht="45" customHeight="1" x14ac:dyDescent="0.35">
      <c r="A3" s="8" t="s">
        <v>264</v>
      </c>
      <c r="B3" s="8" t="s">
        <v>262</v>
      </c>
      <c r="C3" s="8" t="s">
        <v>53</v>
      </c>
      <c r="D3" s="8" t="s">
        <v>54</v>
      </c>
      <c r="E3" s="8">
        <f>Schedule!D2</f>
        <v>1</v>
      </c>
      <c r="F3" s="8" t="str">
        <f>Schedule!M2</f>
        <v>Planned</v>
      </c>
      <c r="G3" s="8" t="s">
        <v>265</v>
      </c>
    </row>
    <row r="4" spans="1:7" ht="45" customHeight="1" x14ac:dyDescent="0.35">
      <c r="A4" s="8" t="s">
        <v>266</v>
      </c>
      <c r="B4" s="8" t="s">
        <v>262</v>
      </c>
      <c r="C4" s="8" t="s">
        <v>53</v>
      </c>
      <c r="D4" s="8" t="s">
        <v>54</v>
      </c>
      <c r="E4" s="8">
        <f>Schedule!D2</f>
        <v>1</v>
      </c>
      <c r="F4" s="8" t="str">
        <f>Schedule!M2</f>
        <v>Planned</v>
      </c>
      <c r="G4" s="8" t="s">
        <v>267</v>
      </c>
    </row>
    <row r="5" spans="1:7" ht="45" customHeight="1" x14ac:dyDescent="0.35">
      <c r="A5" s="8" t="s">
        <v>268</v>
      </c>
      <c r="B5" s="8" t="s">
        <v>262</v>
      </c>
      <c r="C5" s="8" t="s">
        <v>53</v>
      </c>
      <c r="D5" s="8" t="s">
        <v>54</v>
      </c>
      <c r="E5" s="8">
        <f>Schedule!D2</f>
        <v>1</v>
      </c>
      <c r="F5" s="8" t="str">
        <f>Schedule!M2</f>
        <v>Planned</v>
      </c>
      <c r="G5" s="8" t="s">
        <v>269</v>
      </c>
    </row>
    <row r="6" spans="1:7" ht="45" customHeight="1" x14ac:dyDescent="0.35">
      <c r="A6" s="8" t="s">
        <v>270</v>
      </c>
      <c r="B6" s="8" t="s">
        <v>262</v>
      </c>
      <c r="C6" s="8" t="s">
        <v>53</v>
      </c>
      <c r="D6" s="8" t="s">
        <v>54</v>
      </c>
      <c r="E6" s="8">
        <f>Schedule!D2</f>
        <v>1</v>
      </c>
      <c r="F6" s="8" t="str">
        <f>Schedule!M2</f>
        <v>Planned</v>
      </c>
      <c r="G6" s="8" t="s">
        <v>271</v>
      </c>
    </row>
    <row r="7" spans="1:7" ht="45" customHeight="1" x14ac:dyDescent="0.35">
      <c r="A7" s="8" t="s">
        <v>272</v>
      </c>
      <c r="B7" s="8" t="s">
        <v>262</v>
      </c>
      <c r="C7" s="8" t="s">
        <v>123</v>
      </c>
      <c r="D7" s="8" t="s">
        <v>124</v>
      </c>
      <c r="E7" s="8">
        <f>Schedule!D21</f>
        <v>1</v>
      </c>
      <c r="F7" s="8" t="str">
        <f>Schedule!M21</f>
        <v>Planned</v>
      </c>
      <c r="G7" s="8" t="s">
        <v>273</v>
      </c>
    </row>
    <row r="8" spans="1:7" ht="45" customHeight="1" x14ac:dyDescent="0.35">
      <c r="A8" s="8" t="s">
        <v>274</v>
      </c>
      <c r="B8" s="8" t="s">
        <v>262</v>
      </c>
      <c r="C8" s="8" t="s">
        <v>202</v>
      </c>
      <c r="D8" s="8" t="s">
        <v>203</v>
      </c>
      <c r="E8" s="8">
        <f>Schedule!D42</f>
        <v>1</v>
      </c>
      <c r="F8" s="8" t="str">
        <f>Schedule!M42</f>
        <v>Planned</v>
      </c>
      <c r="G8" s="8" t="s">
        <v>275</v>
      </c>
    </row>
    <row r="9" spans="1:7" ht="45" customHeight="1" x14ac:dyDescent="0.35">
      <c r="A9" s="8" t="s">
        <v>276</v>
      </c>
      <c r="B9" s="8" t="s">
        <v>262</v>
      </c>
      <c r="C9" s="8" t="s">
        <v>198</v>
      </c>
      <c r="D9" s="8" t="s">
        <v>199</v>
      </c>
      <c r="E9" s="8">
        <f>Schedule!D41</f>
        <v>1</v>
      </c>
      <c r="F9" s="8" t="str">
        <f>Schedule!M41</f>
        <v>Planned</v>
      </c>
      <c r="G9" s="8" t="s">
        <v>277</v>
      </c>
    </row>
    <row r="10" spans="1:7" ht="45" customHeight="1" x14ac:dyDescent="0.35">
      <c r="A10" s="8" t="s">
        <v>278</v>
      </c>
      <c r="B10" s="8" t="s">
        <v>262</v>
      </c>
      <c r="C10" s="8" t="s">
        <v>53</v>
      </c>
      <c r="D10" s="8" t="s">
        <v>54</v>
      </c>
      <c r="E10" s="8">
        <f>Schedule!D2</f>
        <v>1</v>
      </c>
      <c r="F10" s="8" t="str">
        <f>Schedule!M2</f>
        <v>Planned</v>
      </c>
      <c r="G10" s="8" t="s">
        <v>279</v>
      </c>
    </row>
    <row r="11" spans="1:7" ht="45" customHeight="1" x14ac:dyDescent="0.35">
      <c r="A11" s="8" t="s">
        <v>280</v>
      </c>
      <c r="B11" s="8" t="s">
        <v>262</v>
      </c>
      <c r="C11" s="8" t="s">
        <v>53</v>
      </c>
      <c r="D11" s="8" t="s">
        <v>54</v>
      </c>
      <c r="E11" s="8">
        <f>Schedule!D2</f>
        <v>1</v>
      </c>
      <c r="F11" s="8" t="str">
        <f>Schedule!M2</f>
        <v>Planned</v>
      </c>
      <c r="G11" s="8" t="s">
        <v>281</v>
      </c>
    </row>
    <row r="12" spans="1:7" ht="45" customHeight="1" x14ac:dyDescent="0.35">
      <c r="A12" s="8" t="s">
        <v>282</v>
      </c>
      <c r="B12" s="8" t="s">
        <v>283</v>
      </c>
      <c r="C12" s="8" t="s">
        <v>58</v>
      </c>
      <c r="D12" s="8" t="s">
        <v>59</v>
      </c>
      <c r="E12" s="8">
        <f>Schedule!D3</f>
        <v>1</v>
      </c>
      <c r="F12" s="8" t="str">
        <f>Schedule!M3</f>
        <v>Planned</v>
      </c>
      <c r="G12" s="8" t="s">
        <v>284</v>
      </c>
    </row>
    <row r="13" spans="1:7" ht="45" customHeight="1" x14ac:dyDescent="0.35">
      <c r="A13" s="8" t="s">
        <v>285</v>
      </c>
      <c r="B13" s="8" t="s">
        <v>283</v>
      </c>
      <c r="C13" s="8" t="s">
        <v>58</v>
      </c>
      <c r="D13" s="8" t="s">
        <v>59</v>
      </c>
      <c r="E13" s="8">
        <f>Schedule!D3</f>
        <v>1</v>
      </c>
      <c r="F13" s="8" t="str">
        <f>Schedule!M3</f>
        <v>Planned</v>
      </c>
      <c r="G13" s="8" t="s">
        <v>286</v>
      </c>
    </row>
    <row r="14" spans="1:7" ht="45" customHeight="1" x14ac:dyDescent="0.35">
      <c r="A14" s="8" t="s">
        <v>287</v>
      </c>
      <c r="B14" s="8" t="s">
        <v>283</v>
      </c>
      <c r="C14" s="8" t="s">
        <v>78</v>
      </c>
      <c r="D14" s="8" t="s">
        <v>79</v>
      </c>
      <c r="E14" s="8">
        <f>Schedule!D8</f>
        <v>1</v>
      </c>
      <c r="F14" s="8" t="str">
        <f>Schedule!M8</f>
        <v>Planned</v>
      </c>
      <c r="G14" s="8" t="s">
        <v>288</v>
      </c>
    </row>
    <row r="15" spans="1:7" ht="45" customHeight="1" x14ac:dyDescent="0.35">
      <c r="A15" s="8" t="s">
        <v>289</v>
      </c>
      <c r="B15" s="8" t="s">
        <v>283</v>
      </c>
      <c r="C15" s="8" t="s">
        <v>208</v>
      </c>
      <c r="D15" s="8" t="s">
        <v>209</v>
      </c>
      <c r="E15" s="8">
        <f>Schedule!D44</f>
        <v>0</v>
      </c>
      <c r="F15" s="8" t="str">
        <f>Schedule!M44</f>
        <v>Skipped</v>
      </c>
      <c r="G15" s="8" t="s">
        <v>290</v>
      </c>
    </row>
    <row r="16" spans="1:7" ht="45" customHeight="1" x14ac:dyDescent="0.35">
      <c r="A16" s="8" t="s">
        <v>291</v>
      </c>
      <c r="B16" s="8" t="s">
        <v>283</v>
      </c>
      <c r="C16" s="8" t="s">
        <v>208</v>
      </c>
      <c r="D16" s="8" t="s">
        <v>209</v>
      </c>
      <c r="E16" s="8">
        <f>Schedule!D44</f>
        <v>0</v>
      </c>
      <c r="F16" s="8" t="str">
        <f>Schedule!M44</f>
        <v>Skipped</v>
      </c>
      <c r="G16" s="8" t="s">
        <v>292</v>
      </c>
    </row>
    <row r="17" spans="1:7" ht="45" customHeight="1" x14ac:dyDescent="0.35">
      <c r="A17" s="8" t="s">
        <v>293</v>
      </c>
      <c r="B17" s="8" t="s">
        <v>283</v>
      </c>
      <c r="C17" s="8" t="s">
        <v>208</v>
      </c>
      <c r="D17" s="8" t="s">
        <v>209</v>
      </c>
      <c r="E17" s="8">
        <f>Schedule!D44</f>
        <v>0</v>
      </c>
      <c r="F17" s="8" t="str">
        <f>Schedule!M44</f>
        <v>Skipped</v>
      </c>
      <c r="G17" s="8" t="s">
        <v>294</v>
      </c>
    </row>
    <row r="18" spans="1:7" ht="45" customHeight="1" x14ac:dyDescent="0.35">
      <c r="A18" s="8" t="s">
        <v>295</v>
      </c>
      <c r="B18" s="8" t="s">
        <v>283</v>
      </c>
      <c r="C18" s="8" t="s">
        <v>208</v>
      </c>
      <c r="D18" s="8" t="s">
        <v>209</v>
      </c>
      <c r="E18" s="8">
        <f>Schedule!D44</f>
        <v>0</v>
      </c>
      <c r="F18" s="8" t="str">
        <f>Schedule!M44</f>
        <v>Skipped</v>
      </c>
      <c r="G18" s="8" t="s">
        <v>296</v>
      </c>
    </row>
    <row r="19" spans="1:7" ht="45" customHeight="1" x14ac:dyDescent="0.35">
      <c r="A19" s="8" t="s">
        <v>297</v>
      </c>
      <c r="B19" s="8" t="s">
        <v>283</v>
      </c>
      <c r="C19" s="8" t="s">
        <v>150</v>
      </c>
      <c r="D19" s="8" t="s">
        <v>151</v>
      </c>
      <c r="E19" s="8">
        <f>Schedule!D28</f>
        <v>1</v>
      </c>
      <c r="F19" s="8" t="str">
        <f>Schedule!M28</f>
        <v>Planned</v>
      </c>
      <c r="G19" s="8" t="s">
        <v>298</v>
      </c>
    </row>
    <row r="20" spans="1:7" ht="45" customHeight="1" x14ac:dyDescent="0.35">
      <c r="A20" s="8" t="s">
        <v>299</v>
      </c>
      <c r="B20" s="8" t="s">
        <v>283</v>
      </c>
      <c r="C20" s="8" t="s">
        <v>62</v>
      </c>
      <c r="D20" s="8" t="s">
        <v>63</v>
      </c>
      <c r="E20" s="8">
        <f>Schedule!D4</f>
        <v>1</v>
      </c>
      <c r="F20" s="8" t="str">
        <f>Schedule!M4</f>
        <v>Planned</v>
      </c>
      <c r="G20" s="8" t="s">
        <v>300</v>
      </c>
    </row>
    <row r="21" spans="1:7" ht="45" customHeight="1" x14ac:dyDescent="0.35">
      <c r="A21" s="8" t="s">
        <v>301</v>
      </c>
      <c r="B21" s="8" t="s">
        <v>283</v>
      </c>
      <c r="C21" s="8" t="s">
        <v>62</v>
      </c>
      <c r="D21" s="8" t="s">
        <v>63</v>
      </c>
      <c r="E21" s="8">
        <f>Schedule!D4</f>
        <v>1</v>
      </c>
      <c r="F21" s="8" t="str">
        <f>Schedule!M4</f>
        <v>Planned</v>
      </c>
      <c r="G21" s="8" t="s">
        <v>302</v>
      </c>
    </row>
    <row r="22" spans="1:7" ht="45" customHeight="1" x14ac:dyDescent="0.35">
      <c r="A22" s="8" t="s">
        <v>303</v>
      </c>
      <c r="B22" s="8" t="s">
        <v>304</v>
      </c>
      <c r="C22" s="8" t="s">
        <v>78</v>
      </c>
      <c r="D22" s="8" t="s">
        <v>79</v>
      </c>
      <c r="E22" s="8">
        <f>Schedule!D8</f>
        <v>1</v>
      </c>
      <c r="F22" s="8" t="str">
        <f>Schedule!M8</f>
        <v>Planned</v>
      </c>
      <c r="G22" s="8" t="s">
        <v>305</v>
      </c>
    </row>
    <row r="23" spans="1:7" ht="45" customHeight="1" x14ac:dyDescent="0.35">
      <c r="A23" s="8" t="s">
        <v>306</v>
      </c>
      <c r="B23" s="8" t="s">
        <v>304</v>
      </c>
      <c r="C23" s="8" t="s">
        <v>78</v>
      </c>
      <c r="D23" s="8" t="s">
        <v>79</v>
      </c>
      <c r="E23" s="8">
        <f>Schedule!D8</f>
        <v>1</v>
      </c>
      <c r="F23" s="8" t="str">
        <f>Schedule!M8</f>
        <v>Planned</v>
      </c>
      <c r="G23" s="8" t="s">
        <v>307</v>
      </c>
    </row>
    <row r="24" spans="1:7" ht="45" customHeight="1" x14ac:dyDescent="0.35">
      <c r="A24" s="8" t="s">
        <v>308</v>
      </c>
      <c r="B24" s="8" t="s">
        <v>304</v>
      </c>
      <c r="C24" s="8" t="s">
        <v>78</v>
      </c>
      <c r="D24" s="8" t="s">
        <v>79</v>
      </c>
      <c r="E24" s="8">
        <f>Schedule!D8</f>
        <v>1</v>
      </c>
      <c r="F24" s="8" t="str">
        <f>Schedule!M8</f>
        <v>Planned</v>
      </c>
      <c r="G24" s="8" t="s">
        <v>309</v>
      </c>
    </row>
    <row r="25" spans="1:7" ht="45" customHeight="1" x14ac:dyDescent="0.35">
      <c r="A25" s="8" t="s">
        <v>310</v>
      </c>
      <c r="B25" s="8" t="s">
        <v>304</v>
      </c>
      <c r="C25" s="8" t="s">
        <v>78</v>
      </c>
      <c r="D25" s="8" t="s">
        <v>79</v>
      </c>
      <c r="E25" s="8">
        <f>Schedule!D8</f>
        <v>1</v>
      </c>
      <c r="F25" s="8" t="str">
        <f>Schedule!M8</f>
        <v>Planned</v>
      </c>
      <c r="G25" s="8" t="s">
        <v>311</v>
      </c>
    </row>
    <row r="26" spans="1:7" ht="45" customHeight="1" x14ac:dyDescent="0.35">
      <c r="A26" s="8" t="s">
        <v>312</v>
      </c>
      <c r="B26" s="8" t="s">
        <v>304</v>
      </c>
      <c r="C26" s="8" t="s">
        <v>78</v>
      </c>
      <c r="D26" s="8" t="s">
        <v>79</v>
      </c>
      <c r="E26" s="8">
        <f>Schedule!D8</f>
        <v>1</v>
      </c>
      <c r="F26" s="8" t="str">
        <f>Schedule!M8</f>
        <v>Planned</v>
      </c>
      <c r="G26" s="8" t="s">
        <v>313</v>
      </c>
    </row>
    <row r="27" spans="1:7" ht="45" customHeight="1" x14ac:dyDescent="0.35">
      <c r="A27" s="8" t="s">
        <v>314</v>
      </c>
      <c r="B27" s="8" t="s">
        <v>304</v>
      </c>
      <c r="C27" s="8" t="s">
        <v>70</v>
      </c>
      <c r="D27" s="8" t="s">
        <v>71</v>
      </c>
      <c r="E27" s="8">
        <f>Schedule!D6</f>
        <v>1</v>
      </c>
      <c r="F27" s="8" t="str">
        <f>Schedule!M6</f>
        <v>Planned</v>
      </c>
      <c r="G27" s="8" t="s">
        <v>315</v>
      </c>
    </row>
    <row r="28" spans="1:7" ht="45" customHeight="1" x14ac:dyDescent="0.35">
      <c r="A28" s="8" t="s">
        <v>316</v>
      </c>
      <c r="B28" s="8" t="s">
        <v>304</v>
      </c>
      <c r="C28" s="8" t="s">
        <v>223</v>
      </c>
      <c r="D28" s="8" t="s">
        <v>224</v>
      </c>
      <c r="E28" s="8">
        <f>Schedule!D48</f>
        <v>0</v>
      </c>
      <c r="F28" s="8" t="str">
        <f>Schedule!M48</f>
        <v>Skipped</v>
      </c>
      <c r="G28" s="8" t="s">
        <v>317</v>
      </c>
    </row>
    <row r="29" spans="1:7" ht="45" customHeight="1" x14ac:dyDescent="0.35">
      <c r="A29" s="8" t="s">
        <v>318</v>
      </c>
      <c r="B29" s="8" t="s">
        <v>304</v>
      </c>
      <c r="C29" s="8" t="s">
        <v>74</v>
      </c>
      <c r="D29" s="8" t="s">
        <v>75</v>
      </c>
      <c r="E29" s="8">
        <f>Schedule!D7</f>
        <v>1</v>
      </c>
      <c r="F29" s="8" t="str">
        <f>Schedule!M7</f>
        <v>Planned</v>
      </c>
      <c r="G29" s="8" t="s">
        <v>319</v>
      </c>
    </row>
    <row r="30" spans="1:7" ht="45" customHeight="1" x14ac:dyDescent="0.35">
      <c r="A30" s="8" t="s">
        <v>320</v>
      </c>
      <c r="B30" s="8" t="s">
        <v>304</v>
      </c>
      <c r="C30" s="8" t="s">
        <v>74</v>
      </c>
      <c r="D30" s="8" t="s">
        <v>75</v>
      </c>
      <c r="E30" s="8">
        <f>Schedule!D7</f>
        <v>1</v>
      </c>
      <c r="F30" s="8" t="str">
        <f>Schedule!M7</f>
        <v>Planned</v>
      </c>
      <c r="G30" s="8" t="s">
        <v>321</v>
      </c>
    </row>
    <row r="31" spans="1:7" ht="45" customHeight="1" x14ac:dyDescent="0.35">
      <c r="A31" s="8" t="s">
        <v>322</v>
      </c>
      <c r="B31" s="8" t="s">
        <v>304</v>
      </c>
      <c r="C31" s="8" t="s">
        <v>223</v>
      </c>
      <c r="D31" s="8" t="s">
        <v>224</v>
      </c>
      <c r="E31" s="8">
        <f>Schedule!D48</f>
        <v>0</v>
      </c>
      <c r="F31" s="8" t="str">
        <f>Schedule!M48</f>
        <v>Skipped</v>
      </c>
      <c r="G31" s="8" t="s">
        <v>323</v>
      </c>
    </row>
    <row r="32" spans="1:7" ht="45" customHeight="1" x14ac:dyDescent="0.35">
      <c r="A32" s="8" t="s">
        <v>324</v>
      </c>
      <c r="B32" s="8" t="s">
        <v>304</v>
      </c>
      <c r="C32" s="8" t="s">
        <v>70</v>
      </c>
      <c r="D32" s="8" t="s">
        <v>71</v>
      </c>
      <c r="E32" s="8">
        <f>Schedule!D6</f>
        <v>1</v>
      </c>
      <c r="F32" s="8" t="str">
        <f>Schedule!M6</f>
        <v>Planned</v>
      </c>
      <c r="G32" s="8" t="s">
        <v>325</v>
      </c>
    </row>
    <row r="33" spans="1:7" ht="45" customHeight="1" x14ac:dyDescent="0.35">
      <c r="A33" s="8" t="s">
        <v>326</v>
      </c>
      <c r="B33" s="8" t="s">
        <v>304</v>
      </c>
      <c r="C33" s="8" t="s">
        <v>223</v>
      </c>
      <c r="D33" s="8" t="s">
        <v>224</v>
      </c>
      <c r="E33" s="8">
        <f>Schedule!D48</f>
        <v>0</v>
      </c>
      <c r="F33" s="8" t="str">
        <f>Schedule!M48</f>
        <v>Skipped</v>
      </c>
      <c r="G33" s="8" t="s">
        <v>327</v>
      </c>
    </row>
    <row r="34" spans="1:7" ht="45" customHeight="1" x14ac:dyDescent="0.35">
      <c r="A34" s="8" t="s">
        <v>328</v>
      </c>
      <c r="B34" s="8" t="s">
        <v>304</v>
      </c>
      <c r="C34" s="8" t="s">
        <v>82</v>
      </c>
      <c r="D34" s="8" t="s">
        <v>83</v>
      </c>
      <c r="E34" s="8">
        <f>Schedule!D9</f>
        <v>1</v>
      </c>
      <c r="F34" s="8" t="str">
        <f>Schedule!M9</f>
        <v>Planned</v>
      </c>
      <c r="G34" s="8" t="s">
        <v>329</v>
      </c>
    </row>
    <row r="35" spans="1:7" ht="45" customHeight="1" x14ac:dyDescent="0.35">
      <c r="A35" s="8" t="s">
        <v>330</v>
      </c>
      <c r="B35" s="8" t="s">
        <v>304</v>
      </c>
      <c r="C35" s="8" t="s">
        <v>74</v>
      </c>
      <c r="D35" s="8" t="s">
        <v>75</v>
      </c>
      <c r="E35" s="8">
        <f>Schedule!D7</f>
        <v>1</v>
      </c>
      <c r="F35" s="8" t="str">
        <f>Schedule!M7</f>
        <v>Planned</v>
      </c>
      <c r="G35" s="8" t="s">
        <v>331</v>
      </c>
    </row>
    <row r="36" spans="1:7" ht="45" customHeight="1" x14ac:dyDescent="0.35">
      <c r="A36" s="8" t="s">
        <v>332</v>
      </c>
      <c r="B36" s="8" t="s">
        <v>304</v>
      </c>
      <c r="C36" s="8" t="s">
        <v>82</v>
      </c>
      <c r="D36" s="8" t="s">
        <v>83</v>
      </c>
      <c r="E36" s="8">
        <f>Schedule!D9</f>
        <v>1</v>
      </c>
      <c r="F36" s="8" t="str">
        <f>Schedule!M9</f>
        <v>Planned</v>
      </c>
      <c r="G36" s="8" t="s">
        <v>333</v>
      </c>
    </row>
    <row r="37" spans="1:7" ht="45" customHeight="1" x14ac:dyDescent="0.35">
      <c r="A37" s="8" t="s">
        <v>334</v>
      </c>
      <c r="B37" s="8" t="s">
        <v>304</v>
      </c>
      <c r="C37" s="8" t="s">
        <v>82</v>
      </c>
      <c r="D37" s="8" t="s">
        <v>83</v>
      </c>
      <c r="E37" s="8">
        <f>Schedule!D9</f>
        <v>1</v>
      </c>
      <c r="F37" s="8" t="str">
        <f>Schedule!M9</f>
        <v>Planned</v>
      </c>
      <c r="G37" s="8" t="s">
        <v>335</v>
      </c>
    </row>
    <row r="38" spans="1:7" ht="45" customHeight="1" x14ac:dyDescent="0.35">
      <c r="A38" s="8" t="s">
        <v>336</v>
      </c>
      <c r="B38" s="8" t="s">
        <v>304</v>
      </c>
      <c r="C38" s="8" t="s">
        <v>216</v>
      </c>
      <c r="D38" s="8" t="s">
        <v>217</v>
      </c>
      <c r="E38" s="8">
        <f>Schedule!D46</f>
        <v>0</v>
      </c>
      <c r="F38" s="8" t="str">
        <f>Schedule!M46</f>
        <v>Skipped</v>
      </c>
      <c r="G38" s="8" t="s">
        <v>337</v>
      </c>
    </row>
    <row r="39" spans="1:7" ht="45" customHeight="1" x14ac:dyDescent="0.35">
      <c r="A39" s="8" t="s">
        <v>338</v>
      </c>
      <c r="B39" s="8" t="s">
        <v>304</v>
      </c>
      <c r="C39" s="8" t="s">
        <v>216</v>
      </c>
      <c r="D39" s="8" t="s">
        <v>217</v>
      </c>
      <c r="E39" s="8">
        <f>Schedule!D46</f>
        <v>0</v>
      </c>
      <c r="F39" s="8" t="str">
        <f>Schedule!M46</f>
        <v>Skipped</v>
      </c>
      <c r="G39" s="8" t="s">
        <v>339</v>
      </c>
    </row>
    <row r="40" spans="1:7" ht="45" customHeight="1" x14ac:dyDescent="0.35">
      <c r="A40" s="8" t="s">
        <v>340</v>
      </c>
      <c r="B40" s="8" t="s">
        <v>341</v>
      </c>
      <c r="C40" s="8" t="s">
        <v>104</v>
      </c>
      <c r="D40" s="8" t="s">
        <v>105</v>
      </c>
      <c r="E40" s="8">
        <f>Schedule!D16</f>
        <v>1</v>
      </c>
      <c r="F40" s="8" t="str">
        <f>Schedule!M16</f>
        <v>Planned</v>
      </c>
      <c r="G40" s="8" t="s">
        <v>342</v>
      </c>
    </row>
    <row r="41" spans="1:7" ht="45" customHeight="1" x14ac:dyDescent="0.35">
      <c r="A41" s="8" t="s">
        <v>343</v>
      </c>
      <c r="B41" s="8" t="s">
        <v>341</v>
      </c>
      <c r="C41" s="8" t="s">
        <v>104</v>
      </c>
      <c r="D41" s="8" t="s">
        <v>105</v>
      </c>
      <c r="E41" s="8">
        <f>Schedule!D16</f>
        <v>1</v>
      </c>
      <c r="F41" s="8" t="str">
        <f>Schedule!M16</f>
        <v>Planned</v>
      </c>
      <c r="G41" s="8" t="s">
        <v>344</v>
      </c>
    </row>
    <row r="42" spans="1:7" ht="45" customHeight="1" x14ac:dyDescent="0.35">
      <c r="A42" s="8" t="s">
        <v>345</v>
      </c>
      <c r="B42" s="8" t="s">
        <v>341</v>
      </c>
      <c r="C42" s="8" t="s">
        <v>108</v>
      </c>
      <c r="D42" s="8" t="s">
        <v>109</v>
      </c>
      <c r="E42" s="8">
        <f>Schedule!D17</f>
        <v>1</v>
      </c>
      <c r="F42" s="8" t="str">
        <f>Schedule!M17</f>
        <v>Planned</v>
      </c>
      <c r="G42" s="8" t="s">
        <v>346</v>
      </c>
    </row>
    <row r="43" spans="1:7" ht="45" customHeight="1" x14ac:dyDescent="0.35">
      <c r="A43" s="8" t="s">
        <v>347</v>
      </c>
      <c r="B43" s="8" t="s">
        <v>341</v>
      </c>
      <c r="C43" s="8" t="s">
        <v>108</v>
      </c>
      <c r="D43" s="8" t="s">
        <v>109</v>
      </c>
      <c r="E43" s="8">
        <f>Schedule!D17</f>
        <v>1</v>
      </c>
      <c r="F43" s="8" t="str">
        <f>Schedule!M17</f>
        <v>Planned</v>
      </c>
      <c r="G43" s="8" t="s">
        <v>348</v>
      </c>
    </row>
    <row r="44" spans="1:7" ht="45" customHeight="1" x14ac:dyDescent="0.35">
      <c r="A44" s="8" t="s">
        <v>349</v>
      </c>
      <c r="B44" s="8" t="s">
        <v>341</v>
      </c>
      <c r="C44" s="8" t="s">
        <v>112</v>
      </c>
      <c r="D44" s="8" t="s">
        <v>113</v>
      </c>
      <c r="E44" s="8">
        <f>Schedule!D18</f>
        <v>1</v>
      </c>
      <c r="F44" s="8" t="str">
        <f>Schedule!M18</f>
        <v>Planned</v>
      </c>
      <c r="G44" s="8" t="s">
        <v>350</v>
      </c>
    </row>
    <row r="45" spans="1:7" ht="45" customHeight="1" x14ac:dyDescent="0.35">
      <c r="A45" s="8" t="s">
        <v>351</v>
      </c>
      <c r="B45" s="8" t="s">
        <v>341</v>
      </c>
      <c r="C45" s="8" t="s">
        <v>112</v>
      </c>
      <c r="D45" s="8" t="s">
        <v>113</v>
      </c>
      <c r="E45" s="8">
        <f>Schedule!D18</f>
        <v>1</v>
      </c>
      <c r="F45" s="8" t="str">
        <f>Schedule!M18</f>
        <v>Planned</v>
      </c>
      <c r="G45" s="8" t="s">
        <v>352</v>
      </c>
    </row>
    <row r="46" spans="1:7" ht="45" customHeight="1" x14ac:dyDescent="0.35">
      <c r="A46" s="8" t="s">
        <v>353</v>
      </c>
      <c r="B46" s="8" t="s">
        <v>341</v>
      </c>
      <c r="C46" s="8" t="s">
        <v>104</v>
      </c>
      <c r="D46" s="8" t="s">
        <v>105</v>
      </c>
      <c r="E46" s="8">
        <f>Schedule!D16</f>
        <v>1</v>
      </c>
      <c r="F46" s="8" t="str">
        <f>Schedule!M16</f>
        <v>Planned</v>
      </c>
      <c r="G46" s="8" t="s">
        <v>354</v>
      </c>
    </row>
    <row r="47" spans="1:7" ht="45" customHeight="1" x14ac:dyDescent="0.35">
      <c r="A47" s="8" t="s">
        <v>355</v>
      </c>
      <c r="B47" s="8" t="s">
        <v>341</v>
      </c>
      <c r="C47" s="8" t="s">
        <v>108</v>
      </c>
      <c r="D47" s="8" t="s">
        <v>109</v>
      </c>
      <c r="E47" s="8">
        <f>Schedule!D17</f>
        <v>1</v>
      </c>
      <c r="F47" s="8" t="str">
        <f>Schedule!M17</f>
        <v>Planned</v>
      </c>
      <c r="G47" s="8" t="s">
        <v>356</v>
      </c>
    </row>
    <row r="48" spans="1:7" ht="45" customHeight="1" x14ac:dyDescent="0.35">
      <c r="A48" s="8" t="s">
        <v>357</v>
      </c>
      <c r="B48" s="8" t="s">
        <v>358</v>
      </c>
      <c r="C48" s="8" t="s">
        <v>127</v>
      </c>
      <c r="D48" s="8" t="s">
        <v>128</v>
      </c>
      <c r="E48" s="8">
        <f>Schedule!D22</f>
        <v>1</v>
      </c>
      <c r="F48" s="8" t="str">
        <f>Schedule!M22</f>
        <v>Planned</v>
      </c>
      <c r="G48" s="8" t="s">
        <v>359</v>
      </c>
    </row>
    <row r="49" spans="1:7" ht="45" customHeight="1" x14ac:dyDescent="0.35">
      <c r="A49" s="8" t="s">
        <v>360</v>
      </c>
      <c r="B49" s="8" t="s">
        <v>358</v>
      </c>
      <c r="C49" s="8" t="s">
        <v>127</v>
      </c>
      <c r="D49" s="8" t="s">
        <v>128</v>
      </c>
      <c r="E49" s="8">
        <f>Schedule!D22</f>
        <v>1</v>
      </c>
      <c r="F49" s="8" t="str">
        <f>Schedule!M22</f>
        <v>Planned</v>
      </c>
      <c r="G49" s="8" t="s">
        <v>361</v>
      </c>
    </row>
    <row r="50" spans="1:7" ht="45" customHeight="1" x14ac:dyDescent="0.35">
      <c r="A50" s="8" t="s">
        <v>362</v>
      </c>
      <c r="B50" s="8" t="s">
        <v>358</v>
      </c>
      <c r="C50" s="8" t="s">
        <v>123</v>
      </c>
      <c r="D50" s="8" t="s">
        <v>124</v>
      </c>
      <c r="E50" s="8">
        <f>Schedule!D21</f>
        <v>1</v>
      </c>
      <c r="F50" s="8" t="str">
        <f>Schedule!M21</f>
        <v>Planned</v>
      </c>
      <c r="G50" s="8" t="s">
        <v>363</v>
      </c>
    </row>
    <row r="51" spans="1:7" ht="45" customHeight="1" x14ac:dyDescent="0.35">
      <c r="A51" s="8" t="s">
        <v>364</v>
      </c>
      <c r="B51" s="8" t="s">
        <v>358</v>
      </c>
      <c r="C51" s="8" t="s">
        <v>123</v>
      </c>
      <c r="D51" s="8" t="s">
        <v>124</v>
      </c>
      <c r="E51" s="8">
        <f>Schedule!D21</f>
        <v>1</v>
      </c>
      <c r="F51" s="8" t="str">
        <f>Schedule!M21</f>
        <v>Planned</v>
      </c>
      <c r="G51" s="8" t="s">
        <v>365</v>
      </c>
    </row>
    <row r="52" spans="1:7" ht="45" customHeight="1" x14ac:dyDescent="0.35">
      <c r="A52" s="8" t="s">
        <v>366</v>
      </c>
      <c r="B52" s="8" t="s">
        <v>358</v>
      </c>
      <c r="C52" s="8" t="s">
        <v>123</v>
      </c>
      <c r="D52" s="8" t="s">
        <v>124</v>
      </c>
      <c r="E52" s="8">
        <f>Schedule!D21</f>
        <v>1</v>
      </c>
      <c r="F52" s="8" t="str">
        <f>Schedule!M21</f>
        <v>Planned</v>
      </c>
      <c r="G52" s="8" t="s">
        <v>367</v>
      </c>
    </row>
    <row r="53" spans="1:7" ht="45" customHeight="1" x14ac:dyDescent="0.35">
      <c r="A53" s="8" t="s">
        <v>368</v>
      </c>
      <c r="B53" s="8" t="s">
        <v>358</v>
      </c>
      <c r="C53" s="8" t="s">
        <v>127</v>
      </c>
      <c r="D53" s="8" t="s">
        <v>128</v>
      </c>
      <c r="E53" s="8">
        <f>Schedule!D22</f>
        <v>1</v>
      </c>
      <c r="F53" s="8" t="str">
        <f>Schedule!M22</f>
        <v>Planned</v>
      </c>
      <c r="G53" s="8" t="s">
        <v>369</v>
      </c>
    </row>
    <row r="54" spans="1:7" ht="45" customHeight="1" x14ac:dyDescent="0.35">
      <c r="A54" s="8" t="s">
        <v>370</v>
      </c>
      <c r="B54" s="8" t="s">
        <v>358</v>
      </c>
      <c r="C54" s="8" t="s">
        <v>130</v>
      </c>
      <c r="D54" s="8" t="s">
        <v>131</v>
      </c>
      <c r="E54" s="8">
        <f>Schedule!D23</f>
        <v>1</v>
      </c>
      <c r="F54" s="8" t="str">
        <f>Schedule!M23</f>
        <v>Planned</v>
      </c>
      <c r="G54" s="8" t="s">
        <v>371</v>
      </c>
    </row>
    <row r="55" spans="1:7" ht="45" customHeight="1" x14ac:dyDescent="0.35">
      <c r="A55" s="8" t="s">
        <v>372</v>
      </c>
      <c r="B55" s="8" t="s">
        <v>358</v>
      </c>
      <c r="C55" s="8" t="s">
        <v>226</v>
      </c>
      <c r="D55" s="8" t="s">
        <v>227</v>
      </c>
      <c r="E55" s="8">
        <f>Schedule!D49</f>
        <v>0</v>
      </c>
      <c r="F55" s="8" t="str">
        <f>Schedule!M49</f>
        <v>Skipped</v>
      </c>
      <c r="G55" s="8" t="s">
        <v>373</v>
      </c>
    </row>
    <row r="56" spans="1:7" ht="45" customHeight="1" x14ac:dyDescent="0.35">
      <c r="A56" s="8" t="s">
        <v>374</v>
      </c>
      <c r="B56" s="8" t="s">
        <v>358</v>
      </c>
      <c r="C56" s="8" t="s">
        <v>226</v>
      </c>
      <c r="D56" s="8" t="s">
        <v>227</v>
      </c>
      <c r="E56" s="8">
        <f>Schedule!D49</f>
        <v>0</v>
      </c>
      <c r="F56" s="8" t="str">
        <f>Schedule!M49</f>
        <v>Skipped</v>
      </c>
      <c r="G56" s="8" t="s">
        <v>375</v>
      </c>
    </row>
    <row r="57" spans="1:7" ht="45" customHeight="1" x14ac:dyDescent="0.35">
      <c r="A57" s="8" t="s">
        <v>376</v>
      </c>
      <c r="B57" s="8" t="s">
        <v>358</v>
      </c>
      <c r="C57" s="8" t="s">
        <v>226</v>
      </c>
      <c r="D57" s="8" t="s">
        <v>227</v>
      </c>
      <c r="E57" s="8">
        <f>Schedule!D49</f>
        <v>0</v>
      </c>
      <c r="F57" s="8" t="str">
        <f>Schedule!M49</f>
        <v>Skipped</v>
      </c>
      <c r="G57" s="8" t="s">
        <v>377</v>
      </c>
    </row>
    <row r="58" spans="1:7" ht="45" customHeight="1" x14ac:dyDescent="0.35">
      <c r="A58" s="8" t="s">
        <v>378</v>
      </c>
      <c r="B58" s="8" t="s">
        <v>358</v>
      </c>
      <c r="C58" s="8" t="s">
        <v>226</v>
      </c>
      <c r="D58" s="8" t="s">
        <v>227</v>
      </c>
      <c r="E58" s="8">
        <f>Schedule!D49</f>
        <v>0</v>
      </c>
      <c r="F58" s="8" t="str">
        <f>Schedule!M49</f>
        <v>Skipped</v>
      </c>
      <c r="G58" s="8" t="s">
        <v>379</v>
      </c>
    </row>
    <row r="59" spans="1:7" ht="45" customHeight="1" x14ac:dyDescent="0.35">
      <c r="A59" s="8" t="s">
        <v>380</v>
      </c>
      <c r="B59" s="8" t="s">
        <v>358</v>
      </c>
      <c r="C59" s="8" t="s">
        <v>226</v>
      </c>
      <c r="D59" s="8" t="s">
        <v>227</v>
      </c>
      <c r="E59" s="8">
        <f>Schedule!D49</f>
        <v>0</v>
      </c>
      <c r="F59" s="8" t="str">
        <f>Schedule!M49</f>
        <v>Skipped</v>
      </c>
      <c r="G59" s="8" t="s">
        <v>381</v>
      </c>
    </row>
    <row r="60" spans="1:7" ht="45" customHeight="1" x14ac:dyDescent="0.35">
      <c r="A60" s="8" t="s">
        <v>382</v>
      </c>
      <c r="B60" s="8" t="s">
        <v>358</v>
      </c>
      <c r="C60" s="8" t="s">
        <v>226</v>
      </c>
      <c r="D60" s="8" t="s">
        <v>227</v>
      </c>
      <c r="E60" s="8">
        <f>Schedule!D49</f>
        <v>0</v>
      </c>
      <c r="F60" s="8" t="str">
        <f>Schedule!M49</f>
        <v>Skipped</v>
      </c>
      <c r="G60" s="8" t="s">
        <v>383</v>
      </c>
    </row>
    <row r="61" spans="1:7" ht="45" customHeight="1" x14ac:dyDescent="0.35">
      <c r="A61" s="8" t="s">
        <v>384</v>
      </c>
      <c r="B61" s="8" t="s">
        <v>385</v>
      </c>
      <c r="C61" s="8" t="s">
        <v>123</v>
      </c>
      <c r="D61" s="8" t="s">
        <v>124</v>
      </c>
      <c r="E61" s="8">
        <f>Schedule!D21</f>
        <v>1</v>
      </c>
      <c r="F61" s="8" t="str">
        <f>Schedule!M21</f>
        <v>Planned</v>
      </c>
      <c r="G61" s="8" t="s">
        <v>386</v>
      </c>
    </row>
    <row r="62" spans="1:7" ht="45" customHeight="1" x14ac:dyDescent="0.35">
      <c r="A62" s="8" t="s">
        <v>387</v>
      </c>
      <c r="B62" s="8" t="s">
        <v>385</v>
      </c>
      <c r="C62" s="8" t="s">
        <v>123</v>
      </c>
      <c r="D62" s="8" t="s">
        <v>124</v>
      </c>
      <c r="E62" s="8">
        <f>Schedule!D21</f>
        <v>1</v>
      </c>
      <c r="F62" s="8" t="str">
        <f>Schedule!M21</f>
        <v>Planned</v>
      </c>
      <c r="G62" s="8" t="s">
        <v>388</v>
      </c>
    </row>
    <row r="63" spans="1:7" ht="45" customHeight="1" x14ac:dyDescent="0.35">
      <c r="A63" s="8" t="s">
        <v>389</v>
      </c>
      <c r="B63" s="8" t="s">
        <v>385</v>
      </c>
      <c r="C63" s="8" t="s">
        <v>134</v>
      </c>
      <c r="D63" s="8" t="s">
        <v>135</v>
      </c>
      <c r="E63" s="8">
        <f>Schedule!D24</f>
        <v>1</v>
      </c>
      <c r="F63" s="8" t="str">
        <f>Schedule!M24</f>
        <v>Planned</v>
      </c>
      <c r="G63" s="8" t="s">
        <v>390</v>
      </c>
    </row>
    <row r="64" spans="1:7" ht="45" customHeight="1" x14ac:dyDescent="0.35">
      <c r="A64" s="8" t="s">
        <v>391</v>
      </c>
      <c r="B64" s="8" t="s">
        <v>385</v>
      </c>
      <c r="C64" s="8" t="s">
        <v>134</v>
      </c>
      <c r="D64" s="8" t="s">
        <v>135</v>
      </c>
      <c r="E64" s="8">
        <f>Schedule!D24</f>
        <v>1</v>
      </c>
      <c r="F64" s="8" t="str">
        <f>Schedule!M24</f>
        <v>Planned</v>
      </c>
      <c r="G64" s="8" t="s">
        <v>392</v>
      </c>
    </row>
    <row r="65" spans="1:7" ht="45" customHeight="1" x14ac:dyDescent="0.35">
      <c r="A65" s="8" t="s">
        <v>393</v>
      </c>
      <c r="B65" s="8" t="s">
        <v>385</v>
      </c>
      <c r="C65" s="8" t="s">
        <v>212</v>
      </c>
      <c r="D65" s="8" t="s">
        <v>213</v>
      </c>
      <c r="E65" s="8">
        <f>Schedule!D45</f>
        <v>0</v>
      </c>
      <c r="F65" s="8" t="str">
        <f>Schedule!M45</f>
        <v>Skipped</v>
      </c>
      <c r="G65" s="8" t="s">
        <v>394</v>
      </c>
    </row>
    <row r="66" spans="1:7" ht="45" customHeight="1" x14ac:dyDescent="0.35">
      <c r="A66" s="8" t="s">
        <v>395</v>
      </c>
      <c r="B66" s="8" t="s">
        <v>385</v>
      </c>
      <c r="C66" s="8" t="s">
        <v>212</v>
      </c>
      <c r="D66" s="8" t="s">
        <v>213</v>
      </c>
      <c r="E66" s="8">
        <f>Schedule!D45</f>
        <v>0</v>
      </c>
      <c r="F66" s="8" t="str">
        <f>Schedule!M45</f>
        <v>Skipped</v>
      </c>
      <c r="G66" s="8" t="s">
        <v>396</v>
      </c>
    </row>
    <row r="67" spans="1:7" ht="45" customHeight="1" x14ac:dyDescent="0.35">
      <c r="A67" s="8" t="s">
        <v>397</v>
      </c>
      <c r="B67" s="8" t="s">
        <v>385</v>
      </c>
      <c r="C67" s="8" t="s">
        <v>138</v>
      </c>
      <c r="D67" s="8" t="s">
        <v>139</v>
      </c>
      <c r="E67" s="8">
        <f>Schedule!D25</f>
        <v>1</v>
      </c>
      <c r="F67" s="8" t="str">
        <f>Schedule!M25</f>
        <v>Planned</v>
      </c>
      <c r="G67" s="8" t="s">
        <v>398</v>
      </c>
    </row>
    <row r="68" spans="1:7" ht="45" customHeight="1" x14ac:dyDescent="0.35">
      <c r="A68" s="8" t="s">
        <v>399</v>
      </c>
      <c r="B68" s="8" t="s">
        <v>385</v>
      </c>
      <c r="C68" s="8" t="s">
        <v>134</v>
      </c>
      <c r="D68" s="8" t="s">
        <v>135</v>
      </c>
      <c r="E68" s="8">
        <f>Schedule!D24</f>
        <v>1</v>
      </c>
      <c r="F68" s="8" t="str">
        <f>Schedule!M24</f>
        <v>Planned</v>
      </c>
      <c r="G68" s="8" t="s">
        <v>400</v>
      </c>
    </row>
    <row r="69" spans="1:7" ht="45" customHeight="1" x14ac:dyDescent="0.35">
      <c r="A69" s="8" t="s">
        <v>401</v>
      </c>
      <c r="B69" s="8" t="s">
        <v>385</v>
      </c>
      <c r="C69" s="8" t="s">
        <v>134</v>
      </c>
      <c r="D69" s="8" t="s">
        <v>135</v>
      </c>
      <c r="E69" s="8">
        <f>Schedule!D24</f>
        <v>1</v>
      </c>
      <c r="F69" s="8" t="str">
        <f>Schedule!M24</f>
        <v>Planned</v>
      </c>
      <c r="G69" s="8" t="s">
        <v>402</v>
      </c>
    </row>
    <row r="70" spans="1:7" ht="45" customHeight="1" x14ac:dyDescent="0.35">
      <c r="A70" s="8" t="s">
        <v>403</v>
      </c>
      <c r="B70" s="8" t="s">
        <v>385</v>
      </c>
      <c r="C70" s="8" t="s">
        <v>219</v>
      </c>
      <c r="D70" s="8" t="s">
        <v>220</v>
      </c>
      <c r="E70" s="8">
        <f>Schedule!D47</f>
        <v>0</v>
      </c>
      <c r="F70" s="8" t="str">
        <f>Schedule!M47</f>
        <v>Skipped</v>
      </c>
      <c r="G70" s="8" t="s">
        <v>404</v>
      </c>
    </row>
    <row r="71" spans="1:7" ht="45" customHeight="1" x14ac:dyDescent="0.35">
      <c r="A71" s="8" t="s">
        <v>405</v>
      </c>
      <c r="B71" s="8" t="s">
        <v>385</v>
      </c>
      <c r="C71" s="8" t="s">
        <v>138</v>
      </c>
      <c r="D71" s="8" t="s">
        <v>139</v>
      </c>
      <c r="E71" s="8">
        <f>Schedule!D25</f>
        <v>1</v>
      </c>
      <c r="F71" s="8" t="str">
        <f>Schedule!M25</f>
        <v>Planned</v>
      </c>
      <c r="G71" s="8" t="s">
        <v>406</v>
      </c>
    </row>
    <row r="72" spans="1:7" ht="45" customHeight="1" x14ac:dyDescent="0.35">
      <c r="A72" s="8" t="s">
        <v>407</v>
      </c>
      <c r="B72" s="8" t="s">
        <v>408</v>
      </c>
      <c r="C72" s="8" t="s">
        <v>142</v>
      </c>
      <c r="D72" s="8" t="s">
        <v>143</v>
      </c>
      <c r="E72" s="8">
        <f>Schedule!D26</f>
        <v>1</v>
      </c>
      <c r="F72" s="8" t="str">
        <f>Schedule!M26</f>
        <v>Planned</v>
      </c>
      <c r="G72" s="8" t="s">
        <v>409</v>
      </c>
    </row>
    <row r="73" spans="1:7" ht="45" customHeight="1" x14ac:dyDescent="0.35">
      <c r="A73" s="8" t="s">
        <v>410</v>
      </c>
      <c r="B73" s="8" t="s">
        <v>408</v>
      </c>
      <c r="C73" s="8" t="s">
        <v>115</v>
      </c>
      <c r="D73" s="8" t="s">
        <v>116</v>
      </c>
      <c r="E73" s="8">
        <f>Schedule!D19</f>
        <v>1</v>
      </c>
      <c r="F73" s="8" t="str">
        <f>Schedule!M19</f>
        <v>Planned</v>
      </c>
      <c r="G73" s="8" t="s">
        <v>411</v>
      </c>
    </row>
    <row r="74" spans="1:7" ht="45" customHeight="1" x14ac:dyDescent="0.35">
      <c r="A74" s="8" t="s">
        <v>412</v>
      </c>
      <c r="B74" s="8" t="s">
        <v>408</v>
      </c>
      <c r="C74" s="8" t="s">
        <v>127</v>
      </c>
      <c r="D74" s="8" t="s">
        <v>128</v>
      </c>
      <c r="E74" s="8">
        <f>Schedule!D22</f>
        <v>1</v>
      </c>
      <c r="F74" s="8" t="str">
        <f>Schedule!M22</f>
        <v>Planned</v>
      </c>
      <c r="G74" s="8" t="s">
        <v>413</v>
      </c>
    </row>
    <row r="75" spans="1:7" ht="45" customHeight="1" x14ac:dyDescent="0.35">
      <c r="A75" s="8" t="s">
        <v>414</v>
      </c>
      <c r="B75" s="8" t="s">
        <v>408</v>
      </c>
      <c r="C75" s="8" t="s">
        <v>142</v>
      </c>
      <c r="D75" s="8" t="s">
        <v>143</v>
      </c>
      <c r="E75" s="8">
        <f>Schedule!D26</f>
        <v>1</v>
      </c>
      <c r="F75" s="8" t="str">
        <f>Schedule!M26</f>
        <v>Planned</v>
      </c>
      <c r="G75" s="8" t="s">
        <v>415</v>
      </c>
    </row>
    <row r="76" spans="1:7" ht="45" customHeight="1" x14ac:dyDescent="0.35">
      <c r="A76" s="8" t="s">
        <v>416</v>
      </c>
      <c r="B76" s="8" t="s">
        <v>408</v>
      </c>
      <c r="C76" s="8" t="s">
        <v>146</v>
      </c>
      <c r="D76" s="8" t="s">
        <v>147</v>
      </c>
      <c r="E76" s="8">
        <f>Schedule!D27</f>
        <v>1</v>
      </c>
      <c r="F76" s="8" t="str">
        <f>Schedule!M27</f>
        <v>Planned</v>
      </c>
      <c r="G76" s="8" t="s">
        <v>417</v>
      </c>
    </row>
    <row r="77" spans="1:7" ht="45" customHeight="1" x14ac:dyDescent="0.35">
      <c r="A77" s="8" t="s">
        <v>418</v>
      </c>
      <c r="B77" s="8" t="s">
        <v>408</v>
      </c>
      <c r="C77" s="8" t="s">
        <v>119</v>
      </c>
      <c r="D77" s="8" t="s">
        <v>120</v>
      </c>
      <c r="E77" s="8">
        <f>Schedule!D20</f>
        <v>1</v>
      </c>
      <c r="F77" s="8" t="str">
        <f>Schedule!M20</f>
        <v>Planned</v>
      </c>
      <c r="G77" s="8" t="s">
        <v>419</v>
      </c>
    </row>
    <row r="78" spans="1:7" ht="45" customHeight="1" x14ac:dyDescent="0.35">
      <c r="A78" s="8" t="s">
        <v>420</v>
      </c>
      <c r="B78" s="8" t="s">
        <v>408</v>
      </c>
      <c r="C78" s="8" t="s">
        <v>119</v>
      </c>
      <c r="D78" s="8" t="s">
        <v>120</v>
      </c>
      <c r="E78" s="8">
        <f>Schedule!D20</f>
        <v>1</v>
      </c>
      <c r="F78" s="8" t="str">
        <f>Schedule!M20</f>
        <v>Planned</v>
      </c>
      <c r="G78" s="8" t="s">
        <v>421</v>
      </c>
    </row>
    <row r="79" spans="1:7" ht="45" customHeight="1" x14ac:dyDescent="0.35">
      <c r="A79" s="8" t="s">
        <v>422</v>
      </c>
      <c r="B79" s="8" t="s">
        <v>408</v>
      </c>
      <c r="C79" s="8" t="s">
        <v>119</v>
      </c>
      <c r="D79" s="8" t="s">
        <v>120</v>
      </c>
      <c r="E79" s="8">
        <f>Schedule!D20</f>
        <v>1</v>
      </c>
      <c r="F79" s="8" t="str">
        <f>Schedule!M20</f>
        <v>Planned</v>
      </c>
      <c r="G79" s="8" t="s">
        <v>423</v>
      </c>
    </row>
    <row r="80" spans="1:7" ht="45" customHeight="1" x14ac:dyDescent="0.35">
      <c r="A80" s="8" t="s">
        <v>424</v>
      </c>
      <c r="B80" s="8" t="s">
        <v>408</v>
      </c>
      <c r="C80" s="8" t="s">
        <v>119</v>
      </c>
      <c r="D80" s="8" t="s">
        <v>120</v>
      </c>
      <c r="E80" s="8">
        <f>Schedule!D20</f>
        <v>1</v>
      </c>
      <c r="F80" s="8" t="str">
        <f>Schedule!M20</f>
        <v>Planned</v>
      </c>
      <c r="G80" s="8" t="s">
        <v>425</v>
      </c>
    </row>
    <row r="81" spans="1:7" ht="45" customHeight="1" x14ac:dyDescent="0.35">
      <c r="A81" s="8" t="s">
        <v>426</v>
      </c>
      <c r="B81" s="8" t="s">
        <v>408</v>
      </c>
      <c r="C81" s="8" t="s">
        <v>181</v>
      </c>
      <c r="D81" s="8" t="s">
        <v>182</v>
      </c>
      <c r="E81" s="8">
        <f>Schedule!D36</f>
        <v>1</v>
      </c>
      <c r="F81" s="8" t="str">
        <f>Schedule!M36</f>
        <v>Planned</v>
      </c>
      <c r="G81" s="8" t="s">
        <v>427</v>
      </c>
    </row>
    <row r="82" spans="1:7" ht="45" customHeight="1" x14ac:dyDescent="0.35">
      <c r="A82" s="8" t="s">
        <v>428</v>
      </c>
      <c r="B82" s="8" t="s">
        <v>408</v>
      </c>
      <c r="C82" s="8" t="s">
        <v>181</v>
      </c>
      <c r="D82" s="8" t="s">
        <v>182</v>
      </c>
      <c r="E82" s="8">
        <f>Schedule!D36</f>
        <v>1</v>
      </c>
      <c r="F82" s="8" t="str">
        <f>Schedule!M36</f>
        <v>Planned</v>
      </c>
      <c r="G82" s="8" t="s">
        <v>429</v>
      </c>
    </row>
    <row r="83" spans="1:7" ht="45" customHeight="1" x14ac:dyDescent="0.35">
      <c r="A83" s="8" t="s">
        <v>430</v>
      </c>
      <c r="B83" s="8" t="s">
        <v>431</v>
      </c>
      <c r="C83" s="8" t="s">
        <v>173</v>
      </c>
      <c r="D83" s="8" t="s">
        <v>174</v>
      </c>
      <c r="E83" s="8">
        <f>Schedule!D34</f>
        <v>1</v>
      </c>
      <c r="F83" s="8" t="str">
        <f>Schedule!M34</f>
        <v>Planned</v>
      </c>
      <c r="G83" s="8" t="s">
        <v>432</v>
      </c>
    </row>
    <row r="84" spans="1:7" ht="45" customHeight="1" x14ac:dyDescent="0.35">
      <c r="A84" s="8" t="s">
        <v>433</v>
      </c>
      <c r="B84" s="8" t="s">
        <v>431</v>
      </c>
      <c r="C84" s="8" t="s">
        <v>178</v>
      </c>
      <c r="D84" s="8" t="s">
        <v>179</v>
      </c>
      <c r="E84" s="8">
        <f>Schedule!D35</f>
        <v>1</v>
      </c>
      <c r="F84" s="8" t="str">
        <f>Schedule!M35</f>
        <v>Planned</v>
      </c>
      <c r="G84" s="8" t="s">
        <v>434</v>
      </c>
    </row>
    <row r="85" spans="1:7" ht="45" customHeight="1" x14ac:dyDescent="0.35">
      <c r="A85" s="8" t="s">
        <v>435</v>
      </c>
      <c r="B85" s="8" t="s">
        <v>431</v>
      </c>
      <c r="C85" s="8" t="s">
        <v>178</v>
      </c>
      <c r="D85" s="8" t="s">
        <v>179</v>
      </c>
      <c r="E85" s="8">
        <f>Schedule!D35</f>
        <v>1</v>
      </c>
      <c r="F85" s="8" t="str">
        <f>Schedule!M35</f>
        <v>Planned</v>
      </c>
      <c r="G85" s="8" t="s">
        <v>436</v>
      </c>
    </row>
    <row r="86" spans="1:7" ht="45" customHeight="1" x14ac:dyDescent="0.35">
      <c r="A86" s="8" t="s">
        <v>437</v>
      </c>
      <c r="B86" s="8" t="s">
        <v>431</v>
      </c>
      <c r="C86" s="8" t="s">
        <v>178</v>
      </c>
      <c r="D86" s="8" t="s">
        <v>179</v>
      </c>
      <c r="E86" s="8">
        <f>Schedule!D35</f>
        <v>1</v>
      </c>
      <c r="F86" s="8" t="str">
        <f>Schedule!M35</f>
        <v>Planned</v>
      </c>
      <c r="G86" s="8" t="s">
        <v>438</v>
      </c>
    </row>
    <row r="87" spans="1:7" ht="45" customHeight="1" x14ac:dyDescent="0.35">
      <c r="A87" s="8" t="s">
        <v>439</v>
      </c>
      <c r="B87" s="8" t="s">
        <v>431</v>
      </c>
      <c r="C87" s="8" t="s">
        <v>202</v>
      </c>
      <c r="D87" s="8" t="s">
        <v>203</v>
      </c>
      <c r="E87" s="8">
        <f>Schedule!D42</f>
        <v>1</v>
      </c>
      <c r="F87" s="8" t="str">
        <f>Schedule!M42</f>
        <v>Planned</v>
      </c>
      <c r="G87" s="8" t="s">
        <v>440</v>
      </c>
    </row>
    <row r="88" spans="1:7" ht="45" customHeight="1" x14ac:dyDescent="0.35">
      <c r="A88" s="8" t="s">
        <v>441</v>
      </c>
      <c r="B88" s="8" t="s">
        <v>431</v>
      </c>
      <c r="C88" s="8" t="s">
        <v>202</v>
      </c>
      <c r="D88" s="8" t="s">
        <v>203</v>
      </c>
      <c r="E88" s="8">
        <f>Schedule!D42</f>
        <v>1</v>
      </c>
      <c r="F88" s="8" t="str">
        <f>Schedule!M42</f>
        <v>Planned</v>
      </c>
      <c r="G88" s="8" t="s">
        <v>442</v>
      </c>
    </row>
    <row r="89" spans="1:7" ht="45" customHeight="1" x14ac:dyDescent="0.35">
      <c r="A89" s="8" t="s">
        <v>443</v>
      </c>
      <c r="B89" s="8" t="s">
        <v>431</v>
      </c>
      <c r="C89" s="8" t="s">
        <v>205</v>
      </c>
      <c r="D89" s="8" t="s">
        <v>206</v>
      </c>
      <c r="E89" s="8">
        <f>Schedule!D43</f>
        <v>1</v>
      </c>
      <c r="F89" s="8" t="str">
        <f>Schedule!M43</f>
        <v>Planned</v>
      </c>
      <c r="G89" s="8" t="s">
        <v>444</v>
      </c>
    </row>
    <row r="90" spans="1:7" ht="45" customHeight="1" x14ac:dyDescent="0.35">
      <c r="A90" s="8" t="s">
        <v>445</v>
      </c>
      <c r="B90" s="8" t="s">
        <v>446</v>
      </c>
      <c r="C90" s="8" t="s">
        <v>173</v>
      </c>
      <c r="D90" s="8" t="s">
        <v>174</v>
      </c>
      <c r="E90" s="8">
        <f>Schedule!D34</f>
        <v>1</v>
      </c>
      <c r="F90" s="8" t="str">
        <f>Schedule!M34</f>
        <v>Planned</v>
      </c>
      <c r="G90" s="8" t="s">
        <v>447</v>
      </c>
    </row>
    <row r="91" spans="1:7" ht="45" customHeight="1" x14ac:dyDescent="0.35">
      <c r="A91" s="8" t="s">
        <v>448</v>
      </c>
      <c r="B91" s="8" t="s">
        <v>446</v>
      </c>
      <c r="C91" s="8" t="s">
        <v>173</v>
      </c>
      <c r="D91" s="8" t="s">
        <v>174</v>
      </c>
      <c r="E91" s="8">
        <f>Schedule!D34</f>
        <v>1</v>
      </c>
      <c r="F91" s="8" t="str">
        <f>Schedule!M34</f>
        <v>Planned</v>
      </c>
      <c r="G91" s="8" t="s">
        <v>449</v>
      </c>
    </row>
    <row r="92" spans="1:7" ht="45" customHeight="1" x14ac:dyDescent="0.35">
      <c r="A92" s="8" t="s">
        <v>450</v>
      </c>
      <c r="B92" s="8" t="s">
        <v>446</v>
      </c>
      <c r="C92" s="8" t="s">
        <v>205</v>
      </c>
      <c r="D92" s="8" t="s">
        <v>206</v>
      </c>
      <c r="E92" s="8">
        <f>Schedule!D43</f>
        <v>1</v>
      </c>
      <c r="F92" s="8" t="str">
        <f>Schedule!M43</f>
        <v>Planned</v>
      </c>
      <c r="G92" s="8" t="s">
        <v>451</v>
      </c>
    </row>
    <row r="93" spans="1:7" ht="45" customHeight="1" x14ac:dyDescent="0.35">
      <c r="A93" s="8" t="s">
        <v>452</v>
      </c>
      <c r="B93" s="8" t="s">
        <v>446</v>
      </c>
      <c r="C93" s="8" t="s">
        <v>178</v>
      </c>
      <c r="D93" s="8" t="s">
        <v>179</v>
      </c>
      <c r="E93" s="8">
        <f>Schedule!D35</f>
        <v>1</v>
      </c>
      <c r="F93" s="8" t="str">
        <f>Schedule!M35</f>
        <v>Planned</v>
      </c>
      <c r="G93" s="8" t="s">
        <v>453</v>
      </c>
    </row>
    <row r="94" spans="1:7" ht="45" customHeight="1" x14ac:dyDescent="0.35">
      <c r="A94" s="8" t="s">
        <v>454</v>
      </c>
      <c r="B94" s="8" t="s">
        <v>446</v>
      </c>
      <c r="C94" s="8" t="s">
        <v>205</v>
      </c>
      <c r="D94" s="8" t="s">
        <v>206</v>
      </c>
      <c r="E94" s="8">
        <f>Schedule!D43</f>
        <v>1</v>
      </c>
      <c r="F94" s="8" t="str">
        <f>Schedule!M43</f>
        <v>Planned</v>
      </c>
      <c r="G94" s="8" t="s">
        <v>455</v>
      </c>
    </row>
    <row r="95" spans="1:7" ht="45" customHeight="1" x14ac:dyDescent="0.35">
      <c r="A95" s="8" t="s">
        <v>456</v>
      </c>
      <c r="B95" s="8" t="s">
        <v>446</v>
      </c>
      <c r="C95" s="8" t="s">
        <v>205</v>
      </c>
      <c r="D95" s="8" t="s">
        <v>206</v>
      </c>
      <c r="E95" s="8">
        <f>Schedule!D43</f>
        <v>1</v>
      </c>
      <c r="F95" s="8" t="str">
        <f>Schedule!M43</f>
        <v>Planned</v>
      </c>
      <c r="G95" s="8" t="s">
        <v>457</v>
      </c>
    </row>
  </sheetData>
  <autoFilter ref="A1:G95" xr:uid="{B1CA630F-4AFF-4022-B48E-EC3B2772B957}"/>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3076C9-C7A2-4789-8A2B-2799F5A5657D}">
  <dimension ref="A1:B101"/>
  <sheetViews>
    <sheetView workbookViewId="0"/>
  </sheetViews>
  <sheetFormatPr defaultRowHeight="14.5" x14ac:dyDescent="0.35"/>
  <cols>
    <col min="1" max="1" width="25.6328125" customWidth="1"/>
    <col min="2" max="2" width="65.6328125" customWidth="1"/>
  </cols>
  <sheetData>
    <row r="1" spans="1:2" ht="30" customHeight="1" x14ac:dyDescent="0.35">
      <c r="A1" s="1" t="s">
        <v>31</v>
      </c>
      <c r="B1" s="1" t="s">
        <v>32</v>
      </c>
    </row>
    <row r="2" spans="1:2" x14ac:dyDescent="0.35">
      <c r="A2" s="2"/>
      <c r="B2" s="3"/>
    </row>
    <row r="3" spans="1:2" x14ac:dyDescent="0.35">
      <c r="A3" s="2"/>
      <c r="B3" s="3"/>
    </row>
    <row r="4" spans="1:2" x14ac:dyDescent="0.35">
      <c r="A4" s="2"/>
      <c r="B4" s="3"/>
    </row>
    <row r="5" spans="1:2" x14ac:dyDescent="0.35">
      <c r="A5" s="2"/>
      <c r="B5" s="3"/>
    </row>
    <row r="6" spans="1:2" x14ac:dyDescent="0.35">
      <c r="A6" s="2"/>
      <c r="B6" s="3"/>
    </row>
    <row r="7" spans="1:2" x14ac:dyDescent="0.35">
      <c r="A7" s="2"/>
      <c r="B7" s="3"/>
    </row>
    <row r="8" spans="1:2" x14ac:dyDescent="0.35">
      <c r="A8" s="2"/>
      <c r="B8" s="3"/>
    </row>
    <row r="9" spans="1:2" x14ac:dyDescent="0.35">
      <c r="A9" s="2"/>
      <c r="B9" s="3"/>
    </row>
    <row r="10" spans="1:2" x14ac:dyDescent="0.35">
      <c r="A10" s="2"/>
      <c r="B10" s="3"/>
    </row>
    <row r="11" spans="1:2" x14ac:dyDescent="0.35">
      <c r="A11" s="2"/>
      <c r="B11" s="3"/>
    </row>
    <row r="12" spans="1:2" x14ac:dyDescent="0.35">
      <c r="A12" s="2"/>
      <c r="B12" s="3"/>
    </row>
    <row r="13" spans="1:2" x14ac:dyDescent="0.35">
      <c r="A13" s="2"/>
      <c r="B13" s="3"/>
    </row>
    <row r="14" spans="1:2" x14ac:dyDescent="0.35">
      <c r="A14" s="2"/>
      <c r="B14" s="3"/>
    </row>
    <row r="15" spans="1:2" x14ac:dyDescent="0.35">
      <c r="A15" s="2"/>
      <c r="B15" s="3"/>
    </row>
    <row r="16" spans="1:2" x14ac:dyDescent="0.35">
      <c r="A16" s="2"/>
      <c r="B16" s="3"/>
    </row>
    <row r="17" spans="1:2" x14ac:dyDescent="0.35">
      <c r="A17" s="2"/>
      <c r="B17" s="3"/>
    </row>
    <row r="18" spans="1:2" x14ac:dyDescent="0.35">
      <c r="A18" s="2"/>
      <c r="B18" s="3"/>
    </row>
    <row r="19" spans="1:2" x14ac:dyDescent="0.35">
      <c r="A19" s="2"/>
      <c r="B19" s="3"/>
    </row>
    <row r="20" spans="1:2" x14ac:dyDescent="0.35">
      <c r="A20" s="2"/>
      <c r="B20" s="3"/>
    </row>
    <row r="21" spans="1:2" x14ac:dyDescent="0.35">
      <c r="A21" s="2"/>
      <c r="B21" s="3"/>
    </row>
    <row r="22" spans="1:2" x14ac:dyDescent="0.35">
      <c r="A22" s="2"/>
      <c r="B22" s="3"/>
    </row>
    <row r="23" spans="1:2" x14ac:dyDescent="0.35">
      <c r="A23" s="2"/>
      <c r="B23" s="3"/>
    </row>
    <row r="24" spans="1:2" x14ac:dyDescent="0.35">
      <c r="A24" s="2"/>
      <c r="B24" s="3"/>
    </row>
    <row r="25" spans="1:2" x14ac:dyDescent="0.35">
      <c r="A25" s="2"/>
      <c r="B25" s="3"/>
    </row>
    <row r="26" spans="1:2" x14ac:dyDescent="0.35">
      <c r="A26" s="2"/>
      <c r="B26" s="3"/>
    </row>
    <row r="27" spans="1:2" x14ac:dyDescent="0.35">
      <c r="A27" s="2"/>
      <c r="B27" s="3"/>
    </row>
    <row r="28" spans="1:2" x14ac:dyDescent="0.35">
      <c r="A28" s="2"/>
      <c r="B28" s="3"/>
    </row>
    <row r="29" spans="1:2" x14ac:dyDescent="0.35">
      <c r="A29" s="2"/>
      <c r="B29" s="3"/>
    </row>
    <row r="30" spans="1:2" x14ac:dyDescent="0.35">
      <c r="A30" s="2"/>
      <c r="B30" s="3"/>
    </row>
    <row r="31" spans="1:2" x14ac:dyDescent="0.35">
      <c r="A31" s="2"/>
      <c r="B31" s="3"/>
    </row>
    <row r="32" spans="1:2" x14ac:dyDescent="0.35">
      <c r="A32" s="2"/>
      <c r="B32" s="3"/>
    </row>
    <row r="33" spans="1:2" x14ac:dyDescent="0.35">
      <c r="A33" s="2"/>
      <c r="B33" s="3"/>
    </row>
    <row r="34" spans="1:2" x14ac:dyDescent="0.35">
      <c r="A34" s="2"/>
      <c r="B34" s="3"/>
    </row>
    <row r="35" spans="1:2" x14ac:dyDescent="0.35">
      <c r="A35" s="2"/>
      <c r="B35" s="3"/>
    </row>
    <row r="36" spans="1:2" x14ac:dyDescent="0.35">
      <c r="A36" s="2"/>
      <c r="B36" s="3"/>
    </row>
    <row r="37" spans="1:2" x14ac:dyDescent="0.35">
      <c r="A37" s="2"/>
      <c r="B37" s="3"/>
    </row>
    <row r="38" spans="1:2" x14ac:dyDescent="0.35">
      <c r="A38" s="2"/>
      <c r="B38" s="3"/>
    </row>
    <row r="39" spans="1:2" x14ac:dyDescent="0.35">
      <c r="A39" s="2"/>
      <c r="B39" s="3"/>
    </row>
    <row r="40" spans="1:2" x14ac:dyDescent="0.35">
      <c r="A40" s="2"/>
      <c r="B40" s="3"/>
    </row>
    <row r="41" spans="1:2" x14ac:dyDescent="0.35">
      <c r="A41" s="2"/>
      <c r="B41" s="3"/>
    </row>
    <row r="42" spans="1:2" x14ac:dyDescent="0.35">
      <c r="A42" s="2"/>
      <c r="B42" s="3"/>
    </row>
    <row r="43" spans="1:2" x14ac:dyDescent="0.35">
      <c r="A43" s="2"/>
      <c r="B43" s="3"/>
    </row>
    <row r="44" spans="1:2" x14ac:dyDescent="0.35">
      <c r="A44" s="2"/>
      <c r="B44" s="3"/>
    </row>
    <row r="45" spans="1:2" x14ac:dyDescent="0.35">
      <c r="A45" s="2"/>
      <c r="B45" s="3"/>
    </row>
    <row r="46" spans="1:2" x14ac:dyDescent="0.35">
      <c r="A46" s="2"/>
      <c r="B46" s="3"/>
    </row>
    <row r="47" spans="1:2" x14ac:dyDescent="0.35">
      <c r="A47" s="2"/>
      <c r="B47" s="3"/>
    </row>
    <row r="48" spans="1:2" x14ac:dyDescent="0.35">
      <c r="A48" s="2"/>
      <c r="B48" s="3"/>
    </row>
    <row r="49" spans="1:2" x14ac:dyDescent="0.35">
      <c r="A49" s="2"/>
      <c r="B49" s="3"/>
    </row>
    <row r="50" spans="1:2" x14ac:dyDescent="0.35">
      <c r="A50" s="2"/>
      <c r="B50" s="3"/>
    </row>
    <row r="51" spans="1:2" x14ac:dyDescent="0.35">
      <c r="A51" s="2"/>
      <c r="B51" s="3"/>
    </row>
    <row r="52" spans="1:2" x14ac:dyDescent="0.35">
      <c r="A52" s="2"/>
      <c r="B52" s="3"/>
    </row>
    <row r="53" spans="1:2" x14ac:dyDescent="0.35">
      <c r="A53" s="2"/>
      <c r="B53" s="3"/>
    </row>
    <row r="54" spans="1:2" x14ac:dyDescent="0.35">
      <c r="A54" s="2"/>
      <c r="B54" s="3"/>
    </row>
    <row r="55" spans="1:2" x14ac:dyDescent="0.35">
      <c r="A55" s="2"/>
      <c r="B55" s="3"/>
    </row>
    <row r="56" spans="1:2" x14ac:dyDescent="0.35">
      <c r="A56" s="2"/>
      <c r="B56" s="3"/>
    </row>
    <row r="57" spans="1:2" x14ac:dyDescent="0.35">
      <c r="A57" s="2"/>
      <c r="B57" s="3"/>
    </row>
    <row r="58" spans="1:2" x14ac:dyDescent="0.35">
      <c r="A58" s="2"/>
      <c r="B58" s="3"/>
    </row>
    <row r="59" spans="1:2" x14ac:dyDescent="0.35">
      <c r="A59" s="2"/>
      <c r="B59" s="3"/>
    </row>
    <row r="60" spans="1:2" x14ac:dyDescent="0.35">
      <c r="A60" s="2"/>
      <c r="B60" s="3"/>
    </row>
    <row r="61" spans="1:2" x14ac:dyDescent="0.35">
      <c r="A61" s="2"/>
      <c r="B61" s="3"/>
    </row>
    <row r="62" spans="1:2" x14ac:dyDescent="0.35">
      <c r="A62" s="2"/>
      <c r="B62" s="3"/>
    </row>
    <row r="63" spans="1:2" x14ac:dyDescent="0.35">
      <c r="A63" s="2"/>
      <c r="B63" s="3"/>
    </row>
    <row r="64" spans="1:2" x14ac:dyDescent="0.35">
      <c r="A64" s="2"/>
      <c r="B64" s="3"/>
    </row>
    <row r="65" spans="1:2" x14ac:dyDescent="0.35">
      <c r="A65" s="2"/>
      <c r="B65" s="3"/>
    </row>
    <row r="66" spans="1:2" x14ac:dyDescent="0.35">
      <c r="A66" s="2"/>
      <c r="B66" s="3"/>
    </row>
    <row r="67" spans="1:2" x14ac:dyDescent="0.35">
      <c r="A67" s="2"/>
      <c r="B67" s="3"/>
    </row>
    <row r="68" spans="1:2" x14ac:dyDescent="0.35">
      <c r="A68" s="2"/>
      <c r="B68" s="3"/>
    </row>
    <row r="69" spans="1:2" x14ac:dyDescent="0.35">
      <c r="A69" s="2"/>
      <c r="B69" s="3"/>
    </row>
    <row r="70" spans="1:2" x14ac:dyDescent="0.35">
      <c r="A70" s="2"/>
      <c r="B70" s="3"/>
    </row>
    <row r="71" spans="1:2" x14ac:dyDescent="0.35">
      <c r="A71" s="2"/>
      <c r="B71" s="3"/>
    </row>
    <row r="72" spans="1:2" x14ac:dyDescent="0.35">
      <c r="A72" s="2"/>
      <c r="B72" s="3"/>
    </row>
    <row r="73" spans="1:2" x14ac:dyDescent="0.35">
      <c r="A73" s="2"/>
      <c r="B73" s="3"/>
    </row>
    <row r="74" spans="1:2" x14ac:dyDescent="0.35">
      <c r="A74" s="2"/>
      <c r="B74" s="3"/>
    </row>
    <row r="75" spans="1:2" x14ac:dyDescent="0.35">
      <c r="A75" s="2"/>
      <c r="B75" s="3"/>
    </row>
    <row r="76" spans="1:2" x14ac:dyDescent="0.35">
      <c r="A76" s="2"/>
      <c r="B76" s="3"/>
    </row>
    <row r="77" spans="1:2" x14ac:dyDescent="0.35">
      <c r="A77" s="2"/>
      <c r="B77" s="3"/>
    </row>
    <row r="78" spans="1:2" x14ac:dyDescent="0.35">
      <c r="A78" s="2"/>
      <c r="B78" s="3"/>
    </row>
    <row r="79" spans="1:2" x14ac:dyDescent="0.35">
      <c r="A79" s="2"/>
      <c r="B79" s="3"/>
    </row>
    <row r="80" spans="1:2" x14ac:dyDescent="0.35">
      <c r="A80" s="2"/>
      <c r="B80" s="3"/>
    </row>
    <row r="81" spans="1:2" x14ac:dyDescent="0.35">
      <c r="A81" s="2"/>
      <c r="B81" s="3"/>
    </row>
    <row r="82" spans="1:2" x14ac:dyDescent="0.35">
      <c r="A82" s="2"/>
      <c r="B82" s="3"/>
    </row>
    <row r="83" spans="1:2" x14ac:dyDescent="0.35">
      <c r="A83" s="2"/>
      <c r="B83" s="3"/>
    </row>
    <row r="84" spans="1:2" x14ac:dyDescent="0.35">
      <c r="A84" s="2"/>
      <c r="B84" s="3"/>
    </row>
    <row r="85" spans="1:2" x14ac:dyDescent="0.35">
      <c r="A85" s="2"/>
      <c r="B85" s="3"/>
    </row>
    <row r="86" spans="1:2" x14ac:dyDescent="0.35">
      <c r="A86" s="2"/>
      <c r="B86" s="3"/>
    </row>
    <row r="87" spans="1:2" x14ac:dyDescent="0.35">
      <c r="A87" s="2"/>
      <c r="B87" s="3"/>
    </row>
    <row r="88" spans="1:2" x14ac:dyDescent="0.35">
      <c r="A88" s="2"/>
      <c r="B88" s="3"/>
    </row>
    <row r="89" spans="1:2" x14ac:dyDescent="0.35">
      <c r="A89" s="2"/>
      <c r="B89" s="3"/>
    </row>
    <row r="90" spans="1:2" x14ac:dyDescent="0.35">
      <c r="A90" s="2"/>
      <c r="B90" s="3"/>
    </row>
    <row r="91" spans="1:2" x14ac:dyDescent="0.35">
      <c r="A91" s="2"/>
      <c r="B91" s="3"/>
    </row>
    <row r="92" spans="1:2" x14ac:dyDescent="0.35">
      <c r="A92" s="2"/>
      <c r="B92" s="3"/>
    </row>
    <row r="93" spans="1:2" x14ac:dyDescent="0.35">
      <c r="A93" s="2"/>
      <c r="B93" s="3"/>
    </row>
    <row r="94" spans="1:2" x14ac:dyDescent="0.35">
      <c r="A94" s="2"/>
      <c r="B94" s="3"/>
    </row>
    <row r="95" spans="1:2" x14ac:dyDescent="0.35">
      <c r="A95" s="2"/>
      <c r="B95" s="3"/>
    </row>
    <row r="96" spans="1:2" x14ac:dyDescent="0.35">
      <c r="A96" s="2"/>
      <c r="B96" s="3"/>
    </row>
    <row r="97" spans="1:2" x14ac:dyDescent="0.35">
      <c r="A97" s="2"/>
      <c r="B97" s="3"/>
    </row>
    <row r="98" spans="1:2" x14ac:dyDescent="0.35">
      <c r="A98" s="2"/>
      <c r="B98" s="3"/>
    </row>
    <row r="99" spans="1:2" x14ac:dyDescent="0.35">
      <c r="A99" s="2"/>
      <c r="B99" s="3"/>
    </row>
    <row r="100" spans="1:2" x14ac:dyDescent="0.35">
      <c r="A100" s="2"/>
      <c r="B100" s="3"/>
    </row>
    <row r="101" spans="1:2" x14ac:dyDescent="0.35">
      <c r="A101" s="2"/>
      <c r="B101" s="3"/>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7328EC-7F5C-43A1-9C46-6E39F29396BD}">
  <dimension ref="A1:I201"/>
  <sheetViews>
    <sheetView workbookViewId="0">
      <pane ySplit="1" topLeftCell="A2" activePane="bottomLeft" state="frozenSplit"/>
      <selection pane="bottomLeft"/>
    </sheetView>
  </sheetViews>
  <sheetFormatPr defaultRowHeight="14.5" x14ac:dyDescent="0.35"/>
  <cols>
    <col min="1" max="3" width="22.6328125" customWidth="1"/>
    <col min="4" max="4" width="45.6328125" customWidth="1"/>
    <col min="5" max="8" width="22.6328125" customWidth="1"/>
    <col min="9" max="9" width="75.6328125" customWidth="1"/>
  </cols>
  <sheetData>
    <row r="1" spans="1:9" ht="30" customHeight="1" x14ac:dyDescent="0.35">
      <c r="A1" s="1" t="s">
        <v>458</v>
      </c>
      <c r="B1" s="1" t="s">
        <v>459</v>
      </c>
      <c r="C1" s="1" t="s">
        <v>460</v>
      </c>
      <c r="D1" s="1" t="s">
        <v>461</v>
      </c>
      <c r="E1" s="1" t="s">
        <v>462</v>
      </c>
      <c r="F1" s="1" t="s">
        <v>463</v>
      </c>
      <c r="G1" s="1" t="s">
        <v>464</v>
      </c>
      <c r="H1" s="1" t="s">
        <v>465</v>
      </c>
      <c r="I1" s="1" t="s">
        <v>466</v>
      </c>
    </row>
    <row r="2" spans="1:9" x14ac:dyDescent="0.35">
      <c r="A2" s="2"/>
      <c r="B2" s="3"/>
      <c r="C2" s="3"/>
      <c r="D2" s="3"/>
      <c r="E2" s="3"/>
      <c r="F2" s="3"/>
      <c r="G2" s="3"/>
      <c r="H2" s="4" t="str">
        <f>IF(ISNUMBER(A2),A2+7,"")</f>
        <v/>
      </c>
      <c r="I2" s="3"/>
    </row>
    <row r="3" spans="1:9" x14ac:dyDescent="0.35">
      <c r="A3" s="2"/>
      <c r="B3" s="3"/>
      <c r="C3" s="3"/>
      <c r="D3" s="3"/>
      <c r="E3" s="3"/>
      <c r="F3" s="3"/>
      <c r="G3" s="3"/>
      <c r="H3" s="4" t="str">
        <f>IF(ISNUMBER(A3),A3+7,"")</f>
        <v/>
      </c>
      <c r="I3" s="3"/>
    </row>
    <row r="4" spans="1:9" x14ac:dyDescent="0.35">
      <c r="A4" s="2"/>
      <c r="B4" s="3"/>
      <c r="C4" s="3"/>
      <c r="D4" s="3"/>
      <c r="E4" s="3"/>
      <c r="F4" s="3"/>
      <c r="G4" s="3"/>
      <c r="H4" s="4" t="str">
        <f>IF(ISNUMBER(A4),A4+7,"")</f>
        <v/>
      </c>
      <c r="I4" s="3"/>
    </row>
    <row r="5" spans="1:9" x14ac:dyDescent="0.35">
      <c r="A5" s="2"/>
      <c r="B5" s="3"/>
      <c r="C5" s="3"/>
      <c r="D5" s="3"/>
      <c r="E5" s="3"/>
      <c r="F5" s="3"/>
      <c r="G5" s="3"/>
      <c r="H5" s="4" t="str">
        <f>IF(ISNUMBER(A5),A5+7,"")</f>
        <v/>
      </c>
      <c r="I5" s="3"/>
    </row>
    <row r="6" spans="1:9" x14ac:dyDescent="0.35">
      <c r="A6" s="2"/>
      <c r="B6" s="3"/>
      <c r="C6" s="3"/>
      <c r="D6" s="3"/>
      <c r="E6" s="3"/>
      <c r="F6" s="3"/>
      <c r="G6" s="3"/>
      <c r="H6" s="4" t="str">
        <f>IF(ISNUMBER(A6),A6+7,"")</f>
        <v/>
      </c>
      <c r="I6" s="3"/>
    </row>
    <row r="7" spans="1:9" x14ac:dyDescent="0.35">
      <c r="A7" s="2"/>
      <c r="B7" s="3"/>
      <c r="C7" s="3"/>
      <c r="D7" s="3"/>
      <c r="E7" s="3"/>
      <c r="F7" s="3"/>
      <c r="G7" s="3"/>
      <c r="H7" s="4" t="str">
        <f>IF(ISNUMBER(A7),A7+7,"")</f>
        <v/>
      </c>
      <c r="I7" s="3"/>
    </row>
    <row r="8" spans="1:9" x14ac:dyDescent="0.35">
      <c r="A8" s="2"/>
      <c r="B8" s="3"/>
      <c r="C8" s="3"/>
      <c r="D8" s="3"/>
      <c r="E8" s="3"/>
      <c r="F8" s="3"/>
      <c r="G8" s="3"/>
      <c r="H8" s="4" t="str">
        <f>IF(ISNUMBER(A8),A8+7,"")</f>
        <v/>
      </c>
      <c r="I8" s="3"/>
    </row>
    <row r="9" spans="1:9" x14ac:dyDescent="0.35">
      <c r="A9" s="2"/>
      <c r="B9" s="3"/>
      <c r="C9" s="3"/>
      <c r="D9" s="3"/>
      <c r="E9" s="3"/>
      <c r="F9" s="3"/>
      <c r="G9" s="3"/>
      <c r="H9" s="4" t="str">
        <f>IF(ISNUMBER(A9),A9+7,"")</f>
        <v/>
      </c>
      <c r="I9" s="3"/>
    </row>
    <row r="10" spans="1:9" x14ac:dyDescent="0.35">
      <c r="A10" s="2"/>
      <c r="B10" s="3"/>
      <c r="C10" s="3"/>
      <c r="D10" s="3"/>
      <c r="E10" s="3"/>
      <c r="F10" s="3"/>
      <c r="G10" s="3"/>
      <c r="H10" s="4" t="str">
        <f>IF(ISNUMBER(A10),A10+7,"")</f>
        <v/>
      </c>
      <c r="I10" s="3"/>
    </row>
    <row r="11" spans="1:9" x14ac:dyDescent="0.35">
      <c r="A11" s="2"/>
      <c r="B11" s="3"/>
      <c r="C11" s="3"/>
      <c r="D11" s="3"/>
      <c r="E11" s="3"/>
      <c r="F11" s="3"/>
      <c r="G11" s="3"/>
      <c r="H11" s="4" t="str">
        <f>IF(ISNUMBER(A11),A11+7,"")</f>
        <v/>
      </c>
      <c r="I11" s="3"/>
    </row>
    <row r="12" spans="1:9" x14ac:dyDescent="0.35">
      <c r="A12" s="2"/>
      <c r="B12" s="3"/>
      <c r="C12" s="3"/>
      <c r="D12" s="3"/>
      <c r="E12" s="3"/>
      <c r="F12" s="3"/>
      <c r="G12" s="3"/>
      <c r="H12" s="4" t="str">
        <f>IF(ISNUMBER(A12),A12+7,"")</f>
        <v/>
      </c>
      <c r="I12" s="3"/>
    </row>
    <row r="13" spans="1:9" x14ac:dyDescent="0.35">
      <c r="A13" s="2"/>
      <c r="B13" s="3"/>
      <c r="C13" s="3"/>
      <c r="D13" s="3"/>
      <c r="E13" s="3"/>
      <c r="F13" s="3"/>
      <c r="G13" s="3"/>
      <c r="H13" s="4" t="str">
        <f>IF(ISNUMBER(A13),A13+7,"")</f>
        <v/>
      </c>
      <c r="I13" s="3"/>
    </row>
    <row r="14" spans="1:9" x14ac:dyDescent="0.35">
      <c r="A14" s="2"/>
      <c r="B14" s="3"/>
      <c r="C14" s="3"/>
      <c r="D14" s="3"/>
      <c r="E14" s="3"/>
      <c r="F14" s="3"/>
      <c r="G14" s="3"/>
      <c r="H14" s="4" t="str">
        <f>IF(ISNUMBER(A14),A14+7,"")</f>
        <v/>
      </c>
      <c r="I14" s="3"/>
    </row>
    <row r="15" spans="1:9" x14ac:dyDescent="0.35">
      <c r="A15" s="2"/>
      <c r="B15" s="3"/>
      <c r="C15" s="3"/>
      <c r="D15" s="3"/>
      <c r="E15" s="3"/>
      <c r="F15" s="3"/>
      <c r="G15" s="3"/>
      <c r="H15" s="4" t="str">
        <f>IF(ISNUMBER(A15),A15+7,"")</f>
        <v/>
      </c>
      <c r="I15" s="3"/>
    </row>
    <row r="16" spans="1:9" x14ac:dyDescent="0.35">
      <c r="A16" s="2"/>
      <c r="B16" s="3"/>
      <c r="C16" s="3"/>
      <c r="D16" s="3"/>
      <c r="E16" s="3"/>
      <c r="F16" s="3"/>
      <c r="G16" s="3"/>
      <c r="H16" s="4" t="str">
        <f>IF(ISNUMBER(A16),A16+7,"")</f>
        <v/>
      </c>
      <c r="I16" s="3"/>
    </row>
    <row r="17" spans="1:9" x14ac:dyDescent="0.35">
      <c r="A17" s="2"/>
      <c r="B17" s="3"/>
      <c r="C17" s="3"/>
      <c r="D17" s="3"/>
      <c r="E17" s="3"/>
      <c r="F17" s="3"/>
      <c r="G17" s="3"/>
      <c r="H17" s="4" t="str">
        <f>IF(ISNUMBER(A17),A17+7,"")</f>
        <v/>
      </c>
      <c r="I17" s="3"/>
    </row>
    <row r="18" spans="1:9" x14ac:dyDescent="0.35">
      <c r="A18" s="2"/>
      <c r="B18" s="3"/>
      <c r="C18" s="3"/>
      <c r="D18" s="3"/>
      <c r="E18" s="3"/>
      <c r="F18" s="3"/>
      <c r="G18" s="3"/>
      <c r="H18" s="4" t="str">
        <f>IF(ISNUMBER(A18),A18+7,"")</f>
        <v/>
      </c>
      <c r="I18" s="3"/>
    </row>
    <row r="19" spans="1:9" x14ac:dyDescent="0.35">
      <c r="A19" s="2"/>
      <c r="B19" s="3"/>
      <c r="C19" s="3"/>
      <c r="D19" s="3"/>
      <c r="E19" s="3"/>
      <c r="F19" s="3"/>
      <c r="G19" s="3"/>
      <c r="H19" s="4" t="str">
        <f>IF(ISNUMBER(A19),A19+7,"")</f>
        <v/>
      </c>
      <c r="I19" s="3"/>
    </row>
    <row r="20" spans="1:9" x14ac:dyDescent="0.35">
      <c r="A20" s="2"/>
      <c r="B20" s="3"/>
      <c r="C20" s="3"/>
      <c r="D20" s="3"/>
      <c r="E20" s="3"/>
      <c r="F20" s="3"/>
      <c r="G20" s="3"/>
      <c r="H20" s="4" t="str">
        <f>IF(ISNUMBER(A20),A20+7,"")</f>
        <v/>
      </c>
      <c r="I20" s="3"/>
    </row>
    <row r="21" spans="1:9" x14ac:dyDescent="0.35">
      <c r="A21" s="2"/>
      <c r="B21" s="3"/>
      <c r="C21" s="3"/>
      <c r="D21" s="3"/>
      <c r="E21" s="3"/>
      <c r="F21" s="3"/>
      <c r="G21" s="3"/>
      <c r="H21" s="4" t="str">
        <f>IF(ISNUMBER(A21),A21+7,"")</f>
        <v/>
      </c>
      <c r="I21" s="3"/>
    </row>
    <row r="22" spans="1:9" x14ac:dyDescent="0.35">
      <c r="A22" s="2"/>
      <c r="B22" s="3"/>
      <c r="C22" s="3"/>
      <c r="D22" s="3"/>
      <c r="E22" s="3"/>
      <c r="F22" s="3"/>
      <c r="G22" s="3"/>
      <c r="H22" s="4" t="str">
        <f>IF(ISNUMBER(A22),A22+7,"")</f>
        <v/>
      </c>
      <c r="I22" s="3"/>
    </row>
    <row r="23" spans="1:9" x14ac:dyDescent="0.35">
      <c r="A23" s="2"/>
      <c r="B23" s="3"/>
      <c r="C23" s="3"/>
      <c r="D23" s="3"/>
      <c r="E23" s="3"/>
      <c r="F23" s="3"/>
      <c r="G23" s="3"/>
      <c r="H23" s="4" t="str">
        <f>IF(ISNUMBER(A23),A23+7,"")</f>
        <v/>
      </c>
      <c r="I23" s="3"/>
    </row>
    <row r="24" spans="1:9" x14ac:dyDescent="0.35">
      <c r="A24" s="2"/>
      <c r="B24" s="3"/>
      <c r="C24" s="3"/>
      <c r="D24" s="3"/>
      <c r="E24" s="3"/>
      <c r="F24" s="3"/>
      <c r="G24" s="3"/>
      <c r="H24" s="4" t="str">
        <f>IF(ISNUMBER(A24),A24+7,"")</f>
        <v/>
      </c>
      <c r="I24" s="3"/>
    </row>
    <row r="25" spans="1:9" x14ac:dyDescent="0.35">
      <c r="A25" s="2"/>
      <c r="B25" s="3"/>
      <c r="C25" s="3"/>
      <c r="D25" s="3"/>
      <c r="E25" s="3"/>
      <c r="F25" s="3"/>
      <c r="G25" s="3"/>
      <c r="H25" s="4" t="str">
        <f>IF(ISNUMBER(A25),A25+7,"")</f>
        <v/>
      </c>
      <c r="I25" s="3"/>
    </row>
    <row r="26" spans="1:9" x14ac:dyDescent="0.35">
      <c r="A26" s="2"/>
      <c r="B26" s="3"/>
      <c r="C26" s="3"/>
      <c r="D26" s="3"/>
      <c r="E26" s="3"/>
      <c r="F26" s="3"/>
      <c r="G26" s="3"/>
      <c r="H26" s="4" t="str">
        <f>IF(ISNUMBER(A26),A26+7,"")</f>
        <v/>
      </c>
      <c r="I26" s="3"/>
    </row>
    <row r="27" spans="1:9" x14ac:dyDescent="0.35">
      <c r="A27" s="2"/>
      <c r="B27" s="3"/>
      <c r="C27" s="3"/>
      <c r="D27" s="3"/>
      <c r="E27" s="3"/>
      <c r="F27" s="3"/>
      <c r="G27" s="3"/>
      <c r="H27" s="4" t="str">
        <f>IF(ISNUMBER(A27),A27+7,"")</f>
        <v/>
      </c>
      <c r="I27" s="3"/>
    </row>
    <row r="28" spans="1:9" x14ac:dyDescent="0.35">
      <c r="A28" s="2"/>
      <c r="B28" s="3"/>
      <c r="C28" s="3"/>
      <c r="D28" s="3"/>
      <c r="E28" s="3"/>
      <c r="F28" s="3"/>
      <c r="G28" s="3"/>
      <c r="H28" s="4" t="str">
        <f>IF(ISNUMBER(A28),A28+7,"")</f>
        <v/>
      </c>
      <c r="I28" s="3"/>
    </row>
    <row r="29" spans="1:9" x14ac:dyDescent="0.35">
      <c r="A29" s="2"/>
      <c r="B29" s="3"/>
      <c r="C29" s="3"/>
      <c r="D29" s="3"/>
      <c r="E29" s="3"/>
      <c r="F29" s="3"/>
      <c r="G29" s="3"/>
      <c r="H29" s="4" t="str">
        <f>IF(ISNUMBER(A29),A29+7,"")</f>
        <v/>
      </c>
      <c r="I29" s="3"/>
    </row>
    <row r="30" spans="1:9" x14ac:dyDescent="0.35">
      <c r="A30" s="2"/>
      <c r="B30" s="3"/>
      <c r="C30" s="3"/>
      <c r="D30" s="3"/>
      <c r="E30" s="3"/>
      <c r="F30" s="3"/>
      <c r="G30" s="3"/>
      <c r="H30" s="4" t="str">
        <f>IF(ISNUMBER(A30),A30+7,"")</f>
        <v/>
      </c>
      <c r="I30" s="3"/>
    </row>
    <row r="31" spans="1:9" x14ac:dyDescent="0.35">
      <c r="A31" s="2"/>
      <c r="B31" s="3"/>
      <c r="C31" s="3"/>
      <c r="D31" s="3"/>
      <c r="E31" s="3"/>
      <c r="F31" s="3"/>
      <c r="G31" s="3"/>
      <c r="H31" s="4" t="str">
        <f>IF(ISNUMBER(A31),A31+7,"")</f>
        <v/>
      </c>
      <c r="I31" s="3"/>
    </row>
    <row r="32" spans="1:9" x14ac:dyDescent="0.35">
      <c r="A32" s="2"/>
      <c r="B32" s="3"/>
      <c r="C32" s="3"/>
      <c r="D32" s="3"/>
      <c r="E32" s="3"/>
      <c r="F32" s="3"/>
      <c r="G32" s="3"/>
      <c r="H32" s="4" t="str">
        <f>IF(ISNUMBER(A32),A32+7,"")</f>
        <v/>
      </c>
      <c r="I32" s="3"/>
    </row>
    <row r="33" spans="1:9" x14ac:dyDescent="0.35">
      <c r="A33" s="2"/>
      <c r="B33" s="3"/>
      <c r="C33" s="3"/>
      <c r="D33" s="3"/>
      <c r="E33" s="3"/>
      <c r="F33" s="3"/>
      <c r="G33" s="3"/>
      <c r="H33" s="4" t="str">
        <f>IF(ISNUMBER(A33),A33+7,"")</f>
        <v/>
      </c>
      <c r="I33" s="3"/>
    </row>
    <row r="34" spans="1:9" x14ac:dyDescent="0.35">
      <c r="A34" s="2"/>
      <c r="B34" s="3"/>
      <c r="C34" s="3"/>
      <c r="D34" s="3"/>
      <c r="E34" s="3"/>
      <c r="F34" s="3"/>
      <c r="G34" s="3"/>
      <c r="H34" s="4" t="str">
        <f>IF(ISNUMBER(A34),A34+7,"")</f>
        <v/>
      </c>
      <c r="I34" s="3"/>
    </row>
    <row r="35" spans="1:9" x14ac:dyDescent="0.35">
      <c r="A35" s="2"/>
      <c r="B35" s="3"/>
      <c r="C35" s="3"/>
      <c r="D35" s="3"/>
      <c r="E35" s="3"/>
      <c r="F35" s="3"/>
      <c r="G35" s="3"/>
      <c r="H35" s="4" t="str">
        <f>IF(ISNUMBER(A35),A35+7,"")</f>
        <v/>
      </c>
      <c r="I35" s="3"/>
    </row>
    <row r="36" spans="1:9" x14ac:dyDescent="0.35">
      <c r="A36" s="2"/>
      <c r="B36" s="3"/>
      <c r="C36" s="3"/>
      <c r="D36" s="3"/>
      <c r="E36" s="3"/>
      <c r="F36" s="3"/>
      <c r="G36" s="3"/>
      <c r="H36" s="4" t="str">
        <f>IF(ISNUMBER(A36),A36+7,"")</f>
        <v/>
      </c>
      <c r="I36" s="3"/>
    </row>
    <row r="37" spans="1:9" x14ac:dyDescent="0.35">
      <c r="A37" s="2"/>
      <c r="B37" s="3"/>
      <c r="C37" s="3"/>
      <c r="D37" s="3"/>
      <c r="E37" s="3"/>
      <c r="F37" s="3"/>
      <c r="G37" s="3"/>
      <c r="H37" s="4" t="str">
        <f>IF(ISNUMBER(A37),A37+7,"")</f>
        <v/>
      </c>
      <c r="I37" s="3"/>
    </row>
    <row r="38" spans="1:9" x14ac:dyDescent="0.35">
      <c r="A38" s="2"/>
      <c r="B38" s="3"/>
      <c r="C38" s="3"/>
      <c r="D38" s="3"/>
      <c r="E38" s="3"/>
      <c r="F38" s="3"/>
      <c r="G38" s="3"/>
      <c r="H38" s="4" t="str">
        <f>IF(ISNUMBER(A38),A38+7,"")</f>
        <v/>
      </c>
      <c r="I38" s="3"/>
    </row>
    <row r="39" spans="1:9" x14ac:dyDescent="0.35">
      <c r="A39" s="2"/>
      <c r="B39" s="3"/>
      <c r="C39" s="3"/>
      <c r="D39" s="3"/>
      <c r="E39" s="3"/>
      <c r="F39" s="3"/>
      <c r="G39" s="3"/>
      <c r="H39" s="4" t="str">
        <f>IF(ISNUMBER(A39),A39+7,"")</f>
        <v/>
      </c>
      <c r="I39" s="3"/>
    </row>
    <row r="40" spans="1:9" x14ac:dyDescent="0.35">
      <c r="A40" s="2"/>
      <c r="B40" s="3"/>
      <c r="C40" s="3"/>
      <c r="D40" s="3"/>
      <c r="E40" s="3"/>
      <c r="F40" s="3"/>
      <c r="G40" s="3"/>
      <c r="H40" s="4" t="str">
        <f>IF(ISNUMBER(A40),A40+7,"")</f>
        <v/>
      </c>
      <c r="I40" s="3"/>
    </row>
    <row r="41" spans="1:9" x14ac:dyDescent="0.35">
      <c r="A41" s="2"/>
      <c r="B41" s="3"/>
      <c r="C41" s="3"/>
      <c r="D41" s="3"/>
      <c r="E41" s="3"/>
      <c r="F41" s="3"/>
      <c r="G41" s="3"/>
      <c r="H41" s="4" t="str">
        <f>IF(ISNUMBER(A41),A41+7,"")</f>
        <v/>
      </c>
      <c r="I41" s="3"/>
    </row>
    <row r="42" spans="1:9" x14ac:dyDescent="0.35">
      <c r="A42" s="2"/>
      <c r="B42" s="3"/>
      <c r="C42" s="3"/>
      <c r="D42" s="3"/>
      <c r="E42" s="3"/>
      <c r="F42" s="3"/>
      <c r="G42" s="3"/>
      <c r="H42" s="4" t="str">
        <f>IF(ISNUMBER(A42),A42+7,"")</f>
        <v/>
      </c>
      <c r="I42" s="3"/>
    </row>
    <row r="43" spans="1:9" x14ac:dyDescent="0.35">
      <c r="A43" s="2"/>
      <c r="B43" s="3"/>
      <c r="C43" s="3"/>
      <c r="D43" s="3"/>
      <c r="E43" s="3"/>
      <c r="F43" s="3"/>
      <c r="G43" s="3"/>
      <c r="H43" s="4" t="str">
        <f>IF(ISNUMBER(A43),A43+7,"")</f>
        <v/>
      </c>
      <c r="I43" s="3"/>
    </row>
    <row r="44" spans="1:9" x14ac:dyDescent="0.35">
      <c r="A44" s="2"/>
      <c r="B44" s="3"/>
      <c r="C44" s="3"/>
      <c r="D44" s="3"/>
      <c r="E44" s="3"/>
      <c r="F44" s="3"/>
      <c r="G44" s="3"/>
      <c r="H44" s="4" t="str">
        <f>IF(ISNUMBER(A44),A44+7,"")</f>
        <v/>
      </c>
      <c r="I44" s="3"/>
    </row>
    <row r="45" spans="1:9" x14ac:dyDescent="0.35">
      <c r="A45" s="2"/>
      <c r="B45" s="3"/>
      <c r="C45" s="3"/>
      <c r="D45" s="3"/>
      <c r="E45" s="3"/>
      <c r="F45" s="3"/>
      <c r="G45" s="3"/>
      <c r="H45" s="4" t="str">
        <f>IF(ISNUMBER(A45),A45+7,"")</f>
        <v/>
      </c>
      <c r="I45" s="3"/>
    </row>
    <row r="46" spans="1:9" x14ac:dyDescent="0.35">
      <c r="A46" s="2"/>
      <c r="B46" s="3"/>
      <c r="C46" s="3"/>
      <c r="D46" s="3"/>
      <c r="E46" s="3"/>
      <c r="F46" s="3"/>
      <c r="G46" s="3"/>
      <c r="H46" s="4" t="str">
        <f>IF(ISNUMBER(A46),A46+7,"")</f>
        <v/>
      </c>
      <c r="I46" s="3"/>
    </row>
    <row r="47" spans="1:9" x14ac:dyDescent="0.35">
      <c r="A47" s="2"/>
      <c r="B47" s="3"/>
      <c r="C47" s="3"/>
      <c r="D47" s="3"/>
      <c r="E47" s="3"/>
      <c r="F47" s="3"/>
      <c r="G47" s="3"/>
      <c r="H47" s="4" t="str">
        <f>IF(ISNUMBER(A47),A47+7,"")</f>
        <v/>
      </c>
      <c r="I47" s="3"/>
    </row>
    <row r="48" spans="1:9" x14ac:dyDescent="0.35">
      <c r="A48" s="2"/>
      <c r="B48" s="3"/>
      <c r="C48" s="3"/>
      <c r="D48" s="3"/>
      <c r="E48" s="3"/>
      <c r="F48" s="3"/>
      <c r="G48" s="3"/>
      <c r="H48" s="4" t="str">
        <f>IF(ISNUMBER(A48),A48+7,"")</f>
        <v/>
      </c>
      <c r="I48" s="3"/>
    </row>
    <row r="49" spans="1:9" x14ac:dyDescent="0.35">
      <c r="A49" s="2"/>
      <c r="B49" s="3"/>
      <c r="C49" s="3"/>
      <c r="D49" s="3"/>
      <c r="E49" s="3"/>
      <c r="F49" s="3"/>
      <c r="G49" s="3"/>
      <c r="H49" s="4" t="str">
        <f>IF(ISNUMBER(A49),A49+7,"")</f>
        <v/>
      </c>
      <c r="I49" s="3"/>
    </row>
    <row r="50" spans="1:9" x14ac:dyDescent="0.35">
      <c r="A50" s="2"/>
      <c r="B50" s="3"/>
      <c r="C50" s="3"/>
      <c r="D50" s="3"/>
      <c r="E50" s="3"/>
      <c r="F50" s="3"/>
      <c r="G50" s="3"/>
      <c r="H50" s="4" t="str">
        <f>IF(ISNUMBER(A50),A50+7,"")</f>
        <v/>
      </c>
      <c r="I50" s="3"/>
    </row>
    <row r="51" spans="1:9" x14ac:dyDescent="0.35">
      <c r="A51" s="2"/>
      <c r="B51" s="3"/>
      <c r="C51" s="3"/>
      <c r="D51" s="3"/>
      <c r="E51" s="3"/>
      <c r="F51" s="3"/>
      <c r="G51" s="3"/>
      <c r="H51" s="4" t="str">
        <f>IF(ISNUMBER(A51),A51+7,"")</f>
        <v/>
      </c>
      <c r="I51" s="3"/>
    </row>
    <row r="52" spans="1:9" x14ac:dyDescent="0.35">
      <c r="A52" s="2"/>
      <c r="B52" s="3"/>
      <c r="C52" s="3"/>
      <c r="D52" s="3"/>
      <c r="E52" s="3"/>
      <c r="F52" s="3"/>
      <c r="G52" s="3"/>
      <c r="H52" s="4" t="str">
        <f>IF(ISNUMBER(A52),A52+7,"")</f>
        <v/>
      </c>
      <c r="I52" s="3"/>
    </row>
    <row r="53" spans="1:9" x14ac:dyDescent="0.35">
      <c r="A53" s="2"/>
      <c r="B53" s="3"/>
      <c r="C53" s="3"/>
      <c r="D53" s="3"/>
      <c r="E53" s="3"/>
      <c r="F53" s="3"/>
      <c r="G53" s="3"/>
      <c r="H53" s="4" t="str">
        <f>IF(ISNUMBER(A53),A53+7,"")</f>
        <v/>
      </c>
      <c r="I53" s="3"/>
    </row>
    <row r="54" spans="1:9" x14ac:dyDescent="0.35">
      <c r="A54" s="2"/>
      <c r="B54" s="3"/>
      <c r="C54" s="3"/>
      <c r="D54" s="3"/>
      <c r="E54" s="3"/>
      <c r="F54" s="3"/>
      <c r="G54" s="3"/>
      <c r="H54" s="4" t="str">
        <f>IF(ISNUMBER(A54),A54+7,"")</f>
        <v/>
      </c>
      <c r="I54" s="3"/>
    </row>
    <row r="55" spans="1:9" x14ac:dyDescent="0.35">
      <c r="A55" s="2"/>
      <c r="B55" s="3"/>
      <c r="C55" s="3"/>
      <c r="D55" s="3"/>
      <c r="E55" s="3"/>
      <c r="F55" s="3"/>
      <c r="G55" s="3"/>
      <c r="H55" s="4" t="str">
        <f>IF(ISNUMBER(A55),A55+7,"")</f>
        <v/>
      </c>
      <c r="I55" s="3"/>
    </row>
    <row r="56" spans="1:9" x14ac:dyDescent="0.35">
      <c r="A56" s="2"/>
      <c r="B56" s="3"/>
      <c r="C56" s="3"/>
      <c r="D56" s="3"/>
      <c r="E56" s="3"/>
      <c r="F56" s="3"/>
      <c r="G56" s="3"/>
      <c r="H56" s="4" t="str">
        <f>IF(ISNUMBER(A56),A56+7,"")</f>
        <v/>
      </c>
      <c r="I56" s="3"/>
    </row>
    <row r="57" spans="1:9" x14ac:dyDescent="0.35">
      <c r="A57" s="2"/>
      <c r="B57" s="3"/>
      <c r="C57" s="3"/>
      <c r="D57" s="3"/>
      <c r="E57" s="3"/>
      <c r="F57" s="3"/>
      <c r="G57" s="3"/>
      <c r="H57" s="4" t="str">
        <f>IF(ISNUMBER(A57),A57+7,"")</f>
        <v/>
      </c>
      <c r="I57" s="3"/>
    </row>
    <row r="58" spans="1:9" x14ac:dyDescent="0.35">
      <c r="A58" s="2"/>
      <c r="B58" s="3"/>
      <c r="C58" s="3"/>
      <c r="D58" s="3"/>
      <c r="E58" s="3"/>
      <c r="F58" s="3"/>
      <c r="G58" s="3"/>
      <c r="H58" s="4" t="str">
        <f>IF(ISNUMBER(A58),A58+7,"")</f>
        <v/>
      </c>
      <c r="I58" s="3"/>
    </row>
    <row r="59" spans="1:9" x14ac:dyDescent="0.35">
      <c r="A59" s="2"/>
      <c r="B59" s="3"/>
      <c r="C59" s="3"/>
      <c r="D59" s="3"/>
      <c r="E59" s="3"/>
      <c r="F59" s="3"/>
      <c r="G59" s="3"/>
      <c r="H59" s="4" t="str">
        <f>IF(ISNUMBER(A59),A59+7,"")</f>
        <v/>
      </c>
      <c r="I59" s="3"/>
    </row>
    <row r="60" spans="1:9" x14ac:dyDescent="0.35">
      <c r="A60" s="2"/>
      <c r="B60" s="3"/>
      <c r="C60" s="3"/>
      <c r="D60" s="3"/>
      <c r="E60" s="3"/>
      <c r="F60" s="3"/>
      <c r="G60" s="3"/>
      <c r="H60" s="4" t="str">
        <f>IF(ISNUMBER(A60),A60+7,"")</f>
        <v/>
      </c>
      <c r="I60" s="3"/>
    </row>
    <row r="61" spans="1:9" x14ac:dyDescent="0.35">
      <c r="A61" s="2"/>
      <c r="B61" s="3"/>
      <c r="C61" s="3"/>
      <c r="D61" s="3"/>
      <c r="E61" s="3"/>
      <c r="F61" s="3"/>
      <c r="G61" s="3"/>
      <c r="H61" s="4" t="str">
        <f>IF(ISNUMBER(A61),A61+7,"")</f>
        <v/>
      </c>
      <c r="I61" s="3"/>
    </row>
    <row r="62" spans="1:9" x14ac:dyDescent="0.35">
      <c r="A62" s="2"/>
      <c r="B62" s="3"/>
      <c r="C62" s="3"/>
      <c r="D62" s="3"/>
      <c r="E62" s="3"/>
      <c r="F62" s="3"/>
      <c r="G62" s="3"/>
      <c r="H62" s="4" t="str">
        <f>IF(ISNUMBER(A62),A62+7,"")</f>
        <v/>
      </c>
      <c r="I62" s="3"/>
    </row>
    <row r="63" spans="1:9" x14ac:dyDescent="0.35">
      <c r="A63" s="2"/>
      <c r="B63" s="3"/>
      <c r="C63" s="3"/>
      <c r="D63" s="3"/>
      <c r="E63" s="3"/>
      <c r="F63" s="3"/>
      <c r="G63" s="3"/>
      <c r="H63" s="4" t="str">
        <f>IF(ISNUMBER(A63),A63+7,"")</f>
        <v/>
      </c>
      <c r="I63" s="3"/>
    </row>
    <row r="64" spans="1:9" x14ac:dyDescent="0.35">
      <c r="A64" s="2"/>
      <c r="B64" s="3"/>
      <c r="C64" s="3"/>
      <c r="D64" s="3"/>
      <c r="E64" s="3"/>
      <c r="F64" s="3"/>
      <c r="G64" s="3"/>
      <c r="H64" s="4" t="str">
        <f>IF(ISNUMBER(A64),A64+7,"")</f>
        <v/>
      </c>
      <c r="I64" s="3"/>
    </row>
    <row r="65" spans="1:9" x14ac:dyDescent="0.35">
      <c r="A65" s="2"/>
      <c r="B65" s="3"/>
      <c r="C65" s="3"/>
      <c r="D65" s="3"/>
      <c r="E65" s="3"/>
      <c r="F65" s="3"/>
      <c r="G65" s="3"/>
      <c r="H65" s="4" t="str">
        <f>IF(ISNUMBER(A65),A65+7,"")</f>
        <v/>
      </c>
      <c r="I65" s="3"/>
    </row>
    <row r="66" spans="1:9" x14ac:dyDescent="0.35">
      <c r="A66" s="2"/>
      <c r="B66" s="3"/>
      <c r="C66" s="3"/>
      <c r="D66" s="3"/>
      <c r="E66" s="3"/>
      <c r="F66" s="3"/>
      <c r="G66" s="3"/>
      <c r="H66" s="4" t="str">
        <f>IF(ISNUMBER(A66),A66+7,"")</f>
        <v/>
      </c>
      <c r="I66" s="3"/>
    </row>
    <row r="67" spans="1:9" x14ac:dyDescent="0.35">
      <c r="A67" s="2"/>
      <c r="B67" s="3"/>
      <c r="C67" s="3"/>
      <c r="D67" s="3"/>
      <c r="E67" s="3"/>
      <c r="F67" s="3"/>
      <c r="G67" s="3"/>
      <c r="H67" s="4" t="str">
        <f>IF(ISNUMBER(A67),A67+7,"")</f>
        <v/>
      </c>
      <c r="I67" s="3"/>
    </row>
    <row r="68" spans="1:9" x14ac:dyDescent="0.35">
      <c r="A68" s="2"/>
      <c r="B68" s="3"/>
      <c r="C68" s="3"/>
      <c r="D68" s="3"/>
      <c r="E68" s="3"/>
      <c r="F68" s="3"/>
      <c r="G68" s="3"/>
      <c r="H68" s="4" t="str">
        <f>IF(ISNUMBER(A68),A68+7,"")</f>
        <v/>
      </c>
      <c r="I68" s="3"/>
    </row>
    <row r="69" spans="1:9" x14ac:dyDescent="0.35">
      <c r="A69" s="2"/>
      <c r="B69" s="3"/>
      <c r="C69" s="3"/>
      <c r="D69" s="3"/>
      <c r="E69" s="3"/>
      <c r="F69" s="3"/>
      <c r="G69" s="3"/>
      <c r="H69" s="4" t="str">
        <f>IF(ISNUMBER(A69),A69+7,"")</f>
        <v/>
      </c>
      <c r="I69" s="3"/>
    </row>
    <row r="70" spans="1:9" x14ac:dyDescent="0.35">
      <c r="A70" s="2"/>
      <c r="B70" s="3"/>
      <c r="C70" s="3"/>
      <c r="D70" s="3"/>
      <c r="E70" s="3"/>
      <c r="F70" s="3"/>
      <c r="G70" s="3"/>
      <c r="H70" s="4" t="str">
        <f>IF(ISNUMBER(A70),A70+7,"")</f>
        <v/>
      </c>
      <c r="I70" s="3"/>
    </row>
    <row r="71" spans="1:9" x14ac:dyDescent="0.35">
      <c r="A71" s="2"/>
      <c r="B71" s="3"/>
      <c r="C71" s="3"/>
      <c r="D71" s="3"/>
      <c r="E71" s="3"/>
      <c r="F71" s="3"/>
      <c r="G71" s="3"/>
      <c r="H71" s="4" t="str">
        <f>IF(ISNUMBER(A71),A71+7,"")</f>
        <v/>
      </c>
      <c r="I71" s="3"/>
    </row>
    <row r="72" spans="1:9" x14ac:dyDescent="0.35">
      <c r="A72" s="2"/>
      <c r="B72" s="3"/>
      <c r="C72" s="3"/>
      <c r="D72" s="3"/>
      <c r="E72" s="3"/>
      <c r="F72" s="3"/>
      <c r="G72" s="3"/>
      <c r="H72" s="4" t="str">
        <f>IF(ISNUMBER(A72),A72+7,"")</f>
        <v/>
      </c>
      <c r="I72" s="3"/>
    </row>
    <row r="73" spans="1:9" x14ac:dyDescent="0.35">
      <c r="A73" s="2"/>
      <c r="B73" s="3"/>
      <c r="C73" s="3"/>
      <c r="D73" s="3"/>
      <c r="E73" s="3"/>
      <c r="F73" s="3"/>
      <c r="G73" s="3"/>
      <c r="H73" s="4" t="str">
        <f>IF(ISNUMBER(A73),A73+7,"")</f>
        <v/>
      </c>
      <c r="I73" s="3"/>
    </row>
    <row r="74" spans="1:9" x14ac:dyDescent="0.35">
      <c r="A74" s="2"/>
      <c r="B74" s="3"/>
      <c r="C74" s="3"/>
      <c r="D74" s="3"/>
      <c r="E74" s="3"/>
      <c r="F74" s="3"/>
      <c r="G74" s="3"/>
      <c r="H74" s="4" t="str">
        <f>IF(ISNUMBER(A74),A74+7,"")</f>
        <v/>
      </c>
      <c r="I74" s="3"/>
    </row>
    <row r="75" spans="1:9" x14ac:dyDescent="0.35">
      <c r="A75" s="2"/>
      <c r="B75" s="3"/>
      <c r="C75" s="3"/>
      <c r="D75" s="3"/>
      <c r="E75" s="3"/>
      <c r="F75" s="3"/>
      <c r="G75" s="3"/>
      <c r="H75" s="4" t="str">
        <f>IF(ISNUMBER(A75),A75+7,"")</f>
        <v/>
      </c>
      <c r="I75" s="3"/>
    </row>
    <row r="76" spans="1:9" x14ac:dyDescent="0.35">
      <c r="A76" s="2"/>
      <c r="B76" s="3"/>
      <c r="C76" s="3"/>
      <c r="D76" s="3"/>
      <c r="E76" s="3"/>
      <c r="F76" s="3"/>
      <c r="G76" s="3"/>
      <c r="H76" s="4" t="str">
        <f>IF(ISNUMBER(A76),A76+7,"")</f>
        <v/>
      </c>
      <c r="I76" s="3"/>
    </row>
    <row r="77" spans="1:9" x14ac:dyDescent="0.35">
      <c r="A77" s="2"/>
      <c r="B77" s="3"/>
      <c r="C77" s="3"/>
      <c r="D77" s="3"/>
      <c r="E77" s="3"/>
      <c r="F77" s="3"/>
      <c r="G77" s="3"/>
      <c r="H77" s="4" t="str">
        <f>IF(ISNUMBER(A77),A77+7,"")</f>
        <v/>
      </c>
      <c r="I77" s="3"/>
    </row>
    <row r="78" spans="1:9" x14ac:dyDescent="0.35">
      <c r="A78" s="2"/>
      <c r="B78" s="3"/>
      <c r="C78" s="3"/>
      <c r="D78" s="3"/>
      <c r="E78" s="3"/>
      <c r="F78" s="3"/>
      <c r="G78" s="3"/>
      <c r="H78" s="4" t="str">
        <f>IF(ISNUMBER(A78),A78+7,"")</f>
        <v/>
      </c>
      <c r="I78" s="3"/>
    </row>
    <row r="79" spans="1:9" x14ac:dyDescent="0.35">
      <c r="A79" s="2"/>
      <c r="B79" s="3"/>
      <c r="C79" s="3"/>
      <c r="D79" s="3"/>
      <c r="E79" s="3"/>
      <c r="F79" s="3"/>
      <c r="G79" s="3"/>
      <c r="H79" s="4" t="str">
        <f>IF(ISNUMBER(A79),A79+7,"")</f>
        <v/>
      </c>
      <c r="I79" s="3"/>
    </row>
    <row r="80" spans="1:9" x14ac:dyDescent="0.35">
      <c r="A80" s="2"/>
      <c r="B80" s="3"/>
      <c r="C80" s="3"/>
      <c r="D80" s="3"/>
      <c r="E80" s="3"/>
      <c r="F80" s="3"/>
      <c r="G80" s="3"/>
      <c r="H80" s="4" t="str">
        <f>IF(ISNUMBER(A80),A80+7,"")</f>
        <v/>
      </c>
      <c r="I80" s="3"/>
    </row>
    <row r="81" spans="1:9" x14ac:dyDescent="0.35">
      <c r="A81" s="2"/>
      <c r="B81" s="3"/>
      <c r="C81" s="3"/>
      <c r="D81" s="3"/>
      <c r="E81" s="3"/>
      <c r="F81" s="3"/>
      <c r="G81" s="3"/>
      <c r="H81" s="4" t="str">
        <f>IF(ISNUMBER(A81),A81+7,"")</f>
        <v/>
      </c>
      <c r="I81" s="3"/>
    </row>
    <row r="82" spans="1:9" x14ac:dyDescent="0.35">
      <c r="A82" s="2"/>
      <c r="B82" s="3"/>
      <c r="C82" s="3"/>
      <c r="D82" s="3"/>
      <c r="E82" s="3"/>
      <c r="F82" s="3"/>
      <c r="G82" s="3"/>
      <c r="H82" s="4" t="str">
        <f>IF(ISNUMBER(A82),A82+7,"")</f>
        <v/>
      </c>
      <c r="I82" s="3"/>
    </row>
    <row r="83" spans="1:9" x14ac:dyDescent="0.35">
      <c r="A83" s="2"/>
      <c r="B83" s="3"/>
      <c r="C83" s="3"/>
      <c r="D83" s="3"/>
      <c r="E83" s="3"/>
      <c r="F83" s="3"/>
      <c r="G83" s="3"/>
      <c r="H83" s="4" t="str">
        <f>IF(ISNUMBER(A83),A83+7,"")</f>
        <v/>
      </c>
      <c r="I83" s="3"/>
    </row>
    <row r="84" spans="1:9" x14ac:dyDescent="0.35">
      <c r="A84" s="2"/>
      <c r="B84" s="3"/>
      <c r="C84" s="3"/>
      <c r="D84" s="3"/>
      <c r="E84" s="3"/>
      <c r="F84" s="3"/>
      <c r="G84" s="3"/>
      <c r="H84" s="4" t="str">
        <f>IF(ISNUMBER(A84),A84+7,"")</f>
        <v/>
      </c>
      <c r="I84" s="3"/>
    </row>
    <row r="85" spans="1:9" x14ac:dyDescent="0.35">
      <c r="A85" s="2"/>
      <c r="B85" s="3"/>
      <c r="C85" s="3"/>
      <c r="D85" s="3"/>
      <c r="E85" s="3"/>
      <c r="F85" s="3"/>
      <c r="G85" s="3"/>
      <c r="H85" s="4" t="str">
        <f>IF(ISNUMBER(A85),A85+7,"")</f>
        <v/>
      </c>
      <c r="I85" s="3"/>
    </row>
    <row r="86" spans="1:9" x14ac:dyDescent="0.35">
      <c r="A86" s="2"/>
      <c r="B86" s="3"/>
      <c r="C86" s="3"/>
      <c r="D86" s="3"/>
      <c r="E86" s="3"/>
      <c r="F86" s="3"/>
      <c r="G86" s="3"/>
      <c r="H86" s="4" t="str">
        <f>IF(ISNUMBER(A86),A86+7,"")</f>
        <v/>
      </c>
      <c r="I86" s="3"/>
    </row>
    <row r="87" spans="1:9" x14ac:dyDescent="0.35">
      <c r="A87" s="2"/>
      <c r="B87" s="3"/>
      <c r="C87" s="3"/>
      <c r="D87" s="3"/>
      <c r="E87" s="3"/>
      <c r="F87" s="3"/>
      <c r="G87" s="3"/>
      <c r="H87" s="4" t="str">
        <f>IF(ISNUMBER(A87),A87+7,"")</f>
        <v/>
      </c>
      <c r="I87" s="3"/>
    </row>
    <row r="88" spans="1:9" x14ac:dyDescent="0.35">
      <c r="A88" s="2"/>
      <c r="B88" s="3"/>
      <c r="C88" s="3"/>
      <c r="D88" s="3"/>
      <c r="E88" s="3"/>
      <c r="F88" s="3"/>
      <c r="G88" s="3"/>
      <c r="H88" s="4" t="str">
        <f>IF(ISNUMBER(A88),A88+7,"")</f>
        <v/>
      </c>
      <c r="I88" s="3"/>
    </row>
    <row r="89" spans="1:9" x14ac:dyDescent="0.35">
      <c r="A89" s="2"/>
      <c r="B89" s="3"/>
      <c r="C89" s="3"/>
      <c r="D89" s="3"/>
      <c r="E89" s="3"/>
      <c r="F89" s="3"/>
      <c r="G89" s="3"/>
      <c r="H89" s="4" t="str">
        <f>IF(ISNUMBER(A89),A89+7,"")</f>
        <v/>
      </c>
      <c r="I89" s="3"/>
    </row>
    <row r="90" spans="1:9" x14ac:dyDescent="0.35">
      <c r="A90" s="2"/>
      <c r="B90" s="3"/>
      <c r="C90" s="3"/>
      <c r="D90" s="3"/>
      <c r="E90" s="3"/>
      <c r="F90" s="3"/>
      <c r="G90" s="3"/>
      <c r="H90" s="4" t="str">
        <f>IF(ISNUMBER(A90),A90+7,"")</f>
        <v/>
      </c>
      <c r="I90" s="3"/>
    </row>
    <row r="91" spans="1:9" x14ac:dyDescent="0.35">
      <c r="A91" s="2"/>
      <c r="B91" s="3"/>
      <c r="C91" s="3"/>
      <c r="D91" s="3"/>
      <c r="E91" s="3"/>
      <c r="F91" s="3"/>
      <c r="G91" s="3"/>
      <c r="H91" s="4" t="str">
        <f>IF(ISNUMBER(A91),A91+7,"")</f>
        <v/>
      </c>
      <c r="I91" s="3"/>
    </row>
    <row r="92" spans="1:9" x14ac:dyDescent="0.35">
      <c r="A92" s="2"/>
      <c r="B92" s="3"/>
      <c r="C92" s="3"/>
      <c r="D92" s="3"/>
      <c r="E92" s="3"/>
      <c r="F92" s="3"/>
      <c r="G92" s="3"/>
      <c r="H92" s="4" t="str">
        <f>IF(ISNUMBER(A92),A92+7,"")</f>
        <v/>
      </c>
      <c r="I92" s="3"/>
    </row>
    <row r="93" spans="1:9" x14ac:dyDescent="0.35">
      <c r="A93" s="2"/>
      <c r="B93" s="3"/>
      <c r="C93" s="3"/>
      <c r="D93" s="3"/>
      <c r="E93" s="3"/>
      <c r="F93" s="3"/>
      <c r="G93" s="3"/>
      <c r="H93" s="4" t="str">
        <f>IF(ISNUMBER(A93),A93+7,"")</f>
        <v/>
      </c>
      <c r="I93" s="3"/>
    </row>
    <row r="94" spans="1:9" x14ac:dyDescent="0.35">
      <c r="A94" s="2"/>
      <c r="B94" s="3"/>
      <c r="C94" s="3"/>
      <c r="D94" s="3"/>
      <c r="E94" s="3"/>
      <c r="F94" s="3"/>
      <c r="G94" s="3"/>
      <c r="H94" s="4" t="str">
        <f>IF(ISNUMBER(A94),A94+7,"")</f>
        <v/>
      </c>
      <c r="I94" s="3"/>
    </row>
    <row r="95" spans="1:9" x14ac:dyDescent="0.35">
      <c r="A95" s="2"/>
      <c r="B95" s="3"/>
      <c r="C95" s="3"/>
      <c r="D95" s="3"/>
      <c r="E95" s="3"/>
      <c r="F95" s="3"/>
      <c r="G95" s="3"/>
      <c r="H95" s="4" t="str">
        <f>IF(ISNUMBER(A95),A95+7,"")</f>
        <v/>
      </c>
      <c r="I95" s="3"/>
    </row>
    <row r="96" spans="1:9" x14ac:dyDescent="0.35">
      <c r="A96" s="2"/>
      <c r="B96" s="3"/>
      <c r="C96" s="3"/>
      <c r="D96" s="3"/>
      <c r="E96" s="3"/>
      <c r="F96" s="3"/>
      <c r="G96" s="3"/>
      <c r="H96" s="4" t="str">
        <f>IF(ISNUMBER(A96),A96+7,"")</f>
        <v/>
      </c>
      <c r="I96" s="3"/>
    </row>
    <row r="97" spans="1:9" x14ac:dyDescent="0.35">
      <c r="A97" s="2"/>
      <c r="B97" s="3"/>
      <c r="C97" s="3"/>
      <c r="D97" s="3"/>
      <c r="E97" s="3"/>
      <c r="F97" s="3"/>
      <c r="G97" s="3"/>
      <c r="H97" s="4" t="str">
        <f>IF(ISNUMBER(A97),A97+7,"")</f>
        <v/>
      </c>
      <c r="I97" s="3"/>
    </row>
    <row r="98" spans="1:9" x14ac:dyDescent="0.35">
      <c r="A98" s="2"/>
      <c r="B98" s="3"/>
      <c r="C98" s="3"/>
      <c r="D98" s="3"/>
      <c r="E98" s="3"/>
      <c r="F98" s="3"/>
      <c r="G98" s="3"/>
      <c r="H98" s="4" t="str">
        <f>IF(ISNUMBER(A98),A98+7,"")</f>
        <v/>
      </c>
      <c r="I98" s="3"/>
    </row>
    <row r="99" spans="1:9" x14ac:dyDescent="0.35">
      <c r="A99" s="2"/>
      <c r="B99" s="3"/>
      <c r="C99" s="3"/>
      <c r="D99" s="3"/>
      <c r="E99" s="3"/>
      <c r="F99" s="3"/>
      <c r="G99" s="3"/>
      <c r="H99" s="4" t="str">
        <f>IF(ISNUMBER(A99),A99+7,"")</f>
        <v/>
      </c>
      <c r="I99" s="3"/>
    </row>
    <row r="100" spans="1:9" x14ac:dyDescent="0.35">
      <c r="A100" s="2"/>
      <c r="B100" s="3"/>
      <c r="C100" s="3"/>
      <c r="D100" s="3"/>
      <c r="E100" s="3"/>
      <c r="F100" s="3"/>
      <c r="G100" s="3"/>
      <c r="H100" s="4" t="str">
        <f>IF(ISNUMBER(A100),A100+7,"")</f>
        <v/>
      </c>
      <c r="I100" s="3"/>
    </row>
    <row r="101" spans="1:9" x14ac:dyDescent="0.35">
      <c r="A101" s="2"/>
      <c r="B101" s="3"/>
      <c r="C101" s="3"/>
      <c r="D101" s="3"/>
      <c r="E101" s="3"/>
      <c r="F101" s="3"/>
      <c r="G101" s="3"/>
      <c r="H101" s="4" t="str">
        <f>IF(ISNUMBER(A101),A101+7,"")</f>
        <v/>
      </c>
      <c r="I101" s="3"/>
    </row>
    <row r="102" spans="1:9" x14ac:dyDescent="0.35">
      <c r="A102" s="2"/>
      <c r="B102" s="3"/>
      <c r="C102" s="3"/>
      <c r="D102" s="3"/>
      <c r="E102" s="3"/>
      <c r="F102" s="3"/>
      <c r="G102" s="3"/>
      <c r="H102" s="4" t="str">
        <f>IF(ISNUMBER(A102),A102+7,"")</f>
        <v/>
      </c>
      <c r="I102" s="3"/>
    </row>
    <row r="103" spans="1:9" x14ac:dyDescent="0.35">
      <c r="A103" s="2"/>
      <c r="B103" s="3"/>
      <c r="C103" s="3"/>
      <c r="D103" s="3"/>
      <c r="E103" s="3"/>
      <c r="F103" s="3"/>
      <c r="G103" s="3"/>
      <c r="H103" s="4" t="str">
        <f>IF(ISNUMBER(A103),A103+7,"")</f>
        <v/>
      </c>
      <c r="I103" s="3"/>
    </row>
    <row r="104" spans="1:9" x14ac:dyDescent="0.35">
      <c r="A104" s="2"/>
      <c r="B104" s="3"/>
      <c r="C104" s="3"/>
      <c r="D104" s="3"/>
      <c r="E104" s="3"/>
      <c r="F104" s="3"/>
      <c r="G104" s="3"/>
      <c r="H104" s="4" t="str">
        <f>IF(ISNUMBER(A104),A104+7,"")</f>
        <v/>
      </c>
      <c r="I104" s="3"/>
    </row>
    <row r="105" spans="1:9" x14ac:dyDescent="0.35">
      <c r="A105" s="2"/>
      <c r="B105" s="3"/>
      <c r="C105" s="3"/>
      <c r="D105" s="3"/>
      <c r="E105" s="3"/>
      <c r="F105" s="3"/>
      <c r="G105" s="3"/>
      <c r="H105" s="4" t="str">
        <f>IF(ISNUMBER(A105),A105+7,"")</f>
        <v/>
      </c>
      <c r="I105" s="3"/>
    </row>
    <row r="106" spans="1:9" x14ac:dyDescent="0.35">
      <c r="A106" s="2"/>
      <c r="B106" s="3"/>
      <c r="C106" s="3"/>
      <c r="D106" s="3"/>
      <c r="E106" s="3"/>
      <c r="F106" s="3"/>
      <c r="G106" s="3"/>
      <c r="H106" s="4" t="str">
        <f>IF(ISNUMBER(A106),A106+7,"")</f>
        <v/>
      </c>
      <c r="I106" s="3"/>
    </row>
    <row r="107" spans="1:9" x14ac:dyDescent="0.35">
      <c r="A107" s="2"/>
      <c r="B107" s="3"/>
      <c r="C107" s="3"/>
      <c r="D107" s="3"/>
      <c r="E107" s="3"/>
      <c r="F107" s="3"/>
      <c r="G107" s="3"/>
      <c r="H107" s="4" t="str">
        <f>IF(ISNUMBER(A107),A107+7,"")</f>
        <v/>
      </c>
      <c r="I107" s="3"/>
    </row>
    <row r="108" spans="1:9" x14ac:dyDescent="0.35">
      <c r="A108" s="2"/>
      <c r="B108" s="3"/>
      <c r="C108" s="3"/>
      <c r="D108" s="3"/>
      <c r="E108" s="3"/>
      <c r="F108" s="3"/>
      <c r="G108" s="3"/>
      <c r="H108" s="4" t="str">
        <f>IF(ISNUMBER(A108),A108+7,"")</f>
        <v/>
      </c>
      <c r="I108" s="3"/>
    </row>
    <row r="109" spans="1:9" x14ac:dyDescent="0.35">
      <c r="A109" s="2"/>
      <c r="B109" s="3"/>
      <c r="C109" s="3"/>
      <c r="D109" s="3"/>
      <c r="E109" s="3"/>
      <c r="F109" s="3"/>
      <c r="G109" s="3"/>
      <c r="H109" s="4" t="str">
        <f>IF(ISNUMBER(A109),A109+7,"")</f>
        <v/>
      </c>
      <c r="I109" s="3"/>
    </row>
    <row r="110" spans="1:9" x14ac:dyDescent="0.35">
      <c r="A110" s="2"/>
      <c r="B110" s="3"/>
      <c r="C110" s="3"/>
      <c r="D110" s="3"/>
      <c r="E110" s="3"/>
      <c r="F110" s="3"/>
      <c r="G110" s="3"/>
      <c r="H110" s="4" t="str">
        <f>IF(ISNUMBER(A110),A110+7,"")</f>
        <v/>
      </c>
      <c r="I110" s="3"/>
    </row>
    <row r="111" spans="1:9" x14ac:dyDescent="0.35">
      <c r="A111" s="2"/>
      <c r="B111" s="3"/>
      <c r="C111" s="3"/>
      <c r="D111" s="3"/>
      <c r="E111" s="3"/>
      <c r="F111" s="3"/>
      <c r="G111" s="3"/>
      <c r="H111" s="4" t="str">
        <f>IF(ISNUMBER(A111),A111+7,"")</f>
        <v/>
      </c>
      <c r="I111" s="3"/>
    </row>
    <row r="112" spans="1:9" x14ac:dyDescent="0.35">
      <c r="A112" s="2"/>
      <c r="B112" s="3"/>
      <c r="C112" s="3"/>
      <c r="D112" s="3"/>
      <c r="E112" s="3"/>
      <c r="F112" s="3"/>
      <c r="G112" s="3"/>
      <c r="H112" s="4" t="str">
        <f>IF(ISNUMBER(A112),A112+7,"")</f>
        <v/>
      </c>
      <c r="I112" s="3"/>
    </row>
    <row r="113" spans="1:9" x14ac:dyDescent="0.35">
      <c r="A113" s="2"/>
      <c r="B113" s="3"/>
      <c r="C113" s="3"/>
      <c r="D113" s="3"/>
      <c r="E113" s="3"/>
      <c r="F113" s="3"/>
      <c r="G113" s="3"/>
      <c r="H113" s="4" t="str">
        <f>IF(ISNUMBER(A113),A113+7,"")</f>
        <v/>
      </c>
      <c r="I113" s="3"/>
    </row>
    <row r="114" spans="1:9" x14ac:dyDescent="0.35">
      <c r="A114" s="2"/>
      <c r="B114" s="3"/>
      <c r="C114" s="3"/>
      <c r="D114" s="3"/>
      <c r="E114" s="3"/>
      <c r="F114" s="3"/>
      <c r="G114" s="3"/>
      <c r="H114" s="4" t="str">
        <f>IF(ISNUMBER(A114),A114+7,"")</f>
        <v/>
      </c>
      <c r="I114" s="3"/>
    </row>
    <row r="115" spans="1:9" x14ac:dyDescent="0.35">
      <c r="A115" s="2"/>
      <c r="B115" s="3"/>
      <c r="C115" s="3"/>
      <c r="D115" s="3"/>
      <c r="E115" s="3"/>
      <c r="F115" s="3"/>
      <c r="G115" s="3"/>
      <c r="H115" s="4" t="str">
        <f>IF(ISNUMBER(A115),A115+7,"")</f>
        <v/>
      </c>
      <c r="I115" s="3"/>
    </row>
    <row r="116" spans="1:9" x14ac:dyDescent="0.35">
      <c r="A116" s="2"/>
      <c r="B116" s="3"/>
      <c r="C116" s="3"/>
      <c r="D116" s="3"/>
      <c r="E116" s="3"/>
      <c r="F116" s="3"/>
      <c r="G116" s="3"/>
      <c r="H116" s="4" t="str">
        <f>IF(ISNUMBER(A116),A116+7,"")</f>
        <v/>
      </c>
      <c r="I116" s="3"/>
    </row>
    <row r="117" spans="1:9" x14ac:dyDescent="0.35">
      <c r="A117" s="2"/>
      <c r="B117" s="3"/>
      <c r="C117" s="3"/>
      <c r="D117" s="3"/>
      <c r="E117" s="3"/>
      <c r="F117" s="3"/>
      <c r="G117" s="3"/>
      <c r="H117" s="4" t="str">
        <f>IF(ISNUMBER(A117),A117+7,"")</f>
        <v/>
      </c>
      <c r="I117" s="3"/>
    </row>
    <row r="118" spans="1:9" x14ac:dyDescent="0.35">
      <c r="A118" s="2"/>
      <c r="B118" s="3"/>
      <c r="C118" s="3"/>
      <c r="D118" s="3"/>
      <c r="E118" s="3"/>
      <c r="F118" s="3"/>
      <c r="G118" s="3"/>
      <c r="H118" s="4" t="str">
        <f>IF(ISNUMBER(A118),A118+7,"")</f>
        <v/>
      </c>
      <c r="I118" s="3"/>
    </row>
    <row r="119" spans="1:9" x14ac:dyDescent="0.35">
      <c r="A119" s="2"/>
      <c r="B119" s="3"/>
      <c r="C119" s="3"/>
      <c r="D119" s="3"/>
      <c r="E119" s="3"/>
      <c r="F119" s="3"/>
      <c r="G119" s="3"/>
      <c r="H119" s="4" t="str">
        <f>IF(ISNUMBER(A119),A119+7,"")</f>
        <v/>
      </c>
      <c r="I119" s="3"/>
    </row>
    <row r="120" spans="1:9" x14ac:dyDescent="0.35">
      <c r="A120" s="2"/>
      <c r="B120" s="3"/>
      <c r="C120" s="3"/>
      <c r="D120" s="3"/>
      <c r="E120" s="3"/>
      <c r="F120" s="3"/>
      <c r="G120" s="3"/>
      <c r="H120" s="4" t="str">
        <f>IF(ISNUMBER(A120),A120+7,"")</f>
        <v/>
      </c>
      <c r="I120" s="3"/>
    </row>
    <row r="121" spans="1:9" x14ac:dyDescent="0.35">
      <c r="A121" s="2"/>
      <c r="B121" s="3"/>
      <c r="C121" s="3"/>
      <c r="D121" s="3"/>
      <c r="E121" s="3"/>
      <c r="F121" s="3"/>
      <c r="G121" s="3"/>
      <c r="H121" s="4" t="str">
        <f>IF(ISNUMBER(A121),A121+7,"")</f>
        <v/>
      </c>
      <c r="I121" s="3"/>
    </row>
    <row r="122" spans="1:9" x14ac:dyDescent="0.35">
      <c r="A122" s="2"/>
      <c r="B122" s="3"/>
      <c r="C122" s="3"/>
      <c r="D122" s="3"/>
      <c r="E122" s="3"/>
      <c r="F122" s="3"/>
      <c r="G122" s="3"/>
      <c r="H122" s="4" t="str">
        <f>IF(ISNUMBER(A122),A122+7,"")</f>
        <v/>
      </c>
      <c r="I122" s="3"/>
    </row>
    <row r="123" spans="1:9" x14ac:dyDescent="0.35">
      <c r="A123" s="2"/>
      <c r="B123" s="3"/>
      <c r="C123" s="3"/>
      <c r="D123" s="3"/>
      <c r="E123" s="3"/>
      <c r="F123" s="3"/>
      <c r="G123" s="3"/>
      <c r="H123" s="4" t="str">
        <f>IF(ISNUMBER(A123),A123+7,"")</f>
        <v/>
      </c>
      <c r="I123" s="3"/>
    </row>
    <row r="124" spans="1:9" x14ac:dyDescent="0.35">
      <c r="A124" s="2"/>
      <c r="B124" s="3"/>
      <c r="C124" s="3"/>
      <c r="D124" s="3"/>
      <c r="E124" s="3"/>
      <c r="F124" s="3"/>
      <c r="G124" s="3"/>
      <c r="H124" s="4" t="str">
        <f>IF(ISNUMBER(A124),A124+7,"")</f>
        <v/>
      </c>
      <c r="I124" s="3"/>
    </row>
    <row r="125" spans="1:9" x14ac:dyDescent="0.35">
      <c r="A125" s="2"/>
      <c r="B125" s="3"/>
      <c r="C125" s="3"/>
      <c r="D125" s="3"/>
      <c r="E125" s="3"/>
      <c r="F125" s="3"/>
      <c r="G125" s="3"/>
      <c r="H125" s="4" t="str">
        <f>IF(ISNUMBER(A125),A125+7,"")</f>
        <v/>
      </c>
      <c r="I125" s="3"/>
    </row>
    <row r="126" spans="1:9" x14ac:dyDescent="0.35">
      <c r="A126" s="2"/>
      <c r="B126" s="3"/>
      <c r="C126" s="3"/>
      <c r="D126" s="3"/>
      <c r="E126" s="3"/>
      <c r="F126" s="3"/>
      <c r="G126" s="3"/>
      <c r="H126" s="4" t="str">
        <f>IF(ISNUMBER(A126),A126+7,"")</f>
        <v/>
      </c>
      <c r="I126" s="3"/>
    </row>
    <row r="127" spans="1:9" x14ac:dyDescent="0.35">
      <c r="A127" s="2"/>
      <c r="B127" s="3"/>
      <c r="C127" s="3"/>
      <c r="D127" s="3"/>
      <c r="E127" s="3"/>
      <c r="F127" s="3"/>
      <c r="G127" s="3"/>
      <c r="H127" s="4" t="str">
        <f>IF(ISNUMBER(A127),A127+7,"")</f>
        <v/>
      </c>
      <c r="I127" s="3"/>
    </row>
    <row r="128" spans="1:9" x14ac:dyDescent="0.35">
      <c r="A128" s="2"/>
      <c r="B128" s="3"/>
      <c r="C128" s="3"/>
      <c r="D128" s="3"/>
      <c r="E128" s="3"/>
      <c r="F128" s="3"/>
      <c r="G128" s="3"/>
      <c r="H128" s="4" t="str">
        <f>IF(ISNUMBER(A128),A128+7,"")</f>
        <v/>
      </c>
      <c r="I128" s="3"/>
    </row>
    <row r="129" spans="1:9" x14ac:dyDescent="0.35">
      <c r="A129" s="2"/>
      <c r="B129" s="3"/>
      <c r="C129" s="3"/>
      <c r="D129" s="3"/>
      <c r="E129" s="3"/>
      <c r="F129" s="3"/>
      <c r="G129" s="3"/>
      <c r="H129" s="4" t="str">
        <f>IF(ISNUMBER(A129),A129+7,"")</f>
        <v/>
      </c>
      <c r="I129" s="3"/>
    </row>
    <row r="130" spans="1:9" x14ac:dyDescent="0.35">
      <c r="A130" s="2"/>
      <c r="B130" s="3"/>
      <c r="C130" s="3"/>
      <c r="D130" s="3"/>
      <c r="E130" s="3"/>
      <c r="F130" s="3"/>
      <c r="G130" s="3"/>
      <c r="H130" s="4" t="str">
        <f>IF(ISNUMBER(A130),A130+7,"")</f>
        <v/>
      </c>
      <c r="I130" s="3"/>
    </row>
    <row r="131" spans="1:9" x14ac:dyDescent="0.35">
      <c r="A131" s="2"/>
      <c r="B131" s="3"/>
      <c r="C131" s="3"/>
      <c r="D131" s="3"/>
      <c r="E131" s="3"/>
      <c r="F131" s="3"/>
      <c r="G131" s="3"/>
      <c r="H131" s="4" t="str">
        <f>IF(ISNUMBER(A131),A131+7,"")</f>
        <v/>
      </c>
      <c r="I131" s="3"/>
    </row>
    <row r="132" spans="1:9" x14ac:dyDescent="0.35">
      <c r="A132" s="2"/>
      <c r="B132" s="3"/>
      <c r="C132" s="3"/>
      <c r="D132" s="3"/>
      <c r="E132" s="3"/>
      <c r="F132" s="3"/>
      <c r="G132" s="3"/>
      <c r="H132" s="4" t="str">
        <f>IF(ISNUMBER(A132),A132+7,"")</f>
        <v/>
      </c>
      <c r="I132" s="3"/>
    </row>
    <row r="133" spans="1:9" x14ac:dyDescent="0.35">
      <c r="A133" s="2"/>
      <c r="B133" s="3"/>
      <c r="C133" s="3"/>
      <c r="D133" s="3"/>
      <c r="E133" s="3"/>
      <c r="F133" s="3"/>
      <c r="G133" s="3"/>
      <c r="H133" s="4" t="str">
        <f>IF(ISNUMBER(A133),A133+7,"")</f>
        <v/>
      </c>
      <c r="I133" s="3"/>
    </row>
    <row r="134" spans="1:9" x14ac:dyDescent="0.35">
      <c r="A134" s="2"/>
      <c r="B134" s="3"/>
      <c r="C134" s="3"/>
      <c r="D134" s="3"/>
      <c r="E134" s="3"/>
      <c r="F134" s="3"/>
      <c r="G134" s="3"/>
      <c r="H134" s="4" t="str">
        <f>IF(ISNUMBER(A134),A134+7,"")</f>
        <v/>
      </c>
      <c r="I134" s="3"/>
    </row>
    <row r="135" spans="1:9" x14ac:dyDescent="0.35">
      <c r="A135" s="2"/>
      <c r="B135" s="3"/>
      <c r="C135" s="3"/>
      <c r="D135" s="3"/>
      <c r="E135" s="3"/>
      <c r="F135" s="3"/>
      <c r="G135" s="3"/>
      <c r="H135" s="4" t="str">
        <f>IF(ISNUMBER(A135),A135+7,"")</f>
        <v/>
      </c>
      <c r="I135" s="3"/>
    </row>
    <row r="136" spans="1:9" x14ac:dyDescent="0.35">
      <c r="A136" s="2"/>
      <c r="B136" s="3"/>
      <c r="C136" s="3"/>
      <c r="D136" s="3"/>
      <c r="E136" s="3"/>
      <c r="F136" s="3"/>
      <c r="G136" s="3"/>
      <c r="H136" s="4" t="str">
        <f>IF(ISNUMBER(A136),A136+7,"")</f>
        <v/>
      </c>
      <c r="I136" s="3"/>
    </row>
    <row r="137" spans="1:9" x14ac:dyDescent="0.35">
      <c r="A137" s="2"/>
      <c r="B137" s="3"/>
      <c r="C137" s="3"/>
      <c r="D137" s="3"/>
      <c r="E137" s="3"/>
      <c r="F137" s="3"/>
      <c r="G137" s="3"/>
      <c r="H137" s="4" t="str">
        <f>IF(ISNUMBER(A137),A137+7,"")</f>
        <v/>
      </c>
      <c r="I137" s="3"/>
    </row>
    <row r="138" spans="1:9" x14ac:dyDescent="0.35">
      <c r="A138" s="2"/>
      <c r="B138" s="3"/>
      <c r="C138" s="3"/>
      <c r="D138" s="3"/>
      <c r="E138" s="3"/>
      <c r="F138" s="3"/>
      <c r="G138" s="3"/>
      <c r="H138" s="4" t="str">
        <f>IF(ISNUMBER(A138),A138+7,"")</f>
        <v/>
      </c>
      <c r="I138" s="3"/>
    </row>
    <row r="139" spans="1:9" x14ac:dyDescent="0.35">
      <c r="A139" s="2"/>
      <c r="B139" s="3"/>
      <c r="C139" s="3"/>
      <c r="D139" s="3"/>
      <c r="E139" s="3"/>
      <c r="F139" s="3"/>
      <c r="G139" s="3"/>
      <c r="H139" s="4" t="str">
        <f>IF(ISNUMBER(A139),A139+7,"")</f>
        <v/>
      </c>
      <c r="I139" s="3"/>
    </row>
    <row r="140" spans="1:9" x14ac:dyDescent="0.35">
      <c r="A140" s="2"/>
      <c r="B140" s="3"/>
      <c r="C140" s="3"/>
      <c r="D140" s="3"/>
      <c r="E140" s="3"/>
      <c r="F140" s="3"/>
      <c r="G140" s="3"/>
      <c r="H140" s="4" t="str">
        <f>IF(ISNUMBER(A140),A140+7,"")</f>
        <v/>
      </c>
      <c r="I140" s="3"/>
    </row>
    <row r="141" spans="1:9" x14ac:dyDescent="0.35">
      <c r="A141" s="2"/>
      <c r="B141" s="3"/>
      <c r="C141" s="3"/>
      <c r="D141" s="3"/>
      <c r="E141" s="3"/>
      <c r="F141" s="3"/>
      <c r="G141" s="3"/>
      <c r="H141" s="4" t="str">
        <f>IF(ISNUMBER(A141),A141+7,"")</f>
        <v/>
      </c>
      <c r="I141" s="3"/>
    </row>
    <row r="142" spans="1:9" x14ac:dyDescent="0.35">
      <c r="A142" s="2"/>
      <c r="B142" s="3"/>
      <c r="C142" s="3"/>
      <c r="D142" s="3"/>
      <c r="E142" s="3"/>
      <c r="F142" s="3"/>
      <c r="G142" s="3"/>
      <c r="H142" s="4" t="str">
        <f>IF(ISNUMBER(A142),A142+7,"")</f>
        <v/>
      </c>
      <c r="I142" s="3"/>
    </row>
    <row r="143" spans="1:9" x14ac:dyDescent="0.35">
      <c r="A143" s="2"/>
      <c r="B143" s="3"/>
      <c r="C143" s="3"/>
      <c r="D143" s="3"/>
      <c r="E143" s="3"/>
      <c r="F143" s="3"/>
      <c r="G143" s="3"/>
      <c r="H143" s="4" t="str">
        <f>IF(ISNUMBER(A143),A143+7,"")</f>
        <v/>
      </c>
      <c r="I143" s="3"/>
    </row>
    <row r="144" spans="1:9" x14ac:dyDescent="0.35">
      <c r="A144" s="2"/>
      <c r="B144" s="3"/>
      <c r="C144" s="3"/>
      <c r="D144" s="3"/>
      <c r="E144" s="3"/>
      <c r="F144" s="3"/>
      <c r="G144" s="3"/>
      <c r="H144" s="4" t="str">
        <f>IF(ISNUMBER(A144),A144+7,"")</f>
        <v/>
      </c>
      <c r="I144" s="3"/>
    </row>
    <row r="145" spans="1:9" x14ac:dyDescent="0.35">
      <c r="A145" s="2"/>
      <c r="B145" s="3"/>
      <c r="C145" s="3"/>
      <c r="D145" s="3"/>
      <c r="E145" s="3"/>
      <c r="F145" s="3"/>
      <c r="G145" s="3"/>
      <c r="H145" s="4" t="str">
        <f>IF(ISNUMBER(A145),A145+7,"")</f>
        <v/>
      </c>
      <c r="I145" s="3"/>
    </row>
    <row r="146" spans="1:9" x14ac:dyDescent="0.35">
      <c r="A146" s="2"/>
      <c r="B146" s="3"/>
      <c r="C146" s="3"/>
      <c r="D146" s="3"/>
      <c r="E146" s="3"/>
      <c r="F146" s="3"/>
      <c r="G146" s="3"/>
      <c r="H146" s="4" t="str">
        <f>IF(ISNUMBER(A146),A146+7,"")</f>
        <v/>
      </c>
      <c r="I146" s="3"/>
    </row>
    <row r="147" spans="1:9" x14ac:dyDescent="0.35">
      <c r="A147" s="2"/>
      <c r="B147" s="3"/>
      <c r="C147" s="3"/>
      <c r="D147" s="3"/>
      <c r="E147" s="3"/>
      <c r="F147" s="3"/>
      <c r="G147" s="3"/>
      <c r="H147" s="4" t="str">
        <f>IF(ISNUMBER(A147),A147+7,"")</f>
        <v/>
      </c>
      <c r="I147" s="3"/>
    </row>
    <row r="148" spans="1:9" x14ac:dyDescent="0.35">
      <c r="A148" s="2"/>
      <c r="B148" s="3"/>
      <c r="C148" s="3"/>
      <c r="D148" s="3"/>
      <c r="E148" s="3"/>
      <c r="F148" s="3"/>
      <c r="G148" s="3"/>
      <c r="H148" s="4" t="str">
        <f>IF(ISNUMBER(A148),A148+7,"")</f>
        <v/>
      </c>
      <c r="I148" s="3"/>
    </row>
    <row r="149" spans="1:9" x14ac:dyDescent="0.35">
      <c r="A149" s="2"/>
      <c r="B149" s="3"/>
      <c r="C149" s="3"/>
      <c r="D149" s="3"/>
      <c r="E149" s="3"/>
      <c r="F149" s="3"/>
      <c r="G149" s="3"/>
      <c r="H149" s="4" t="str">
        <f>IF(ISNUMBER(A149),A149+7,"")</f>
        <v/>
      </c>
      <c r="I149" s="3"/>
    </row>
    <row r="150" spans="1:9" x14ac:dyDescent="0.35">
      <c r="A150" s="2"/>
      <c r="B150" s="3"/>
      <c r="C150" s="3"/>
      <c r="D150" s="3"/>
      <c r="E150" s="3"/>
      <c r="F150" s="3"/>
      <c r="G150" s="3"/>
      <c r="H150" s="4" t="str">
        <f>IF(ISNUMBER(A150),A150+7,"")</f>
        <v/>
      </c>
      <c r="I150" s="3"/>
    </row>
    <row r="151" spans="1:9" x14ac:dyDescent="0.35">
      <c r="A151" s="2"/>
      <c r="B151" s="3"/>
      <c r="C151" s="3"/>
      <c r="D151" s="3"/>
      <c r="E151" s="3"/>
      <c r="F151" s="3"/>
      <c r="G151" s="3"/>
      <c r="H151" s="4" t="str">
        <f>IF(ISNUMBER(A151),A151+7,"")</f>
        <v/>
      </c>
      <c r="I151" s="3"/>
    </row>
    <row r="152" spans="1:9" x14ac:dyDescent="0.35">
      <c r="A152" s="2"/>
      <c r="B152" s="3"/>
      <c r="C152" s="3"/>
      <c r="D152" s="3"/>
      <c r="E152" s="3"/>
      <c r="F152" s="3"/>
      <c r="G152" s="3"/>
      <c r="H152" s="4" t="str">
        <f>IF(ISNUMBER(A152),A152+7,"")</f>
        <v/>
      </c>
      <c r="I152" s="3"/>
    </row>
    <row r="153" spans="1:9" x14ac:dyDescent="0.35">
      <c r="A153" s="2"/>
      <c r="B153" s="3"/>
      <c r="C153" s="3"/>
      <c r="D153" s="3"/>
      <c r="E153" s="3"/>
      <c r="F153" s="3"/>
      <c r="G153" s="3"/>
      <c r="H153" s="4" t="str">
        <f>IF(ISNUMBER(A153),A153+7,"")</f>
        <v/>
      </c>
      <c r="I153" s="3"/>
    </row>
    <row r="154" spans="1:9" x14ac:dyDescent="0.35">
      <c r="A154" s="2"/>
      <c r="B154" s="3"/>
      <c r="C154" s="3"/>
      <c r="D154" s="3"/>
      <c r="E154" s="3"/>
      <c r="F154" s="3"/>
      <c r="G154" s="3"/>
      <c r="H154" s="4" t="str">
        <f>IF(ISNUMBER(A154),A154+7,"")</f>
        <v/>
      </c>
      <c r="I154" s="3"/>
    </row>
    <row r="155" spans="1:9" x14ac:dyDescent="0.35">
      <c r="A155" s="2"/>
      <c r="B155" s="3"/>
      <c r="C155" s="3"/>
      <c r="D155" s="3"/>
      <c r="E155" s="3"/>
      <c r="F155" s="3"/>
      <c r="G155" s="3"/>
      <c r="H155" s="4" t="str">
        <f>IF(ISNUMBER(A155),A155+7,"")</f>
        <v/>
      </c>
      <c r="I155" s="3"/>
    </row>
    <row r="156" spans="1:9" x14ac:dyDescent="0.35">
      <c r="A156" s="2"/>
      <c r="B156" s="3"/>
      <c r="C156" s="3"/>
      <c r="D156" s="3"/>
      <c r="E156" s="3"/>
      <c r="F156" s="3"/>
      <c r="G156" s="3"/>
      <c r="H156" s="4" t="str">
        <f>IF(ISNUMBER(A156),A156+7,"")</f>
        <v/>
      </c>
      <c r="I156" s="3"/>
    </row>
    <row r="157" spans="1:9" x14ac:dyDescent="0.35">
      <c r="A157" s="2"/>
      <c r="B157" s="3"/>
      <c r="C157" s="3"/>
      <c r="D157" s="3"/>
      <c r="E157" s="3"/>
      <c r="F157" s="3"/>
      <c r="G157" s="3"/>
      <c r="H157" s="4" t="str">
        <f>IF(ISNUMBER(A157),A157+7,"")</f>
        <v/>
      </c>
      <c r="I157" s="3"/>
    </row>
    <row r="158" spans="1:9" x14ac:dyDescent="0.35">
      <c r="A158" s="2"/>
      <c r="B158" s="3"/>
      <c r="C158" s="3"/>
      <c r="D158" s="3"/>
      <c r="E158" s="3"/>
      <c r="F158" s="3"/>
      <c r="G158" s="3"/>
      <c r="H158" s="4" t="str">
        <f>IF(ISNUMBER(A158),A158+7,"")</f>
        <v/>
      </c>
      <c r="I158" s="3"/>
    </row>
    <row r="159" spans="1:9" x14ac:dyDescent="0.35">
      <c r="A159" s="2"/>
      <c r="B159" s="3"/>
      <c r="C159" s="3"/>
      <c r="D159" s="3"/>
      <c r="E159" s="3"/>
      <c r="F159" s="3"/>
      <c r="G159" s="3"/>
      <c r="H159" s="4" t="str">
        <f>IF(ISNUMBER(A159),A159+7,"")</f>
        <v/>
      </c>
      <c r="I159" s="3"/>
    </row>
    <row r="160" spans="1:9" x14ac:dyDescent="0.35">
      <c r="A160" s="2"/>
      <c r="B160" s="3"/>
      <c r="C160" s="3"/>
      <c r="D160" s="3"/>
      <c r="E160" s="3"/>
      <c r="F160" s="3"/>
      <c r="G160" s="3"/>
      <c r="H160" s="4" t="str">
        <f>IF(ISNUMBER(A160),A160+7,"")</f>
        <v/>
      </c>
      <c r="I160" s="3"/>
    </row>
    <row r="161" spans="1:9" x14ac:dyDescent="0.35">
      <c r="A161" s="2"/>
      <c r="B161" s="3"/>
      <c r="C161" s="3"/>
      <c r="D161" s="3"/>
      <c r="E161" s="3"/>
      <c r="F161" s="3"/>
      <c r="G161" s="3"/>
      <c r="H161" s="4" t="str">
        <f>IF(ISNUMBER(A161),A161+7,"")</f>
        <v/>
      </c>
      <c r="I161" s="3"/>
    </row>
    <row r="162" spans="1:9" x14ac:dyDescent="0.35">
      <c r="A162" s="2"/>
      <c r="B162" s="3"/>
      <c r="C162" s="3"/>
      <c r="D162" s="3"/>
      <c r="E162" s="3"/>
      <c r="F162" s="3"/>
      <c r="G162" s="3"/>
      <c r="H162" s="4" t="str">
        <f>IF(ISNUMBER(A162),A162+7,"")</f>
        <v/>
      </c>
      <c r="I162" s="3"/>
    </row>
    <row r="163" spans="1:9" x14ac:dyDescent="0.35">
      <c r="A163" s="2"/>
      <c r="B163" s="3"/>
      <c r="C163" s="3"/>
      <c r="D163" s="3"/>
      <c r="E163" s="3"/>
      <c r="F163" s="3"/>
      <c r="G163" s="3"/>
      <c r="H163" s="4" t="str">
        <f>IF(ISNUMBER(A163),A163+7,"")</f>
        <v/>
      </c>
      <c r="I163" s="3"/>
    </row>
    <row r="164" spans="1:9" x14ac:dyDescent="0.35">
      <c r="A164" s="2"/>
      <c r="B164" s="3"/>
      <c r="C164" s="3"/>
      <c r="D164" s="3"/>
      <c r="E164" s="3"/>
      <c r="F164" s="3"/>
      <c r="G164" s="3"/>
      <c r="H164" s="4" t="str">
        <f>IF(ISNUMBER(A164),A164+7,"")</f>
        <v/>
      </c>
      <c r="I164" s="3"/>
    </row>
    <row r="165" spans="1:9" x14ac:dyDescent="0.35">
      <c r="A165" s="2"/>
      <c r="B165" s="3"/>
      <c r="C165" s="3"/>
      <c r="D165" s="3"/>
      <c r="E165" s="3"/>
      <c r="F165" s="3"/>
      <c r="G165" s="3"/>
      <c r="H165" s="4" t="str">
        <f>IF(ISNUMBER(A165),A165+7,"")</f>
        <v/>
      </c>
      <c r="I165" s="3"/>
    </row>
    <row r="166" spans="1:9" x14ac:dyDescent="0.35">
      <c r="A166" s="2"/>
      <c r="B166" s="3"/>
      <c r="C166" s="3"/>
      <c r="D166" s="3"/>
      <c r="E166" s="3"/>
      <c r="F166" s="3"/>
      <c r="G166" s="3"/>
      <c r="H166" s="4" t="str">
        <f>IF(ISNUMBER(A166),A166+7,"")</f>
        <v/>
      </c>
      <c r="I166" s="3"/>
    </row>
    <row r="167" spans="1:9" x14ac:dyDescent="0.35">
      <c r="A167" s="2"/>
      <c r="B167" s="3"/>
      <c r="C167" s="3"/>
      <c r="D167" s="3"/>
      <c r="E167" s="3"/>
      <c r="F167" s="3"/>
      <c r="G167" s="3"/>
      <c r="H167" s="4" t="str">
        <f>IF(ISNUMBER(A167),A167+7,"")</f>
        <v/>
      </c>
      <c r="I167" s="3"/>
    </row>
    <row r="168" spans="1:9" x14ac:dyDescent="0.35">
      <c r="A168" s="2"/>
      <c r="B168" s="3"/>
      <c r="C168" s="3"/>
      <c r="D168" s="3"/>
      <c r="E168" s="3"/>
      <c r="F168" s="3"/>
      <c r="G168" s="3"/>
      <c r="H168" s="4" t="str">
        <f>IF(ISNUMBER(A168),A168+7,"")</f>
        <v/>
      </c>
      <c r="I168" s="3"/>
    </row>
    <row r="169" spans="1:9" x14ac:dyDescent="0.35">
      <c r="A169" s="2"/>
      <c r="B169" s="3"/>
      <c r="C169" s="3"/>
      <c r="D169" s="3"/>
      <c r="E169" s="3"/>
      <c r="F169" s="3"/>
      <c r="G169" s="3"/>
      <c r="H169" s="4" t="str">
        <f>IF(ISNUMBER(A169),A169+7,"")</f>
        <v/>
      </c>
      <c r="I169" s="3"/>
    </row>
    <row r="170" spans="1:9" x14ac:dyDescent="0.35">
      <c r="A170" s="2"/>
      <c r="B170" s="3"/>
      <c r="C170" s="3"/>
      <c r="D170" s="3"/>
      <c r="E170" s="3"/>
      <c r="F170" s="3"/>
      <c r="G170" s="3"/>
      <c r="H170" s="4" t="str">
        <f>IF(ISNUMBER(A170),A170+7,"")</f>
        <v/>
      </c>
      <c r="I170" s="3"/>
    </row>
    <row r="171" spans="1:9" x14ac:dyDescent="0.35">
      <c r="A171" s="2"/>
      <c r="B171" s="3"/>
      <c r="C171" s="3"/>
      <c r="D171" s="3"/>
      <c r="E171" s="3"/>
      <c r="F171" s="3"/>
      <c r="G171" s="3"/>
      <c r="H171" s="4" t="str">
        <f>IF(ISNUMBER(A171),A171+7,"")</f>
        <v/>
      </c>
      <c r="I171" s="3"/>
    </row>
    <row r="172" spans="1:9" x14ac:dyDescent="0.35">
      <c r="A172" s="2"/>
      <c r="B172" s="3"/>
      <c r="C172" s="3"/>
      <c r="D172" s="3"/>
      <c r="E172" s="3"/>
      <c r="F172" s="3"/>
      <c r="G172" s="3"/>
      <c r="H172" s="4" t="str">
        <f>IF(ISNUMBER(A172),A172+7,"")</f>
        <v/>
      </c>
      <c r="I172" s="3"/>
    </row>
    <row r="173" spans="1:9" x14ac:dyDescent="0.35">
      <c r="A173" s="2"/>
      <c r="B173" s="3"/>
      <c r="C173" s="3"/>
      <c r="D173" s="3"/>
      <c r="E173" s="3"/>
      <c r="F173" s="3"/>
      <c r="G173" s="3"/>
      <c r="H173" s="4" t="str">
        <f>IF(ISNUMBER(A173),A173+7,"")</f>
        <v/>
      </c>
      <c r="I173" s="3"/>
    </row>
    <row r="174" spans="1:9" x14ac:dyDescent="0.35">
      <c r="A174" s="2"/>
      <c r="B174" s="3"/>
      <c r="C174" s="3"/>
      <c r="D174" s="3"/>
      <c r="E174" s="3"/>
      <c r="F174" s="3"/>
      <c r="G174" s="3"/>
      <c r="H174" s="4" t="str">
        <f>IF(ISNUMBER(A174),A174+7,"")</f>
        <v/>
      </c>
      <c r="I174" s="3"/>
    </row>
    <row r="175" spans="1:9" x14ac:dyDescent="0.35">
      <c r="A175" s="2"/>
      <c r="B175" s="3"/>
      <c r="C175" s="3"/>
      <c r="D175" s="3"/>
      <c r="E175" s="3"/>
      <c r="F175" s="3"/>
      <c r="G175" s="3"/>
      <c r="H175" s="4" t="str">
        <f>IF(ISNUMBER(A175),A175+7,"")</f>
        <v/>
      </c>
      <c r="I175" s="3"/>
    </row>
    <row r="176" spans="1:9" x14ac:dyDescent="0.35">
      <c r="A176" s="2"/>
      <c r="B176" s="3"/>
      <c r="C176" s="3"/>
      <c r="D176" s="3"/>
      <c r="E176" s="3"/>
      <c r="F176" s="3"/>
      <c r="G176" s="3"/>
      <c r="H176" s="4" t="str">
        <f>IF(ISNUMBER(A176),A176+7,"")</f>
        <v/>
      </c>
      <c r="I176" s="3"/>
    </row>
    <row r="177" spans="1:9" x14ac:dyDescent="0.35">
      <c r="A177" s="2"/>
      <c r="B177" s="3"/>
      <c r="C177" s="3"/>
      <c r="D177" s="3"/>
      <c r="E177" s="3"/>
      <c r="F177" s="3"/>
      <c r="G177" s="3"/>
      <c r="H177" s="4" t="str">
        <f>IF(ISNUMBER(A177),A177+7,"")</f>
        <v/>
      </c>
      <c r="I177" s="3"/>
    </row>
    <row r="178" spans="1:9" x14ac:dyDescent="0.35">
      <c r="A178" s="2"/>
      <c r="B178" s="3"/>
      <c r="C178" s="3"/>
      <c r="D178" s="3"/>
      <c r="E178" s="3"/>
      <c r="F178" s="3"/>
      <c r="G178" s="3"/>
      <c r="H178" s="4" t="str">
        <f>IF(ISNUMBER(A178),A178+7,"")</f>
        <v/>
      </c>
      <c r="I178" s="3"/>
    </row>
    <row r="179" spans="1:9" x14ac:dyDescent="0.35">
      <c r="A179" s="2"/>
      <c r="B179" s="3"/>
      <c r="C179" s="3"/>
      <c r="D179" s="3"/>
      <c r="E179" s="3"/>
      <c r="F179" s="3"/>
      <c r="G179" s="3"/>
      <c r="H179" s="4" t="str">
        <f>IF(ISNUMBER(A179),A179+7,"")</f>
        <v/>
      </c>
      <c r="I179" s="3"/>
    </row>
    <row r="180" spans="1:9" x14ac:dyDescent="0.35">
      <c r="A180" s="2"/>
      <c r="B180" s="3"/>
      <c r="C180" s="3"/>
      <c r="D180" s="3"/>
      <c r="E180" s="3"/>
      <c r="F180" s="3"/>
      <c r="G180" s="3"/>
      <c r="H180" s="4" t="str">
        <f>IF(ISNUMBER(A180),A180+7,"")</f>
        <v/>
      </c>
      <c r="I180" s="3"/>
    </row>
    <row r="181" spans="1:9" x14ac:dyDescent="0.35">
      <c r="A181" s="2"/>
      <c r="B181" s="3"/>
      <c r="C181" s="3"/>
      <c r="D181" s="3"/>
      <c r="E181" s="3"/>
      <c r="F181" s="3"/>
      <c r="G181" s="3"/>
      <c r="H181" s="4" t="str">
        <f>IF(ISNUMBER(A181),A181+7,"")</f>
        <v/>
      </c>
      <c r="I181" s="3"/>
    </row>
    <row r="182" spans="1:9" x14ac:dyDescent="0.35">
      <c r="A182" s="2"/>
      <c r="B182" s="3"/>
      <c r="C182" s="3"/>
      <c r="D182" s="3"/>
      <c r="E182" s="3"/>
      <c r="F182" s="3"/>
      <c r="G182" s="3"/>
      <c r="H182" s="4" t="str">
        <f>IF(ISNUMBER(A182),A182+7,"")</f>
        <v/>
      </c>
      <c r="I182" s="3"/>
    </row>
    <row r="183" spans="1:9" x14ac:dyDescent="0.35">
      <c r="A183" s="2"/>
      <c r="B183" s="3"/>
      <c r="C183" s="3"/>
      <c r="D183" s="3"/>
      <c r="E183" s="3"/>
      <c r="F183" s="3"/>
      <c r="G183" s="3"/>
      <c r="H183" s="4" t="str">
        <f>IF(ISNUMBER(A183),A183+7,"")</f>
        <v/>
      </c>
      <c r="I183" s="3"/>
    </row>
    <row r="184" spans="1:9" x14ac:dyDescent="0.35">
      <c r="A184" s="2"/>
      <c r="B184" s="3"/>
      <c r="C184" s="3"/>
      <c r="D184" s="3"/>
      <c r="E184" s="3"/>
      <c r="F184" s="3"/>
      <c r="G184" s="3"/>
      <c r="H184" s="4" t="str">
        <f>IF(ISNUMBER(A184),A184+7,"")</f>
        <v/>
      </c>
      <c r="I184" s="3"/>
    </row>
    <row r="185" spans="1:9" x14ac:dyDescent="0.35">
      <c r="A185" s="2"/>
      <c r="B185" s="3"/>
      <c r="C185" s="3"/>
      <c r="D185" s="3"/>
      <c r="E185" s="3"/>
      <c r="F185" s="3"/>
      <c r="G185" s="3"/>
      <c r="H185" s="4" t="str">
        <f>IF(ISNUMBER(A185),A185+7,"")</f>
        <v/>
      </c>
      <c r="I185" s="3"/>
    </row>
    <row r="186" spans="1:9" x14ac:dyDescent="0.35">
      <c r="A186" s="2"/>
      <c r="B186" s="3"/>
      <c r="C186" s="3"/>
      <c r="D186" s="3"/>
      <c r="E186" s="3"/>
      <c r="F186" s="3"/>
      <c r="G186" s="3"/>
      <c r="H186" s="4" t="str">
        <f>IF(ISNUMBER(A186),A186+7,"")</f>
        <v/>
      </c>
      <c r="I186" s="3"/>
    </row>
    <row r="187" spans="1:9" x14ac:dyDescent="0.35">
      <c r="A187" s="2"/>
      <c r="B187" s="3"/>
      <c r="C187" s="3"/>
      <c r="D187" s="3"/>
      <c r="E187" s="3"/>
      <c r="F187" s="3"/>
      <c r="G187" s="3"/>
      <c r="H187" s="4" t="str">
        <f>IF(ISNUMBER(A187),A187+7,"")</f>
        <v/>
      </c>
      <c r="I187" s="3"/>
    </row>
    <row r="188" spans="1:9" x14ac:dyDescent="0.35">
      <c r="A188" s="2"/>
      <c r="B188" s="3"/>
      <c r="C188" s="3"/>
      <c r="D188" s="3"/>
      <c r="E188" s="3"/>
      <c r="F188" s="3"/>
      <c r="G188" s="3"/>
      <c r="H188" s="4" t="str">
        <f>IF(ISNUMBER(A188),A188+7,"")</f>
        <v/>
      </c>
      <c r="I188" s="3"/>
    </row>
    <row r="189" spans="1:9" x14ac:dyDescent="0.35">
      <c r="A189" s="2"/>
      <c r="B189" s="3"/>
      <c r="C189" s="3"/>
      <c r="D189" s="3"/>
      <c r="E189" s="3"/>
      <c r="F189" s="3"/>
      <c r="G189" s="3"/>
      <c r="H189" s="4" t="str">
        <f>IF(ISNUMBER(A189),A189+7,"")</f>
        <v/>
      </c>
      <c r="I189" s="3"/>
    </row>
    <row r="190" spans="1:9" x14ac:dyDescent="0.35">
      <c r="A190" s="2"/>
      <c r="B190" s="3"/>
      <c r="C190" s="3"/>
      <c r="D190" s="3"/>
      <c r="E190" s="3"/>
      <c r="F190" s="3"/>
      <c r="G190" s="3"/>
      <c r="H190" s="4" t="str">
        <f>IF(ISNUMBER(A190),A190+7,"")</f>
        <v/>
      </c>
      <c r="I190" s="3"/>
    </row>
    <row r="191" spans="1:9" x14ac:dyDescent="0.35">
      <c r="A191" s="2"/>
      <c r="B191" s="3"/>
      <c r="C191" s="3"/>
      <c r="D191" s="3"/>
      <c r="E191" s="3"/>
      <c r="F191" s="3"/>
      <c r="G191" s="3"/>
      <c r="H191" s="4" t="str">
        <f>IF(ISNUMBER(A191),A191+7,"")</f>
        <v/>
      </c>
      <c r="I191" s="3"/>
    </row>
    <row r="192" spans="1:9" x14ac:dyDescent="0.35">
      <c r="A192" s="2"/>
      <c r="B192" s="3"/>
      <c r="C192" s="3"/>
      <c r="D192" s="3"/>
      <c r="E192" s="3"/>
      <c r="F192" s="3"/>
      <c r="G192" s="3"/>
      <c r="H192" s="4" t="str">
        <f>IF(ISNUMBER(A192),A192+7,"")</f>
        <v/>
      </c>
      <c r="I192" s="3"/>
    </row>
    <row r="193" spans="1:9" x14ac:dyDescent="0.35">
      <c r="A193" s="2"/>
      <c r="B193" s="3"/>
      <c r="C193" s="3"/>
      <c r="D193" s="3"/>
      <c r="E193" s="3"/>
      <c r="F193" s="3"/>
      <c r="G193" s="3"/>
      <c r="H193" s="4" t="str">
        <f>IF(ISNUMBER(A193),A193+7,"")</f>
        <v/>
      </c>
      <c r="I193" s="3"/>
    </row>
    <row r="194" spans="1:9" x14ac:dyDescent="0.35">
      <c r="A194" s="2"/>
      <c r="B194" s="3"/>
      <c r="C194" s="3"/>
      <c r="D194" s="3"/>
      <c r="E194" s="3"/>
      <c r="F194" s="3"/>
      <c r="G194" s="3"/>
      <c r="H194" s="4" t="str">
        <f>IF(ISNUMBER(A194),A194+7,"")</f>
        <v/>
      </c>
      <c r="I194" s="3"/>
    </row>
    <row r="195" spans="1:9" x14ac:dyDescent="0.35">
      <c r="A195" s="2"/>
      <c r="B195" s="3"/>
      <c r="C195" s="3"/>
      <c r="D195" s="3"/>
      <c r="E195" s="3"/>
      <c r="F195" s="3"/>
      <c r="G195" s="3"/>
      <c r="H195" s="4" t="str">
        <f>IF(ISNUMBER(A195),A195+7,"")</f>
        <v/>
      </c>
      <c r="I195" s="3"/>
    </row>
    <row r="196" spans="1:9" x14ac:dyDescent="0.35">
      <c r="A196" s="2"/>
      <c r="B196" s="3"/>
      <c r="C196" s="3"/>
      <c r="D196" s="3"/>
      <c r="E196" s="3"/>
      <c r="F196" s="3"/>
      <c r="G196" s="3"/>
      <c r="H196" s="4" t="str">
        <f>IF(ISNUMBER(A196),A196+7,"")</f>
        <v/>
      </c>
      <c r="I196" s="3"/>
    </row>
    <row r="197" spans="1:9" x14ac:dyDescent="0.35">
      <c r="A197" s="2"/>
      <c r="B197" s="3"/>
      <c r="C197" s="3"/>
      <c r="D197" s="3"/>
      <c r="E197" s="3"/>
      <c r="F197" s="3"/>
      <c r="G197" s="3"/>
      <c r="H197" s="4" t="str">
        <f>IF(ISNUMBER(A197),A197+7,"")</f>
        <v/>
      </c>
      <c r="I197" s="3"/>
    </row>
    <row r="198" spans="1:9" x14ac:dyDescent="0.35">
      <c r="A198" s="2"/>
      <c r="B198" s="3"/>
      <c r="C198" s="3"/>
      <c r="D198" s="3"/>
      <c r="E198" s="3"/>
      <c r="F198" s="3"/>
      <c r="G198" s="3"/>
      <c r="H198" s="4" t="str">
        <f>IF(ISNUMBER(A198),A198+7,"")</f>
        <v/>
      </c>
      <c r="I198" s="3"/>
    </row>
    <row r="199" spans="1:9" x14ac:dyDescent="0.35">
      <c r="A199" s="2"/>
      <c r="B199" s="3"/>
      <c r="C199" s="3"/>
      <c r="D199" s="3"/>
      <c r="E199" s="3"/>
      <c r="F199" s="3"/>
      <c r="G199" s="3"/>
      <c r="H199" s="4" t="str">
        <f>IF(ISNUMBER(A199),A199+7,"")</f>
        <v/>
      </c>
      <c r="I199" s="3"/>
    </row>
    <row r="200" spans="1:9" x14ac:dyDescent="0.35">
      <c r="A200" s="2"/>
      <c r="B200" s="3"/>
      <c r="C200" s="3"/>
      <c r="D200" s="3"/>
      <c r="E200" s="3"/>
      <c r="F200" s="3"/>
      <c r="G200" s="3"/>
      <c r="H200" s="4" t="str">
        <f>IF(ISNUMBER(A200),A200+7,"")</f>
        <v/>
      </c>
      <c r="I200" s="3"/>
    </row>
    <row r="201" spans="1:9" x14ac:dyDescent="0.35">
      <c r="A201" s="2"/>
      <c r="B201" s="3"/>
      <c r="C201" s="3"/>
      <c r="D201" s="3"/>
      <c r="E201" s="3"/>
      <c r="F201" s="3"/>
      <c r="G201" s="3"/>
      <c r="H201" s="4" t="str">
        <f>IF(ISNUMBER(A201),A201+7,"")</f>
        <v/>
      </c>
      <c r="I201" s="3"/>
    </row>
  </sheetData>
  <autoFilter ref="A1:I201" xr:uid="{9B7328EC-7F5C-43A1-9C46-6E39F29396BD}"/>
  <dataValidations count="2">
    <dataValidation type="list" allowBlank="1" showInputMessage="1" showErrorMessage="1" sqref="B2:B201" xr:uid="{56B1FC1E-CB7E-4BB5-A829-CA8A78444A24}">
      <formula1>"LeetCode,NeetCode,Deep-ML,DataLemur,Project"</formula1>
    </dataValidation>
    <dataValidation type="list" allowBlank="1" showInputMessage="1" showErrorMessage="1" sqref="F2:F201" xr:uid="{5A792DBA-1BC4-468E-92FE-C8F6D0DA24B9}">
      <formula1>"Unaided,With hint,Review needed,Explained,Project evidence"</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Read Me</vt:lpstr>
      <vt:lpstr>Settings</vt:lpstr>
      <vt:lpstr>Dashboard</vt:lpstr>
      <vt:lpstr>Schedule</vt:lpstr>
      <vt:lpstr>Weekly Timeline</vt:lpstr>
      <vt:lpstr>Topic Map</vt:lpstr>
      <vt:lpstr>Holidays</vt:lpstr>
      <vt:lpstr>Practice Log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Rajan Tripathi</dc:creator>
  <cp:lastModifiedBy>Rajan Tripathi</cp:lastModifiedBy>
  <dcterms:created xsi:type="dcterms:W3CDTF">2026-10-23T10:40:12Z</dcterms:created>
  <dcterms:modified xsi:type="dcterms:W3CDTF">2026-10-23T10:40:49Z</dcterms:modified>
</cp:coreProperties>
</file>