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ajan.tripathi\Desktop\AI FORWARD DEPLOYED ENGINEER\roadmap by fde\"/>
    </mc:Choice>
  </mc:AlternateContent>
  <xr:revisionPtr revIDLastSave="0" documentId="13_ncr:1_{E1A448CA-68A9-4D5D-A325-3D9E9B303DC5}" xr6:coauthVersionLast="47" xr6:coauthVersionMax="47" xr10:uidLastSave="{00000000-0000-0000-0000-000000000000}"/>
  <bookViews>
    <workbookView xWindow="-110" yWindow="-110" windowWidth="19420" windowHeight="11500" xr2:uid="{71D13C46-0AE2-4AD1-BE2F-99BA96AFD057}"/>
  </bookViews>
  <sheets>
    <sheet name="Overview" sheetId="9" r:id="rId1"/>
    <sheet name="Read Me" sheetId="8" r:id="rId2"/>
    <sheet name="Settings" sheetId="7" r:id="rId3"/>
    <sheet name="Dashboard" sheetId="6" r:id="rId4"/>
    <sheet name="Schedule" sheetId="5" r:id="rId5"/>
    <sheet name="Weekly Timeline" sheetId="4" r:id="rId6"/>
    <sheet name="Topic Map" sheetId="3" r:id="rId7"/>
    <sheet name="Holidays" sheetId="2" r:id="rId8"/>
    <sheet name="Practice Log" sheetId="1" r:id="rId9"/>
  </sheets>
  <definedNames>
    <definedName name="_xlnm._FilterDatabase" localSheetId="8" hidden="1">'Practice Log'!$A$1:$I$201</definedName>
    <definedName name="_xlnm._FilterDatabase" localSheetId="4" hidden="1">Schedule!$A$1:$T$49</definedName>
    <definedName name="_xlnm._FilterDatabase" localSheetId="6" hidden="1">'Topic Map'!$A$1:$G$95</definedName>
    <definedName name="Planner_CoreShare">Settings!$B$7</definedName>
    <definedName name="Planner_DailyHours">Settings!$B$3</definedName>
    <definedName name="Planner_DeliveryShare">Settings!$B$9</definedName>
    <definedName name="Planner_PracticeShare">Settings!$B$8</definedName>
    <definedName name="Planner_StartDate">Settings!$B$2</definedName>
    <definedName name="_xlnm.Print_Area" localSheetId="3">Dashboard!$A$1:$C$21</definedName>
    <definedName name="_xlnm.Print_Area" localSheetId="7">Holidays!$A$1:$B$101</definedName>
    <definedName name="_xlnm.Print_Area" localSheetId="0">Overview!$A$1:$P$49</definedName>
    <definedName name="_xlnm.Print_Area" localSheetId="8">'Practice Log'!$A$1:$I$201</definedName>
    <definedName name="_xlnm.Print_Area" localSheetId="1">'Read Me'!$A$1:$B$31</definedName>
    <definedName name="_xlnm.Print_Area" localSheetId="4">Schedule!$A$1:$T$49</definedName>
    <definedName name="_xlnm.Print_Area" localSheetId="2">Settings!$A$1:$C$15</definedName>
    <definedName name="_xlnm.Print_Area" localSheetId="6">'Topic Map'!$A$1:$G$95</definedName>
    <definedName name="_xlnm.Print_Area" localSheetId="5">'Weekly Timeline'!$A$1:$DD$49</definedName>
    <definedName name="_xlnm.Print_Titles" localSheetId="3">Dashboard!$1:$1</definedName>
    <definedName name="_xlnm.Print_Titles" localSheetId="7">Holidays!$1:$1</definedName>
    <definedName name="_xlnm.Print_Titles" localSheetId="8">'Practice Log'!$1:$1</definedName>
    <definedName name="_xlnm.Print_Titles" localSheetId="1">'Read Me'!$1:$1</definedName>
    <definedName name="_xlnm.Print_Titles" localSheetId="4">Schedule!$1:$1</definedName>
    <definedName name="_xlnm.Print_Titles" localSheetId="2">Settings!$1:$1</definedName>
    <definedName name="_xlnm.Print_Titles" localSheetId="6">'Topic Map'!$1:$1</definedName>
    <definedName name="_xlnm.Print_Titles" localSheetId="5">'Weekly Timeline'!$A:$D,'Weekly Timeline'!$1:$1</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B2" i="7" l="1"/>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D3" i="5"/>
  <c r="B7" i="7"/>
  <c r="C22" i="9" s="1"/>
  <c r="B3" i="7"/>
  <c r="A8" i="9" s="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B2" i="4"/>
  <c r="A2" i="4"/>
  <c r="A21" i="6"/>
  <c r="A20" i="6"/>
  <c r="A19" i="6"/>
  <c r="A18" i="6"/>
  <c r="A17" i="6"/>
  <c r="D2" i="5"/>
  <c r="E2" i="5"/>
  <c r="E3" i="5"/>
  <c r="D4" i="5"/>
  <c r="E4" i="5"/>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7" i="3" s="1"/>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9" i="3" s="1"/>
  <c r="E41" i="5"/>
  <c r="D42" i="5"/>
  <c r="E8" i="3" s="1"/>
  <c r="E42" i="5"/>
  <c r="D43" i="5"/>
  <c r="E43" i="5"/>
  <c r="D44" i="5"/>
  <c r="E44" i="5"/>
  <c r="D45" i="5"/>
  <c r="E45" i="5"/>
  <c r="D46" i="5"/>
  <c r="E46" i="5"/>
  <c r="D47" i="5"/>
  <c r="E47" i="5"/>
  <c r="D48" i="5"/>
  <c r="E48" i="5"/>
  <c r="D49" i="5"/>
  <c r="E49" i="5"/>
  <c r="B13" i="7"/>
  <c r="B9" i="7"/>
  <c r="C26" i="9" s="1"/>
  <c r="B8" i="7"/>
  <c r="C24" i="9" s="1"/>
  <c r="B6" i="7"/>
  <c r="B5" i="7"/>
  <c r="A5" i="9" l="1"/>
  <c r="F57" i="9"/>
  <c r="E57" i="9"/>
  <c r="F56" i="9"/>
  <c r="E56" i="9"/>
  <c r="F55" i="9"/>
  <c r="E55" i="9"/>
  <c r="B14" i="7"/>
  <c r="B15" i="7" s="1"/>
  <c r="E10" i="3"/>
  <c r="E3" i="3"/>
  <c r="E5" i="3"/>
  <c r="E2" i="3"/>
  <c r="E4" i="3"/>
  <c r="E6" i="3"/>
  <c r="B3" i="6"/>
  <c r="B5" i="6"/>
  <c r="E8" i="9" s="1"/>
  <c r="E11" i="3"/>
  <c r="K2" i="5"/>
  <c r="E13" i="3"/>
  <c r="E12" i="3"/>
  <c r="K3" i="5"/>
  <c r="E21" i="3"/>
  <c r="K4" i="5"/>
  <c r="E20" i="3"/>
  <c r="K5" i="5"/>
  <c r="K6" i="5"/>
  <c r="E32" i="3"/>
  <c r="E27" i="3"/>
  <c r="E29" i="3"/>
  <c r="K7" i="5"/>
  <c r="E35" i="3"/>
  <c r="E30" i="3"/>
  <c r="E23" i="3"/>
  <c r="K8" i="5"/>
  <c r="E25" i="3"/>
  <c r="E14" i="3"/>
  <c r="E22" i="3"/>
  <c r="E24" i="3"/>
  <c r="E26" i="3"/>
  <c r="K9" i="5"/>
  <c r="E37" i="3"/>
  <c r="E36" i="3"/>
  <c r="E34" i="3"/>
  <c r="K10" i="5"/>
  <c r="K11" i="5"/>
  <c r="K12" i="5"/>
  <c r="K13" i="5"/>
  <c r="K14" i="5"/>
  <c r="K15" i="5"/>
  <c r="E41" i="3"/>
  <c r="K16" i="5"/>
  <c r="E46" i="3"/>
  <c r="E40" i="3"/>
  <c r="K17" i="5"/>
  <c r="E47" i="3"/>
  <c r="E42" i="3"/>
  <c r="E43" i="3"/>
  <c r="K18" i="5"/>
  <c r="E45" i="3"/>
  <c r="E44" i="3"/>
  <c r="E73" i="3"/>
  <c r="K19" i="5"/>
  <c r="E77" i="3"/>
  <c r="E80" i="3"/>
  <c r="E79" i="3"/>
  <c r="E78" i="3"/>
  <c r="K20" i="5"/>
  <c r="K21" i="5"/>
  <c r="E61" i="3"/>
  <c r="E50" i="3"/>
  <c r="E51" i="3"/>
  <c r="E52" i="3"/>
  <c r="E62" i="3"/>
  <c r="E49" i="3"/>
  <c r="E48" i="3"/>
  <c r="K22" i="5"/>
  <c r="E53" i="3"/>
  <c r="E74" i="3"/>
  <c r="K23" i="5"/>
  <c r="E54" i="3"/>
  <c r="K24" i="5"/>
  <c r="E63" i="3"/>
  <c r="E64" i="3"/>
  <c r="E68" i="3"/>
  <c r="E69" i="3"/>
  <c r="E67" i="3"/>
  <c r="E71" i="3"/>
  <c r="K25" i="5"/>
  <c r="E75" i="3"/>
  <c r="K26" i="5"/>
  <c r="E72" i="3"/>
  <c r="E76" i="3"/>
  <c r="K27" i="5"/>
  <c r="E19" i="3"/>
  <c r="K28" i="5"/>
  <c r="K29" i="5"/>
  <c r="K30" i="5"/>
  <c r="K31" i="5"/>
  <c r="K32" i="5"/>
  <c r="K33" i="5"/>
  <c r="E91" i="3"/>
  <c r="K34" i="5"/>
  <c r="E83" i="3"/>
  <c r="E90" i="3"/>
  <c r="E93" i="3"/>
  <c r="K35" i="5"/>
  <c r="E84" i="3"/>
  <c r="E85" i="3"/>
  <c r="E86" i="3"/>
  <c r="K36" i="5"/>
  <c r="E81" i="3"/>
  <c r="E82" i="3"/>
  <c r="K37" i="5"/>
  <c r="K38" i="5"/>
  <c r="K39" i="5"/>
  <c r="K40" i="5"/>
  <c r="K41" i="5"/>
  <c r="E87" i="3"/>
  <c r="E88" i="3"/>
  <c r="K42" i="5"/>
  <c r="E94" i="3"/>
  <c r="E92" i="3"/>
  <c r="E89" i="3"/>
  <c r="E95" i="3"/>
  <c r="K43" i="5"/>
  <c r="K44" i="5"/>
  <c r="M44" i="5"/>
  <c r="E15" i="3"/>
  <c r="E16" i="3"/>
  <c r="E17" i="3"/>
  <c r="E18" i="3"/>
  <c r="M45" i="5"/>
  <c r="K45" i="5"/>
  <c r="E65" i="3"/>
  <c r="E66" i="3"/>
  <c r="E38" i="3"/>
  <c r="K46" i="5"/>
  <c r="M46" i="5"/>
  <c r="E39" i="3"/>
  <c r="M47" i="5"/>
  <c r="K47" i="5"/>
  <c r="E70" i="3"/>
  <c r="M48" i="5"/>
  <c r="K48" i="5"/>
  <c r="E28" i="3"/>
  <c r="E31" i="3"/>
  <c r="E33" i="3"/>
  <c r="K49" i="5"/>
  <c r="M49" i="5"/>
  <c r="E59" i="3"/>
  <c r="E55" i="3"/>
  <c r="E56" i="3"/>
  <c r="E57" i="3"/>
  <c r="E58" i="3"/>
  <c r="E60" i="3"/>
  <c r="BX1" i="4"/>
  <c r="BY1" i="4"/>
  <c r="BZ1" i="4"/>
  <c r="CA1" i="4"/>
  <c r="CB1" i="4"/>
  <c r="CC1" i="4"/>
  <c r="CD1" i="4"/>
  <c r="CE1" i="4"/>
  <c r="CF1" i="4"/>
  <c r="CG1" i="4"/>
  <c r="CH1" i="4"/>
  <c r="CI1" i="4"/>
  <c r="CJ1" i="4"/>
  <c r="CK1" i="4"/>
  <c r="CL1" i="4"/>
  <c r="CM1" i="4"/>
  <c r="CN1" i="4"/>
  <c r="CO1" i="4"/>
  <c r="CP1" i="4"/>
  <c r="CQ1" i="4"/>
  <c r="CR1" i="4"/>
  <c r="CS1" i="4"/>
  <c r="CT1" i="4"/>
  <c r="CU1" i="4"/>
  <c r="CV1" i="4"/>
  <c r="CW1" i="4"/>
  <c r="CX1" i="4"/>
  <c r="CY1" i="4"/>
  <c r="CZ1" i="4"/>
  <c r="DA1" i="4"/>
  <c r="DB1" i="4"/>
  <c r="DC1" i="4"/>
  <c r="DD1" i="4"/>
  <c r="AQ1" i="4"/>
  <c r="AP1" i="4"/>
  <c r="AO1" i="4"/>
  <c r="AS1" i="4"/>
  <c r="BQ1" i="4"/>
  <c r="AN1" i="4"/>
  <c r="AM1" i="4"/>
  <c r="AL1" i="4"/>
  <c r="AK1" i="4"/>
  <c r="AJ1" i="4"/>
  <c r="AI1" i="4"/>
  <c r="AH1" i="4"/>
  <c r="AG1" i="4"/>
  <c r="AF1" i="4"/>
  <c r="AE1" i="4"/>
  <c r="AD1" i="4"/>
  <c r="AC1" i="4"/>
  <c r="AB1" i="4"/>
  <c r="AA1" i="4"/>
  <c r="Z1" i="4"/>
  <c r="Y1" i="4"/>
  <c r="X1" i="4"/>
  <c r="W1" i="4"/>
  <c r="V1" i="4"/>
  <c r="U1" i="4"/>
  <c r="T1" i="4"/>
  <c r="S1" i="4"/>
  <c r="R1" i="4"/>
  <c r="Q1" i="4"/>
  <c r="P1" i="4"/>
  <c r="O1" i="4"/>
  <c r="N1" i="4"/>
  <c r="M1" i="4"/>
  <c r="L1" i="4"/>
  <c r="K1" i="4"/>
  <c r="AR1" i="4"/>
  <c r="J1" i="4"/>
  <c r="I1" i="4"/>
  <c r="H1" i="4"/>
  <c r="BA1" i="4"/>
  <c r="F1" i="4"/>
  <c r="E1" i="4"/>
  <c r="BB1" i="4"/>
  <c r="BC1" i="4"/>
  <c r="BD1" i="4"/>
  <c r="BE1" i="4"/>
  <c r="BF1" i="4"/>
  <c r="BG1" i="4"/>
  <c r="BH1" i="4"/>
  <c r="BI1" i="4"/>
  <c r="BJ1" i="4"/>
  <c r="BK1" i="4"/>
  <c r="BL1" i="4"/>
  <c r="BM1" i="4"/>
  <c r="AT1" i="4"/>
  <c r="BN1" i="4"/>
  <c r="BO1" i="4"/>
  <c r="BP1" i="4"/>
  <c r="BR1" i="4"/>
  <c r="BS1" i="4"/>
  <c r="BT1" i="4"/>
  <c r="BU1" i="4"/>
  <c r="BV1" i="4"/>
  <c r="BW1" i="4"/>
  <c r="AU1" i="4"/>
  <c r="AV1" i="4"/>
  <c r="AW1" i="4"/>
  <c r="AX1" i="4"/>
  <c r="AY1" i="4"/>
  <c r="AZ1" i="4"/>
  <c r="G1" i="4"/>
  <c r="G22" i="9" l="1"/>
  <c r="G26" i="9"/>
  <c r="G24" i="9"/>
  <c r="P44" i="5"/>
  <c r="C44" i="4" s="1"/>
  <c r="R44" i="5"/>
  <c r="F15" i="3"/>
  <c r="F16" i="3"/>
  <c r="F17" i="3"/>
  <c r="F18" i="3"/>
  <c r="Q44" i="5"/>
  <c r="D44" i="4" s="1"/>
  <c r="R45" i="5"/>
  <c r="Q45" i="5"/>
  <c r="D45" i="4" s="1"/>
  <c r="P45" i="5"/>
  <c r="C45" i="4" s="1"/>
  <c r="F65" i="3"/>
  <c r="F66" i="3"/>
  <c r="F38" i="3"/>
  <c r="F39" i="3"/>
  <c r="P46" i="5"/>
  <c r="C46" i="4" s="1"/>
  <c r="Q46" i="5"/>
  <c r="D46" i="4" s="1"/>
  <c r="R46" i="5"/>
  <c r="P47" i="5"/>
  <c r="C47" i="4" s="1"/>
  <c r="Q47" i="5"/>
  <c r="D47" i="4" s="1"/>
  <c r="R47" i="5"/>
  <c r="F70" i="3"/>
  <c r="P48" i="5"/>
  <c r="C48" i="4" s="1"/>
  <c r="Q48" i="5"/>
  <c r="D48" i="4" s="1"/>
  <c r="R48" i="5"/>
  <c r="F28" i="3"/>
  <c r="F31" i="3"/>
  <c r="F33" i="3"/>
  <c r="P49" i="5"/>
  <c r="C49" i="4" s="1"/>
  <c r="Q49" i="5"/>
  <c r="D49" i="4" s="1"/>
  <c r="R49" i="5"/>
  <c r="F55" i="3"/>
  <c r="F56" i="3"/>
  <c r="F57" i="3"/>
  <c r="F58" i="3"/>
  <c r="F59" i="3"/>
  <c r="F60" i="3"/>
  <c r="B12" i="7"/>
  <c r="B10" i="7"/>
  <c r="B11" i="7"/>
  <c r="B4" i="6"/>
  <c r="I8" i="9" s="1"/>
  <c r="B57" i="9" l="1"/>
  <c r="E26" i="9"/>
  <c r="B55" i="9"/>
  <c r="E22" i="9"/>
  <c r="B56" i="9"/>
  <c r="E24" i="9"/>
  <c r="DD44" i="4"/>
  <c r="DC44" i="4"/>
  <c r="DB44" i="4"/>
  <c r="DA44" i="4"/>
  <c r="CZ44" i="4"/>
  <c r="CY44" i="4"/>
  <c r="CX44" i="4"/>
  <c r="CW44" i="4"/>
  <c r="CV44" i="4"/>
  <c r="CU44" i="4"/>
  <c r="CT44" i="4"/>
  <c r="CS44" i="4"/>
  <c r="CR44" i="4"/>
  <c r="CQ44" i="4"/>
  <c r="CP44" i="4"/>
  <c r="CO44" i="4"/>
  <c r="CN44" i="4"/>
  <c r="CM44" i="4"/>
  <c r="CL44" i="4"/>
  <c r="CK44" i="4"/>
  <c r="CJ44" i="4"/>
  <c r="CI44" i="4"/>
  <c r="CH44" i="4"/>
  <c r="CG44" i="4"/>
  <c r="CF44" i="4"/>
  <c r="CE44" i="4"/>
  <c r="CD44" i="4"/>
  <c r="CC44" i="4"/>
  <c r="CB44" i="4"/>
  <c r="CA44" i="4"/>
  <c r="BZ44" i="4"/>
  <c r="BY44" i="4"/>
  <c r="BX44" i="4"/>
  <c r="BW44" i="4"/>
  <c r="BV44" i="4"/>
  <c r="BU44" i="4"/>
  <c r="BT44" i="4"/>
  <c r="BS44" i="4"/>
  <c r="BR44" i="4"/>
  <c r="BQ44" i="4"/>
  <c r="BP44" i="4"/>
  <c r="BO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D45" i="4"/>
  <c r="DC45" i="4"/>
  <c r="DB45" i="4"/>
  <c r="DA45" i="4"/>
  <c r="CZ45" i="4"/>
  <c r="CY45" i="4"/>
  <c r="CX45" i="4"/>
  <c r="CW45" i="4"/>
  <c r="CV45" i="4"/>
  <c r="CU45" i="4"/>
  <c r="CT45" i="4"/>
  <c r="CS45" i="4"/>
  <c r="CR45" i="4"/>
  <c r="CQ45" i="4"/>
  <c r="CP45" i="4"/>
  <c r="CO45" i="4"/>
  <c r="CN45" i="4"/>
  <c r="CM45" i="4"/>
  <c r="CL45" i="4"/>
  <c r="CK45" i="4"/>
  <c r="CJ45" i="4"/>
  <c r="CI45" i="4"/>
  <c r="CH45" i="4"/>
  <c r="CG45" i="4"/>
  <c r="CF45" i="4"/>
  <c r="CE45" i="4"/>
  <c r="CD45" i="4"/>
  <c r="CC45" i="4"/>
  <c r="CB45" i="4"/>
  <c r="CA45" i="4"/>
  <c r="BZ45" i="4"/>
  <c r="BY45" i="4"/>
  <c r="BX45" i="4"/>
  <c r="BW45" i="4"/>
  <c r="BV45" i="4"/>
  <c r="BU45" i="4"/>
  <c r="BT45" i="4"/>
  <c r="BS45" i="4"/>
  <c r="BR45" i="4"/>
  <c r="BQ45" i="4"/>
  <c r="BP45" i="4"/>
  <c r="BO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CZ46" i="4"/>
  <c r="CU46" i="4"/>
  <c r="DC46" i="4"/>
  <c r="CY46" i="4"/>
  <c r="CT46" i="4"/>
  <c r="DB46" i="4"/>
  <c r="CX46" i="4"/>
  <c r="CS46" i="4"/>
  <c r="CP46" i="4"/>
  <c r="CN46" i="4"/>
  <c r="CM46" i="4"/>
  <c r="CL46" i="4"/>
  <c r="CK46" i="4"/>
  <c r="CJ46" i="4"/>
  <c r="CI46" i="4"/>
  <c r="CH46" i="4"/>
  <c r="CG46" i="4"/>
  <c r="CF46" i="4"/>
  <c r="CE46" i="4"/>
  <c r="CD46" i="4"/>
  <c r="CC46" i="4"/>
  <c r="CB46" i="4"/>
  <c r="CA46" i="4"/>
  <c r="BZ46" i="4"/>
  <c r="BY46" i="4"/>
  <c r="BX46" i="4"/>
  <c r="BW46" i="4"/>
  <c r="BV46" i="4"/>
  <c r="BU46" i="4"/>
  <c r="BT46" i="4"/>
  <c r="BS46" i="4"/>
  <c r="BR46"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A46" i="4"/>
  <c r="CW46" i="4"/>
  <c r="CR46" i="4"/>
  <c r="DD46" i="4"/>
  <c r="CV46" i="4"/>
  <c r="CQ46" i="4"/>
  <c r="CO46" i="4"/>
  <c r="CF47" i="4"/>
  <c r="CA47" i="4"/>
  <c r="BX47" i="4"/>
  <c r="BT47" i="4"/>
  <c r="BL47" i="4"/>
  <c r="AU47" i="4"/>
  <c r="AR47" i="4"/>
  <c r="AN47" i="4"/>
  <c r="AK47" i="4"/>
  <c r="AG47" i="4"/>
  <c r="AD47" i="4"/>
  <c r="R47" i="4"/>
  <c r="L47" i="4"/>
  <c r="H47" i="4"/>
  <c r="CK47" i="4"/>
  <c r="CH47" i="4"/>
  <c r="CD47" i="4"/>
  <c r="BZ47" i="4"/>
  <c r="BS47" i="4"/>
  <c r="BO47" i="4"/>
  <c r="BK47" i="4"/>
  <c r="BH47" i="4"/>
  <c r="BE47" i="4"/>
  <c r="BB47" i="4"/>
  <c r="AZ47" i="4"/>
  <c r="AW47" i="4"/>
  <c r="AQ47" i="4"/>
  <c r="AJ47" i="4"/>
  <c r="AE47" i="4"/>
  <c r="AA47" i="4"/>
  <c r="Y47" i="4"/>
  <c r="V47" i="4"/>
  <c r="S47" i="4"/>
  <c r="P47" i="4"/>
  <c r="G47" i="4"/>
  <c r="DD47" i="4"/>
  <c r="DC47" i="4"/>
  <c r="DB47" i="4"/>
  <c r="DA47" i="4"/>
  <c r="CZ47" i="4"/>
  <c r="CY47" i="4"/>
  <c r="CX47" i="4"/>
  <c r="CW47" i="4"/>
  <c r="CV47" i="4"/>
  <c r="CU47" i="4"/>
  <c r="CT47" i="4"/>
  <c r="CS47" i="4"/>
  <c r="CR47" i="4"/>
  <c r="CQ47" i="4"/>
  <c r="CP47" i="4"/>
  <c r="CO47" i="4"/>
  <c r="CN47" i="4"/>
  <c r="CG47" i="4"/>
  <c r="CC47" i="4"/>
  <c r="BY47" i="4"/>
  <c r="BV47" i="4"/>
  <c r="BQ47" i="4"/>
  <c r="BN47" i="4"/>
  <c r="BI47" i="4"/>
  <c r="BF47" i="4"/>
  <c r="AV47" i="4"/>
  <c r="AM47" i="4"/>
  <c r="AI47" i="4"/>
  <c r="AB47" i="4"/>
  <c r="X47" i="4"/>
  <c r="O47" i="4"/>
  <c r="K47" i="4"/>
  <c r="F47" i="4"/>
  <c r="CM47" i="4"/>
  <c r="CJ47" i="4"/>
  <c r="CB47" i="4"/>
  <c r="BU47" i="4"/>
  <c r="BP47" i="4"/>
  <c r="BM47" i="4"/>
  <c r="BG47" i="4"/>
  <c r="BD47" i="4"/>
  <c r="BA47" i="4"/>
  <c r="AY47" i="4"/>
  <c r="AT47" i="4"/>
  <c r="AP47" i="4"/>
  <c r="AH47" i="4"/>
  <c r="AC47" i="4"/>
  <c r="W47" i="4"/>
  <c r="T47" i="4"/>
  <c r="Q47" i="4"/>
  <c r="N47" i="4"/>
  <c r="I47" i="4"/>
  <c r="CL47" i="4"/>
  <c r="CI47" i="4"/>
  <c r="CE47" i="4"/>
  <c r="BW47" i="4"/>
  <c r="BR47" i="4"/>
  <c r="BJ47" i="4"/>
  <c r="BC47" i="4"/>
  <c r="AX47" i="4"/>
  <c r="AS47" i="4"/>
  <c r="AO47" i="4"/>
  <c r="AL47" i="4"/>
  <c r="AF47" i="4"/>
  <c r="Z47" i="4"/>
  <c r="U47" i="4"/>
  <c r="M47" i="4"/>
  <c r="J47" i="4"/>
  <c r="E47" i="4"/>
  <c r="DD48" i="4"/>
  <c r="DC48" i="4"/>
  <c r="DB48" i="4"/>
  <c r="DA48" i="4"/>
  <c r="CZ48" i="4"/>
  <c r="CY48" i="4"/>
  <c r="CX48" i="4"/>
  <c r="CW48" i="4"/>
  <c r="CV48" i="4"/>
  <c r="CU48" i="4"/>
  <c r="CT48" i="4"/>
  <c r="CS48" i="4"/>
  <c r="CR48" i="4"/>
  <c r="CQ48" i="4"/>
  <c r="CP48" i="4"/>
  <c r="CO48" i="4"/>
  <c r="CN48" i="4"/>
  <c r="CM48" i="4"/>
  <c r="CL48" i="4"/>
  <c r="CK48" i="4"/>
  <c r="CJ48" i="4"/>
  <c r="CI48" i="4"/>
  <c r="CH48" i="4"/>
  <c r="CG48" i="4"/>
  <c r="CF48" i="4"/>
  <c r="CE48" i="4"/>
  <c r="CD48" i="4"/>
  <c r="CC48" i="4"/>
  <c r="CB48" i="4"/>
  <c r="CA48" i="4"/>
  <c r="BZ48" i="4"/>
  <c r="BY48" i="4"/>
  <c r="BX48" i="4"/>
  <c r="BW48" i="4"/>
  <c r="BV48" i="4"/>
  <c r="BU48" i="4"/>
  <c r="BT48" i="4"/>
  <c r="BS48" i="4"/>
  <c r="BR48" i="4"/>
  <c r="BQ48" i="4"/>
  <c r="BP48" i="4"/>
  <c r="BO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D49" i="4"/>
  <c r="DC49" i="4"/>
  <c r="DB49" i="4"/>
  <c r="DA49" i="4"/>
  <c r="CZ49" i="4"/>
  <c r="CY49" i="4"/>
  <c r="CX49" i="4"/>
  <c r="CW49" i="4"/>
  <c r="CV49" i="4"/>
  <c r="CU49" i="4"/>
  <c r="CT49" i="4"/>
  <c r="CS49" i="4"/>
  <c r="CR49" i="4"/>
  <c r="CQ49" i="4"/>
  <c r="CP49" i="4"/>
  <c r="CO49" i="4"/>
  <c r="CN49" i="4"/>
  <c r="CM49" i="4"/>
  <c r="CL49" i="4"/>
  <c r="CK49" i="4"/>
  <c r="CJ49" i="4"/>
  <c r="CI49" i="4"/>
  <c r="CH49" i="4"/>
  <c r="CG49" i="4"/>
  <c r="CF49" i="4"/>
  <c r="CE49" i="4"/>
  <c r="CD49" i="4"/>
  <c r="CC49" i="4"/>
  <c r="CB49" i="4"/>
  <c r="CA49" i="4"/>
  <c r="BZ49" i="4"/>
  <c r="BY49" i="4"/>
  <c r="BX49" i="4"/>
  <c r="BW49" i="4"/>
  <c r="BV49" i="4"/>
  <c r="BU49" i="4"/>
  <c r="BT49" i="4"/>
  <c r="BS49" i="4"/>
  <c r="BR49" i="4"/>
  <c r="BQ49" i="4"/>
  <c r="BP49" i="4"/>
  <c r="BO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L34" i="5"/>
  <c r="L35" i="5"/>
  <c r="L36" i="5"/>
  <c r="L37" i="5"/>
  <c r="L38" i="5"/>
  <c r="L39" i="5"/>
  <c r="L40" i="5"/>
  <c r="L42" i="5"/>
  <c r="B12" i="6"/>
  <c r="L43" i="5"/>
  <c r="L41" i="5"/>
  <c r="L6" i="5"/>
  <c r="L11" i="5"/>
  <c r="L13" i="5"/>
  <c r="L14" i="5"/>
  <c r="L15" i="5"/>
  <c r="L16" i="5"/>
  <c r="L17" i="5"/>
  <c r="L18" i="5"/>
  <c r="L19" i="5"/>
  <c r="L20" i="5"/>
  <c r="L21" i="5"/>
  <c r="L22" i="5"/>
  <c r="L23" i="5"/>
  <c r="L24" i="5"/>
  <c r="L25" i="5"/>
  <c r="L26" i="5"/>
  <c r="L27" i="5"/>
  <c r="L2" i="5"/>
  <c r="M2" i="5" s="1"/>
  <c r="L8" i="5"/>
  <c r="L47" i="5"/>
  <c r="L48" i="5"/>
  <c r="L49" i="5"/>
  <c r="B10" i="6"/>
  <c r="L3" i="5"/>
  <c r="L5" i="5"/>
  <c r="L10" i="5"/>
  <c r="L46" i="5"/>
  <c r="L44" i="5"/>
  <c r="L4" i="5"/>
  <c r="L7" i="5"/>
  <c r="L9" i="5"/>
  <c r="L12" i="5"/>
  <c r="L45" i="5"/>
  <c r="B11" i="6"/>
  <c r="L28" i="5"/>
  <c r="L29" i="5"/>
  <c r="L30" i="5"/>
  <c r="L31" i="5"/>
  <c r="L32" i="5"/>
  <c r="L33" i="5"/>
  <c r="M3" i="5" l="1"/>
  <c r="M4" i="5" s="1"/>
  <c r="K22" i="9"/>
  <c r="M28" i="5"/>
  <c r="F19" i="3" s="1"/>
  <c r="F5" i="3"/>
  <c r="F4" i="3"/>
  <c r="F2" i="3"/>
  <c r="F11" i="3"/>
  <c r="F10" i="3"/>
  <c r="F6" i="3"/>
  <c r="N2" i="5"/>
  <c r="F3" i="3"/>
  <c r="M34" i="5"/>
  <c r="F12" i="3" l="1"/>
  <c r="F13" i="3"/>
  <c r="F83" i="3"/>
  <c r="F90" i="3"/>
  <c r="F91" i="3"/>
  <c r="M35" i="5"/>
  <c r="F20" i="3"/>
  <c r="F21" i="3"/>
  <c r="O2" i="5"/>
  <c r="N34" i="5" s="1"/>
  <c r="P2" i="5"/>
  <c r="C2" i="4" s="1"/>
  <c r="M5" i="5"/>
  <c r="F84" i="3" l="1"/>
  <c r="F85" i="3"/>
  <c r="F86" i="3"/>
  <c r="F93" i="3"/>
  <c r="R2" i="5"/>
  <c r="N3" i="5"/>
  <c r="Q2" i="5"/>
  <c r="D2" i="4" s="1"/>
  <c r="O34" i="5"/>
  <c r="N35" i="5" s="1"/>
  <c r="P34" i="5"/>
  <c r="C34" i="4" s="1"/>
  <c r="M36" i="5"/>
  <c r="M6" i="5"/>
  <c r="O35" i="5" l="1"/>
  <c r="N36" i="5" s="1"/>
  <c r="P35" i="5"/>
  <c r="C35" i="4" s="1"/>
  <c r="O3" i="5"/>
  <c r="P3" i="5"/>
  <c r="C3" i="4" s="1"/>
  <c r="Q34" i="5"/>
  <c r="D34" i="4" s="1"/>
  <c r="R34" i="5"/>
  <c r="F82" i="3"/>
  <c r="F81" i="3"/>
  <c r="F27" i="3"/>
  <c r="F32" i="3"/>
  <c r="M7" i="5"/>
  <c r="AW2" i="4"/>
  <c r="AX2" i="4"/>
  <c r="AY2" i="4"/>
  <c r="AZ2" i="4"/>
  <c r="BA2" i="4"/>
  <c r="BB2" i="4"/>
  <c r="BC2" i="4"/>
  <c r="BD2" i="4"/>
  <c r="BE2" i="4"/>
  <c r="BF2" i="4"/>
  <c r="BG2" i="4"/>
  <c r="BH2" i="4"/>
  <c r="BI2" i="4"/>
  <c r="BJ2" i="4"/>
  <c r="BK2" i="4"/>
  <c r="BL2" i="4"/>
  <c r="BM2" i="4"/>
  <c r="BN2" i="4"/>
  <c r="BO2" i="4"/>
  <c r="BP2" i="4"/>
  <c r="E2" i="4"/>
  <c r="F2" i="4"/>
  <c r="G2" i="4"/>
  <c r="H2" i="4"/>
  <c r="I2" i="4"/>
  <c r="J2" i="4"/>
  <c r="K2" i="4"/>
  <c r="L2" i="4"/>
  <c r="M2" i="4"/>
  <c r="N2" i="4"/>
  <c r="O2" i="4"/>
  <c r="P2" i="4"/>
  <c r="R2" i="4"/>
  <c r="S2" i="4"/>
  <c r="U2" i="4"/>
  <c r="X2" i="4"/>
  <c r="Z2" i="4"/>
  <c r="AB2" i="4"/>
  <c r="AD2" i="4"/>
  <c r="AF2" i="4"/>
  <c r="AG2" i="4"/>
  <c r="AI2" i="4"/>
  <c r="AK2" i="4"/>
  <c r="AM2" i="4"/>
  <c r="AO2" i="4"/>
  <c r="AQ2" i="4"/>
  <c r="AS2" i="4"/>
  <c r="AU2" i="4"/>
  <c r="BQ2" i="4"/>
  <c r="BR2" i="4"/>
  <c r="BS2" i="4"/>
  <c r="BT2" i="4"/>
  <c r="BU2" i="4"/>
  <c r="BV2" i="4"/>
  <c r="BW2" i="4"/>
  <c r="BX2" i="4"/>
  <c r="BY2" i="4"/>
  <c r="BZ2" i="4"/>
  <c r="CA2" i="4"/>
  <c r="CB2" i="4"/>
  <c r="CC2" i="4"/>
  <c r="CD2" i="4"/>
  <c r="CE2" i="4"/>
  <c r="CF2" i="4"/>
  <c r="CG2" i="4"/>
  <c r="CH2" i="4"/>
  <c r="CI2" i="4"/>
  <c r="CJ2" i="4"/>
  <c r="CM2" i="4"/>
  <c r="CN2" i="4"/>
  <c r="CP2" i="4"/>
  <c r="CR2" i="4"/>
  <c r="CT2" i="4"/>
  <c r="CU2" i="4"/>
  <c r="CW2" i="4"/>
  <c r="CZ2" i="4"/>
  <c r="DB2" i="4"/>
  <c r="DD2" i="4"/>
  <c r="Q2" i="4"/>
  <c r="T2" i="4"/>
  <c r="V2" i="4"/>
  <c r="W2" i="4"/>
  <c r="Y2" i="4"/>
  <c r="AA2" i="4"/>
  <c r="AC2" i="4"/>
  <c r="AE2" i="4"/>
  <c r="AH2" i="4"/>
  <c r="AJ2" i="4"/>
  <c r="AL2" i="4"/>
  <c r="AN2" i="4"/>
  <c r="AP2" i="4"/>
  <c r="AR2" i="4"/>
  <c r="AT2" i="4"/>
  <c r="AV2" i="4"/>
  <c r="CK2" i="4"/>
  <c r="CL2" i="4"/>
  <c r="CO2" i="4"/>
  <c r="CQ2" i="4"/>
  <c r="CS2" i="4"/>
  <c r="CV2" i="4"/>
  <c r="CX2" i="4"/>
  <c r="CY2" i="4"/>
  <c r="DA2" i="4"/>
  <c r="DC2" i="4"/>
  <c r="R35" i="5" l="1"/>
  <c r="Q35" i="5"/>
  <c r="D35" i="4" s="1"/>
  <c r="N4" i="5"/>
  <c r="N28" i="5"/>
  <c r="Q3" i="5"/>
  <c r="D3" i="4" s="1"/>
  <c r="R3" i="5"/>
  <c r="F29" i="3"/>
  <c r="F30" i="3"/>
  <c r="F35" i="3"/>
  <c r="M8" i="5"/>
  <c r="AJ34" i="4"/>
  <c r="AN34" i="4"/>
  <c r="AR34" i="4"/>
  <c r="AU34" i="4"/>
  <c r="AZ34" i="4"/>
  <c r="BE34" i="4"/>
  <c r="BH34" i="4"/>
  <c r="BM34" i="4"/>
  <c r="BR34" i="4"/>
  <c r="BU34" i="4"/>
  <c r="BX34" i="4"/>
  <c r="CD34" i="4"/>
  <c r="CH34" i="4"/>
  <c r="CM34" i="4"/>
  <c r="CP34" i="4"/>
  <c r="CV34" i="4"/>
  <c r="DB34" i="4"/>
  <c r="E34" i="4"/>
  <c r="G34" i="4"/>
  <c r="J34" i="4"/>
  <c r="M34" i="4"/>
  <c r="P34" i="4"/>
  <c r="S34" i="4"/>
  <c r="V34" i="4"/>
  <c r="X34" i="4"/>
  <c r="AA34" i="4"/>
  <c r="AC34" i="4"/>
  <c r="AF34" i="4"/>
  <c r="AI34" i="4"/>
  <c r="AL34" i="4"/>
  <c r="AO34" i="4"/>
  <c r="AQ34" i="4"/>
  <c r="AT34" i="4"/>
  <c r="AW34" i="4"/>
  <c r="AY34" i="4"/>
  <c r="BC34" i="4"/>
  <c r="BF34" i="4"/>
  <c r="BJ34" i="4"/>
  <c r="BN34" i="4"/>
  <c r="BQ34" i="4"/>
  <c r="BT34" i="4"/>
  <c r="BY34" i="4"/>
  <c r="CC34" i="4"/>
  <c r="CG34" i="4"/>
  <c r="CK34" i="4"/>
  <c r="CQ34" i="4"/>
  <c r="CS34" i="4"/>
  <c r="CW34" i="4"/>
  <c r="CO34" i="4"/>
  <c r="CX34" i="4"/>
  <c r="DC34" i="4"/>
  <c r="K34" i="4"/>
  <c r="Q34" i="4"/>
  <c r="Y34" i="4"/>
  <c r="AG34" i="4"/>
  <c r="I34" i="4"/>
  <c r="L34" i="4"/>
  <c r="O34" i="4"/>
  <c r="R34" i="4"/>
  <c r="U34" i="4"/>
  <c r="Z34" i="4"/>
  <c r="AB34" i="4"/>
  <c r="AE34" i="4"/>
  <c r="AH34" i="4"/>
  <c r="AK34" i="4"/>
  <c r="AM34" i="4"/>
  <c r="AP34" i="4"/>
  <c r="AS34" i="4"/>
  <c r="AV34" i="4"/>
  <c r="AX34" i="4"/>
  <c r="BA34" i="4"/>
  <c r="BD34" i="4"/>
  <c r="BI34" i="4"/>
  <c r="BL34" i="4"/>
  <c r="BP34" i="4"/>
  <c r="BW34" i="4"/>
  <c r="CA34" i="4"/>
  <c r="CE34" i="4"/>
  <c r="CI34" i="4"/>
  <c r="CL34" i="4"/>
  <c r="CN34" i="4"/>
  <c r="CR34" i="4"/>
  <c r="CU34" i="4"/>
  <c r="CY34" i="4"/>
  <c r="DA34" i="4"/>
  <c r="BB34" i="4"/>
  <c r="BG34" i="4"/>
  <c r="BK34" i="4"/>
  <c r="BO34" i="4"/>
  <c r="BS34" i="4"/>
  <c r="BV34" i="4"/>
  <c r="BZ34" i="4"/>
  <c r="CB34" i="4"/>
  <c r="CF34" i="4"/>
  <c r="CJ34" i="4"/>
  <c r="CT34" i="4"/>
  <c r="CZ34" i="4"/>
  <c r="DD34" i="4"/>
  <c r="F34" i="4"/>
  <c r="H34" i="4"/>
  <c r="N34" i="4"/>
  <c r="T34" i="4"/>
  <c r="W34" i="4"/>
  <c r="AD34" i="4"/>
  <c r="P36" i="5"/>
  <c r="C36" i="4" s="1"/>
  <c r="O36" i="5"/>
  <c r="DC35" i="4" l="1"/>
  <c r="DB35" i="4"/>
  <c r="DA35" i="4"/>
  <c r="CZ35" i="4"/>
  <c r="CY35" i="4"/>
  <c r="CX35" i="4"/>
  <c r="CW35" i="4"/>
  <c r="CV35" i="4"/>
  <c r="CU35" i="4"/>
  <c r="CT35" i="4"/>
  <c r="CS35" i="4"/>
  <c r="CR35" i="4"/>
  <c r="CQ35" i="4"/>
  <c r="CP35" i="4"/>
  <c r="CO35" i="4"/>
  <c r="CN35" i="4"/>
  <c r="CM35" i="4"/>
  <c r="CL35" i="4"/>
  <c r="CK35" i="4"/>
  <c r="CJ35" i="4"/>
  <c r="CI35" i="4"/>
  <c r="CH35" i="4"/>
  <c r="CG35" i="4"/>
  <c r="CF35" i="4"/>
  <c r="CE35" i="4"/>
  <c r="CD35" i="4"/>
  <c r="CC35" i="4"/>
  <c r="CB35" i="4"/>
  <c r="CA35" i="4"/>
  <c r="BZ35" i="4"/>
  <c r="BY35" i="4"/>
  <c r="BX35" i="4"/>
  <c r="BW35" i="4"/>
  <c r="BV35" i="4"/>
  <c r="BU35" i="4"/>
  <c r="BT35" i="4"/>
  <c r="BS35" i="4"/>
  <c r="BR35"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D35" i="4"/>
  <c r="O4" i="5"/>
  <c r="P4" i="5"/>
  <c r="C4" i="4" s="1"/>
  <c r="O28" i="5"/>
  <c r="P28" i="5"/>
  <c r="C28" i="4" s="1"/>
  <c r="F14" i="3"/>
  <c r="F22" i="3"/>
  <c r="F23" i="3"/>
  <c r="F24" i="3"/>
  <c r="F25" i="3"/>
  <c r="F26" i="3"/>
  <c r="M9" i="5"/>
  <c r="R36" i="5"/>
  <c r="Q36" i="5"/>
  <c r="D36" i="4" s="1"/>
  <c r="BG3" i="4"/>
  <c r="BL3" i="4"/>
  <c r="BM3" i="4"/>
  <c r="BN3" i="4"/>
  <c r="BO3" i="4"/>
  <c r="BP3" i="4"/>
  <c r="BQ3" i="4"/>
  <c r="BR3" i="4"/>
  <c r="BS3" i="4"/>
  <c r="BT3" i="4"/>
  <c r="BU3" i="4"/>
  <c r="BV3" i="4"/>
  <c r="BW3" i="4"/>
  <c r="BX3" i="4"/>
  <c r="BY3" i="4"/>
  <c r="BZ3" i="4"/>
  <c r="CA3" i="4"/>
  <c r="CB3" i="4"/>
  <c r="CC3" i="4"/>
  <c r="CD3" i="4"/>
  <c r="CE3" i="4"/>
  <c r="CF3" i="4"/>
  <c r="CG3" i="4"/>
  <c r="CH3" i="4"/>
  <c r="CI3" i="4"/>
  <c r="CJ3" i="4"/>
  <c r="CK3" i="4"/>
  <c r="CL3" i="4"/>
  <c r="CM3" i="4"/>
  <c r="CN3" i="4"/>
  <c r="CO3" i="4"/>
  <c r="CP3" i="4"/>
  <c r="CQ3" i="4"/>
  <c r="CR3" i="4"/>
  <c r="CS3" i="4"/>
  <c r="CT3" i="4"/>
  <c r="CU3" i="4"/>
  <c r="CV3" i="4"/>
  <c r="CW3" i="4"/>
  <c r="CX3" i="4"/>
  <c r="CY3" i="4"/>
  <c r="CZ3" i="4"/>
  <c r="DA3" i="4"/>
  <c r="DB3" i="4"/>
  <c r="DC3" i="4"/>
  <c r="DD3" i="4"/>
  <c r="E3" i="4"/>
  <c r="F3" i="4"/>
  <c r="G3" i="4"/>
  <c r="H3" i="4"/>
  <c r="I3" i="4"/>
  <c r="J3" i="4"/>
  <c r="K3" i="4"/>
  <c r="L3" i="4"/>
  <c r="M3" i="4"/>
  <c r="N3" i="4"/>
  <c r="O3" i="4"/>
  <c r="P3" i="4"/>
  <c r="Q3" i="4"/>
  <c r="R3" i="4"/>
  <c r="S3" i="4"/>
  <c r="T3" i="4"/>
  <c r="U3" i="4"/>
  <c r="V3" i="4"/>
  <c r="W3" i="4"/>
  <c r="X3" i="4"/>
  <c r="Y3" i="4"/>
  <c r="Z3" i="4"/>
  <c r="AA3" i="4"/>
  <c r="AB3" i="4"/>
  <c r="AC3" i="4"/>
  <c r="AD3" i="4"/>
  <c r="AE3" i="4"/>
  <c r="AF3" i="4"/>
  <c r="AG3" i="4"/>
  <c r="AH3" i="4"/>
  <c r="AI3" i="4"/>
  <c r="AJ3" i="4"/>
  <c r="AK3" i="4"/>
  <c r="AL3" i="4"/>
  <c r="AM3" i="4"/>
  <c r="AN3" i="4"/>
  <c r="AO3" i="4"/>
  <c r="AP3" i="4"/>
  <c r="AQ3" i="4"/>
  <c r="AR3" i="4"/>
  <c r="AS3" i="4"/>
  <c r="AT3" i="4"/>
  <c r="AU3" i="4"/>
  <c r="AV3" i="4"/>
  <c r="AW3" i="4"/>
  <c r="AX3" i="4"/>
  <c r="AY3" i="4"/>
  <c r="AZ3" i="4"/>
  <c r="BA3" i="4"/>
  <c r="BB3" i="4"/>
  <c r="BC3" i="4"/>
  <c r="BD3" i="4"/>
  <c r="BE3" i="4"/>
  <c r="BF3" i="4"/>
  <c r="BH3" i="4"/>
  <c r="BI3" i="4"/>
  <c r="BJ3" i="4"/>
  <c r="BK3" i="4"/>
  <c r="E36" i="4" l="1"/>
  <c r="F36" i="4"/>
  <c r="G36" i="4"/>
  <c r="H36" i="4"/>
  <c r="I36" i="4"/>
  <c r="J36" i="4"/>
  <c r="K36" i="4"/>
  <c r="L36" i="4"/>
  <c r="M36"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N5" i="5"/>
  <c r="R4" i="5"/>
  <c r="Q4" i="5"/>
  <c r="D4" i="4" s="1"/>
  <c r="Q28" i="5"/>
  <c r="D28" i="4" s="1"/>
  <c r="R28" i="5"/>
  <c r="F34" i="3"/>
  <c r="F36" i="3"/>
  <c r="F37" i="3"/>
  <c r="M10" i="5"/>
  <c r="AY36" i="4"/>
  <c r="AZ36" i="4"/>
  <c r="BA36" i="4"/>
  <c r="BB36" i="4"/>
  <c r="BC36" i="4"/>
  <c r="BD36" i="4"/>
  <c r="BE36" i="4"/>
  <c r="BF36" i="4"/>
  <c r="BG36" i="4"/>
  <c r="BH36" i="4"/>
  <c r="BI36" i="4"/>
  <c r="BJ36" i="4"/>
  <c r="BK36" i="4"/>
  <c r="BL36" i="4"/>
  <c r="BM36" i="4"/>
  <c r="BN36" i="4"/>
  <c r="BO36" i="4"/>
  <c r="BP36" i="4"/>
  <c r="BQ36" i="4"/>
  <c r="BR36" i="4"/>
  <c r="BS36" i="4"/>
  <c r="BT36" i="4"/>
  <c r="BU36" i="4"/>
  <c r="BV36" i="4"/>
  <c r="BW36" i="4"/>
  <c r="BX36" i="4"/>
  <c r="BY36" i="4"/>
  <c r="BZ36" i="4"/>
  <c r="CA36" i="4"/>
  <c r="CB36" i="4"/>
  <c r="CC36" i="4"/>
  <c r="CD36" i="4"/>
  <c r="CE36" i="4"/>
  <c r="CF36" i="4"/>
  <c r="CG36" i="4"/>
  <c r="CH36" i="4"/>
  <c r="CI36" i="4"/>
  <c r="CJ36" i="4"/>
  <c r="CK36" i="4"/>
  <c r="CL36" i="4"/>
  <c r="CM36" i="4"/>
  <c r="CN36" i="4"/>
  <c r="CO36" i="4"/>
  <c r="CP36" i="4"/>
  <c r="CQ36" i="4"/>
  <c r="CR36" i="4"/>
  <c r="CS36" i="4"/>
  <c r="CT36" i="4"/>
  <c r="CU36" i="4"/>
  <c r="CV36" i="4"/>
  <c r="CW36" i="4"/>
  <c r="CX36" i="4"/>
  <c r="CY36" i="4"/>
  <c r="CZ36" i="4"/>
  <c r="DA36" i="4"/>
  <c r="DB36" i="4"/>
  <c r="DC36" i="4"/>
  <c r="DD36" i="4"/>
  <c r="DD28" i="4" l="1"/>
  <c r="DC28" i="4"/>
  <c r="DB28" i="4"/>
  <c r="DA28" i="4"/>
  <c r="CZ28" i="4"/>
  <c r="CY28" i="4"/>
  <c r="CX28" i="4"/>
  <c r="CW28" i="4"/>
  <c r="CV28" i="4"/>
  <c r="CU28" i="4"/>
  <c r="CT28" i="4"/>
  <c r="CS28" i="4"/>
  <c r="CR28" i="4"/>
  <c r="CQ28" i="4"/>
  <c r="CP28" i="4"/>
  <c r="CO28" i="4"/>
  <c r="CN28" i="4"/>
  <c r="CM28" i="4"/>
  <c r="CL28" i="4"/>
  <c r="CK28" i="4"/>
  <c r="CJ28" i="4"/>
  <c r="CH28" i="4"/>
  <c r="CG28" i="4"/>
  <c r="CF28" i="4"/>
  <c r="CE28" i="4"/>
  <c r="CD28" i="4"/>
  <c r="CC28" i="4"/>
  <c r="CB28" i="4"/>
  <c r="CA28" i="4"/>
  <c r="CI28" i="4"/>
  <c r="O5" i="5"/>
  <c r="P5" i="5"/>
  <c r="C5" i="4" s="1"/>
  <c r="M11" i="5"/>
  <c r="CW4" i="4"/>
  <c r="CX4" i="4"/>
  <c r="CY4" i="4"/>
  <c r="CZ4" i="4"/>
  <c r="DA4" i="4"/>
  <c r="DB4" i="4"/>
  <c r="DC4" i="4"/>
  <c r="DD4" i="4"/>
  <c r="BC4" i="4"/>
  <c r="BE4" i="4"/>
  <c r="BG4" i="4"/>
  <c r="BI4" i="4"/>
  <c r="BK4" i="4"/>
  <c r="BL4" i="4"/>
  <c r="BN4" i="4"/>
  <c r="BQ4" i="4"/>
  <c r="BT4" i="4"/>
  <c r="BV4" i="4"/>
  <c r="BX4" i="4"/>
  <c r="BZ4" i="4"/>
  <c r="CB4" i="4"/>
  <c r="CC4" i="4"/>
  <c r="BO4" i="4"/>
  <c r="CF4" i="4"/>
  <c r="CH4" i="4"/>
  <c r="CJ4" i="4"/>
  <c r="CL4" i="4"/>
  <c r="CN4" i="4"/>
  <c r="CP4" i="4"/>
  <c r="CQ4" i="4"/>
  <c r="CU4" i="4"/>
  <c r="E4" i="4"/>
  <c r="G4" i="4"/>
  <c r="H4" i="4"/>
  <c r="I4" i="4"/>
  <c r="J4" i="4"/>
  <c r="K4" i="4"/>
  <c r="M4" i="4"/>
  <c r="O4" i="4"/>
  <c r="Q4" i="4"/>
  <c r="S4" i="4"/>
  <c r="U4" i="4"/>
  <c r="W4" i="4"/>
  <c r="Y4" i="4"/>
  <c r="AA4" i="4"/>
  <c r="AC4" i="4"/>
  <c r="AE4" i="4"/>
  <c r="AG4" i="4"/>
  <c r="AI4" i="4"/>
  <c r="AK4" i="4"/>
  <c r="AM4" i="4"/>
  <c r="AO4" i="4"/>
  <c r="AQ4" i="4"/>
  <c r="AS4" i="4"/>
  <c r="AU4" i="4"/>
  <c r="AW4" i="4"/>
  <c r="AY4" i="4"/>
  <c r="AZ4" i="4"/>
  <c r="BB4" i="4"/>
  <c r="BF4" i="4"/>
  <c r="BH4" i="4"/>
  <c r="BJ4" i="4"/>
  <c r="BM4" i="4"/>
  <c r="BP4" i="4"/>
  <c r="BR4" i="4"/>
  <c r="BS4" i="4"/>
  <c r="BU4" i="4"/>
  <c r="X4" i="4"/>
  <c r="BW4" i="4"/>
  <c r="BY4" i="4"/>
  <c r="CA4" i="4"/>
  <c r="CD4" i="4"/>
  <c r="CE4" i="4"/>
  <c r="CG4" i="4"/>
  <c r="CI4" i="4"/>
  <c r="CK4" i="4"/>
  <c r="CM4" i="4"/>
  <c r="CO4" i="4"/>
  <c r="CR4" i="4"/>
  <c r="CS4" i="4"/>
  <c r="CT4" i="4"/>
  <c r="CV4" i="4"/>
  <c r="F4" i="4"/>
  <c r="L4" i="4"/>
  <c r="N4" i="4"/>
  <c r="P4" i="4"/>
  <c r="R4" i="4"/>
  <c r="T4" i="4"/>
  <c r="V4" i="4"/>
  <c r="BD4" i="4"/>
  <c r="Z4" i="4"/>
  <c r="AB4" i="4"/>
  <c r="AD4" i="4"/>
  <c r="AF4" i="4"/>
  <c r="AH4" i="4"/>
  <c r="AJ4" i="4"/>
  <c r="AL4" i="4"/>
  <c r="AN4" i="4"/>
  <c r="AP4" i="4"/>
  <c r="AR4" i="4"/>
  <c r="AT4" i="4"/>
  <c r="AV4" i="4"/>
  <c r="AX4" i="4"/>
  <c r="BA4" i="4"/>
  <c r="BZ28" i="4"/>
  <c r="BY28" i="4"/>
  <c r="BX28" i="4"/>
  <c r="BW28" i="4"/>
  <c r="BV28" i="4"/>
  <c r="BU28" i="4"/>
  <c r="BT28" i="4"/>
  <c r="BS28" i="4"/>
  <c r="BR28" i="4"/>
  <c r="BQ28" i="4"/>
  <c r="BP28" i="4"/>
  <c r="BO28" i="4"/>
  <c r="BN28" i="4"/>
  <c r="BM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R28" i="4"/>
  <c r="Q28" i="4"/>
  <c r="P28" i="4"/>
  <c r="O28" i="4"/>
  <c r="N28" i="4"/>
  <c r="M28" i="4"/>
  <c r="L28" i="4"/>
  <c r="K28" i="4"/>
  <c r="J28" i="4"/>
  <c r="I28" i="4"/>
  <c r="H28" i="4"/>
  <c r="G28" i="4"/>
  <c r="F28" i="4"/>
  <c r="E28" i="4"/>
  <c r="S28" i="4"/>
  <c r="BL28" i="4"/>
  <c r="N6" i="5" l="1"/>
  <c r="R5" i="5"/>
  <c r="Q5" i="5"/>
  <c r="D5" i="4" s="1"/>
  <c r="M12" i="5"/>
  <c r="O6" i="5" l="1"/>
  <c r="P6" i="5"/>
  <c r="C6" i="4" s="1"/>
  <c r="M13" i="5"/>
  <c r="Y5" i="4"/>
  <c r="Z5" i="4"/>
  <c r="AA5" i="4"/>
  <c r="AB5" i="4"/>
  <c r="AC5" i="4"/>
  <c r="AD5" i="4"/>
  <c r="AE5" i="4"/>
  <c r="AF5" i="4"/>
  <c r="AG5" i="4"/>
  <c r="AH5" i="4"/>
  <c r="AI5" i="4"/>
  <c r="AJ5" i="4"/>
  <c r="AK5" i="4"/>
  <c r="AL5" i="4"/>
  <c r="AM5" i="4"/>
  <c r="AN5" i="4"/>
  <c r="AO5" i="4"/>
  <c r="AQ5" i="4"/>
  <c r="AR5" i="4"/>
  <c r="AS5" i="4"/>
  <c r="AT5" i="4"/>
  <c r="AU5" i="4"/>
  <c r="AV5" i="4"/>
  <c r="AW5" i="4"/>
  <c r="AX5" i="4"/>
  <c r="AY5" i="4"/>
  <c r="AZ5" i="4"/>
  <c r="BA5" i="4"/>
  <c r="BB5" i="4"/>
  <c r="BC5" i="4"/>
  <c r="BD5" i="4"/>
  <c r="BF5" i="4"/>
  <c r="BH5" i="4"/>
  <c r="BJ5" i="4"/>
  <c r="BL5" i="4"/>
  <c r="BN5" i="4"/>
  <c r="BP5" i="4"/>
  <c r="BR5" i="4"/>
  <c r="BU5" i="4"/>
  <c r="BW5" i="4"/>
  <c r="BX5" i="4"/>
  <c r="CA5" i="4"/>
  <c r="CF5" i="4"/>
  <c r="CG5" i="4"/>
  <c r="CI5" i="4"/>
  <c r="CK5" i="4"/>
  <c r="CM5" i="4"/>
  <c r="CN5" i="4"/>
  <c r="CP5" i="4"/>
  <c r="CR5" i="4"/>
  <c r="CU5" i="4"/>
  <c r="E5" i="4"/>
  <c r="F5" i="4"/>
  <c r="G5" i="4"/>
  <c r="H5" i="4"/>
  <c r="I5" i="4"/>
  <c r="J5" i="4"/>
  <c r="K5" i="4"/>
  <c r="L5" i="4"/>
  <c r="M5" i="4"/>
  <c r="N5" i="4"/>
  <c r="O5" i="4"/>
  <c r="P5" i="4"/>
  <c r="Q5" i="4"/>
  <c r="R5" i="4"/>
  <c r="S5" i="4"/>
  <c r="T5" i="4"/>
  <c r="U5" i="4"/>
  <c r="V5" i="4"/>
  <c r="W5" i="4"/>
  <c r="X5" i="4"/>
  <c r="AP5" i="4"/>
  <c r="BE5" i="4"/>
  <c r="BG5" i="4"/>
  <c r="BI5" i="4"/>
  <c r="BK5" i="4"/>
  <c r="BM5" i="4"/>
  <c r="BO5" i="4"/>
  <c r="BQ5" i="4"/>
  <c r="BS5" i="4"/>
  <c r="BT5" i="4"/>
  <c r="BV5" i="4"/>
  <c r="BY5" i="4"/>
  <c r="BZ5" i="4"/>
  <c r="CB5" i="4"/>
  <c r="CC5" i="4"/>
  <c r="CD5" i="4"/>
  <c r="CE5" i="4"/>
  <c r="CH5" i="4"/>
  <c r="CJ5" i="4"/>
  <c r="CL5" i="4"/>
  <c r="CO5" i="4"/>
  <c r="CQ5" i="4"/>
  <c r="CS5" i="4"/>
  <c r="CT5" i="4"/>
  <c r="CV5" i="4"/>
  <c r="CW5" i="4"/>
  <c r="CX5" i="4"/>
  <c r="CY5" i="4"/>
  <c r="CZ5" i="4"/>
  <c r="DA5" i="4"/>
  <c r="DB5" i="4"/>
  <c r="DC5" i="4"/>
  <c r="DD5" i="4"/>
  <c r="N7" i="5" l="1"/>
  <c r="R6" i="5"/>
  <c r="Q6" i="5"/>
  <c r="D6" i="4" s="1"/>
  <c r="M14" i="5"/>
  <c r="O7" i="5" l="1"/>
  <c r="P7" i="5"/>
  <c r="C7" i="4" s="1"/>
  <c r="M15" i="5"/>
  <c r="AG6" i="4"/>
  <c r="AH6" i="4"/>
  <c r="AI6" i="4"/>
  <c r="AJ6" i="4"/>
  <c r="AK6" i="4"/>
  <c r="AL6" i="4"/>
  <c r="AM6" i="4"/>
  <c r="AN6" i="4"/>
  <c r="AP6" i="4"/>
  <c r="AQ6" i="4"/>
  <c r="AR6" i="4"/>
  <c r="AS6" i="4"/>
  <c r="AT6" i="4"/>
  <c r="AU6" i="4"/>
  <c r="AV6" i="4"/>
  <c r="AW6" i="4"/>
  <c r="AX6" i="4"/>
  <c r="AY6" i="4"/>
  <c r="AZ6" i="4"/>
  <c r="BA6" i="4"/>
  <c r="BB6" i="4"/>
  <c r="BC6" i="4"/>
  <c r="BD6" i="4"/>
  <c r="BF6" i="4"/>
  <c r="BG6" i="4"/>
  <c r="BJ6" i="4"/>
  <c r="BL6" i="4"/>
  <c r="BN6" i="4"/>
  <c r="BO6" i="4"/>
  <c r="BR6" i="4"/>
  <c r="BT6" i="4"/>
  <c r="BU6" i="4"/>
  <c r="BV6" i="4"/>
  <c r="F6" i="4"/>
  <c r="G6" i="4"/>
  <c r="I6" i="4"/>
  <c r="K6" i="4"/>
  <c r="M6" i="4"/>
  <c r="O6" i="4"/>
  <c r="Q6" i="4"/>
  <c r="R6" i="4"/>
  <c r="T6" i="4"/>
  <c r="V6" i="4"/>
  <c r="X6" i="4"/>
  <c r="Z6" i="4"/>
  <c r="AB6" i="4"/>
  <c r="AD6" i="4"/>
  <c r="AF6" i="4"/>
  <c r="AO6" i="4"/>
  <c r="BE6" i="4"/>
  <c r="BH6" i="4"/>
  <c r="BI6" i="4"/>
  <c r="BK6" i="4"/>
  <c r="BM6" i="4"/>
  <c r="BP6" i="4"/>
  <c r="BQ6" i="4"/>
  <c r="BS6" i="4"/>
  <c r="E6" i="4"/>
  <c r="H6" i="4"/>
  <c r="J6" i="4"/>
  <c r="L6" i="4"/>
  <c r="N6" i="4"/>
  <c r="P6" i="4"/>
  <c r="S6" i="4"/>
  <c r="U6" i="4"/>
  <c r="W6" i="4"/>
  <c r="Y6" i="4"/>
  <c r="AA6" i="4"/>
  <c r="AC6" i="4"/>
  <c r="AE6" i="4"/>
  <c r="BW6" i="4"/>
  <c r="BX6" i="4"/>
  <c r="BY6" i="4"/>
  <c r="BZ6" i="4"/>
  <c r="CA6" i="4"/>
  <c r="CB6" i="4"/>
  <c r="CC6" i="4"/>
  <c r="CD6" i="4"/>
  <c r="CE6" i="4"/>
  <c r="CF6" i="4"/>
  <c r="CG6" i="4"/>
  <c r="CH6" i="4"/>
  <c r="CI6" i="4"/>
  <c r="CJ6" i="4"/>
  <c r="CK6" i="4"/>
  <c r="CL6" i="4"/>
  <c r="CM6" i="4"/>
  <c r="CN6" i="4"/>
  <c r="CO6" i="4"/>
  <c r="CP6" i="4"/>
  <c r="CQ6" i="4"/>
  <c r="CR6" i="4"/>
  <c r="CS6" i="4"/>
  <c r="CT6" i="4"/>
  <c r="CU6" i="4"/>
  <c r="CV6" i="4"/>
  <c r="CW6" i="4"/>
  <c r="CX6" i="4"/>
  <c r="CY6" i="4"/>
  <c r="CZ6" i="4"/>
  <c r="DA6" i="4"/>
  <c r="DB6" i="4"/>
  <c r="DC6" i="4"/>
  <c r="DD6" i="4"/>
  <c r="N8" i="5" l="1"/>
  <c r="R7" i="5"/>
  <c r="Q7" i="5"/>
  <c r="D7" i="4" s="1"/>
  <c r="M16" i="5"/>
  <c r="O8" i="5" l="1"/>
  <c r="P8" i="5"/>
  <c r="C8" i="4" s="1"/>
  <c r="F40" i="3"/>
  <c r="F41" i="3"/>
  <c r="F46" i="3"/>
  <c r="M17" i="5"/>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BD7" i="4"/>
  <c r="BE7" i="4"/>
  <c r="BF7" i="4"/>
  <c r="BG7" i="4"/>
  <c r="BH7" i="4"/>
  <c r="BI7" i="4"/>
  <c r="BJ7" i="4"/>
  <c r="BK7" i="4"/>
  <c r="BL7" i="4"/>
  <c r="BM7" i="4"/>
  <c r="BN7" i="4"/>
  <c r="BO7" i="4"/>
  <c r="BP7" i="4"/>
  <c r="BQ7" i="4"/>
  <c r="BR7" i="4"/>
  <c r="BS7" i="4"/>
  <c r="BT7" i="4"/>
  <c r="BU7" i="4"/>
  <c r="BV7" i="4"/>
  <c r="BW7" i="4"/>
  <c r="BX7" i="4"/>
  <c r="BY7" i="4"/>
  <c r="BZ7" i="4"/>
  <c r="CA7" i="4"/>
  <c r="CB7" i="4"/>
  <c r="CC7" i="4"/>
  <c r="CD7" i="4"/>
  <c r="E7" i="4"/>
  <c r="F7" i="4"/>
  <c r="G7" i="4"/>
  <c r="H7" i="4"/>
  <c r="I7" i="4"/>
  <c r="J7" i="4"/>
  <c r="K7" i="4"/>
  <c r="L7" i="4"/>
  <c r="M7" i="4"/>
  <c r="N7" i="4"/>
  <c r="O7" i="4"/>
  <c r="P7" i="4"/>
  <c r="Q7" i="4"/>
  <c r="R7" i="4"/>
  <c r="S7" i="4"/>
  <c r="T7" i="4"/>
  <c r="U7" i="4"/>
  <c r="V7" i="4"/>
  <c r="W7" i="4"/>
  <c r="X7" i="4"/>
  <c r="CE7" i="4"/>
  <c r="CF7" i="4"/>
  <c r="CG7" i="4"/>
  <c r="CH7" i="4"/>
  <c r="CI7" i="4"/>
  <c r="CJ7" i="4"/>
  <c r="CK7" i="4"/>
  <c r="CL7" i="4"/>
  <c r="CM7" i="4"/>
  <c r="CN7" i="4"/>
  <c r="CO7" i="4"/>
  <c r="CP7" i="4"/>
  <c r="CQ7" i="4"/>
  <c r="CR7" i="4"/>
  <c r="CS7" i="4"/>
  <c r="CT7" i="4"/>
  <c r="CU7" i="4"/>
  <c r="CV7" i="4"/>
  <c r="CW7" i="4"/>
  <c r="CX7" i="4"/>
  <c r="CY7" i="4"/>
  <c r="CZ7" i="4"/>
  <c r="DA7" i="4"/>
  <c r="DB7" i="4"/>
  <c r="DC7" i="4"/>
  <c r="DD7" i="4"/>
  <c r="N9" i="5" l="1"/>
  <c r="Q8" i="5"/>
  <c r="D8" i="4" s="1"/>
  <c r="R8" i="5"/>
  <c r="M18" i="5"/>
  <c r="F42" i="3"/>
  <c r="F43" i="3"/>
  <c r="F47" i="3"/>
  <c r="P9" i="5" l="1"/>
  <c r="C9" i="4" s="1"/>
  <c r="O9" i="5"/>
  <c r="F45" i="3"/>
  <c r="F44" i="3"/>
  <c r="M19" i="5"/>
  <c r="BL8" i="4"/>
  <c r="BM8" i="4"/>
  <c r="BN8" i="4"/>
  <c r="BO8" i="4"/>
  <c r="BP8" i="4"/>
  <c r="BQ8" i="4"/>
  <c r="BR8" i="4"/>
  <c r="BS8" i="4"/>
  <c r="AI8" i="4"/>
  <c r="AK8" i="4"/>
  <c r="AM8" i="4"/>
  <c r="AO8" i="4"/>
  <c r="AP8" i="4"/>
  <c r="AS8" i="4"/>
  <c r="AU8" i="4"/>
  <c r="AW8" i="4"/>
  <c r="AY8" i="4"/>
  <c r="BA8" i="4"/>
  <c r="BC8" i="4"/>
  <c r="BE8" i="4"/>
  <c r="BG8" i="4"/>
  <c r="BI8" i="4"/>
  <c r="BK8" i="4"/>
  <c r="BT8" i="4"/>
  <c r="BU8" i="4"/>
  <c r="BV8" i="4"/>
  <c r="BW8" i="4"/>
  <c r="BX8" i="4"/>
  <c r="BY8" i="4"/>
  <c r="BZ8" i="4"/>
  <c r="CA8" i="4"/>
  <c r="CB8" i="4"/>
  <c r="CC8" i="4"/>
  <c r="CD8" i="4"/>
  <c r="CE8" i="4"/>
  <c r="CF8" i="4"/>
  <c r="CG8" i="4"/>
  <c r="CH8" i="4"/>
  <c r="CI8" i="4"/>
  <c r="CJ8" i="4"/>
  <c r="CK8" i="4"/>
  <c r="CL8" i="4"/>
  <c r="CM8" i="4"/>
  <c r="CN8" i="4"/>
  <c r="CO8" i="4"/>
  <c r="CP8" i="4"/>
  <c r="CQ8" i="4"/>
  <c r="CR8" i="4"/>
  <c r="CS8" i="4"/>
  <c r="CT8" i="4"/>
  <c r="CU8" i="4"/>
  <c r="CW8" i="4"/>
  <c r="CX8" i="4"/>
  <c r="CY8" i="4"/>
  <c r="CZ8" i="4"/>
  <c r="DA8" i="4"/>
  <c r="DB8" i="4"/>
  <c r="DC8" i="4"/>
  <c r="DD8" i="4"/>
  <c r="E8" i="4"/>
  <c r="F8" i="4"/>
  <c r="G8" i="4"/>
  <c r="H8" i="4"/>
  <c r="I8" i="4"/>
  <c r="J8" i="4"/>
  <c r="L8" i="4"/>
  <c r="N8" i="4"/>
  <c r="P8" i="4"/>
  <c r="R8" i="4"/>
  <c r="CV8" i="4"/>
  <c r="O8" i="4"/>
  <c r="AH8" i="4"/>
  <c r="AJ8" i="4"/>
  <c r="AL8" i="4"/>
  <c r="AN8" i="4"/>
  <c r="AQ8" i="4"/>
  <c r="AR8" i="4"/>
  <c r="AT8" i="4"/>
  <c r="AV8" i="4"/>
  <c r="AX8" i="4"/>
  <c r="AZ8" i="4"/>
  <c r="BB8" i="4"/>
  <c r="BD8" i="4"/>
  <c r="BF8" i="4"/>
  <c r="BH8" i="4"/>
  <c r="BJ8" i="4"/>
  <c r="K8" i="4"/>
  <c r="M8" i="4"/>
  <c r="Q8" i="4"/>
  <c r="S8" i="4"/>
  <c r="T8" i="4"/>
  <c r="U8" i="4"/>
  <c r="V8" i="4"/>
  <c r="W8" i="4"/>
  <c r="X8" i="4"/>
  <c r="Y8" i="4"/>
  <c r="Z8" i="4"/>
  <c r="AA8" i="4"/>
  <c r="AB8" i="4"/>
  <c r="AC8" i="4"/>
  <c r="AD8" i="4"/>
  <c r="AE8" i="4"/>
  <c r="AF8" i="4"/>
  <c r="AG8" i="4"/>
  <c r="N10" i="5" l="1"/>
  <c r="Q9" i="5"/>
  <c r="D9" i="4" s="1"/>
  <c r="T9" i="4" s="1"/>
  <c r="R9" i="5"/>
  <c r="F73" i="3"/>
  <c r="M20" i="5"/>
  <c r="P10" i="5" l="1"/>
  <c r="C10" i="4" s="1"/>
  <c r="O10" i="5"/>
  <c r="F80" i="3"/>
  <c r="F79" i="3"/>
  <c r="F78" i="3"/>
  <c r="F77" i="3"/>
  <c r="M21" i="5"/>
  <c r="U9" i="4"/>
  <c r="V9"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BD9" i="4"/>
  <c r="BE9" i="4"/>
  <c r="BF9" i="4"/>
  <c r="BG9" i="4"/>
  <c r="BH9" i="4"/>
  <c r="BI9" i="4"/>
  <c r="BJ9" i="4"/>
  <c r="BK9" i="4"/>
  <c r="BL9" i="4"/>
  <c r="BM9" i="4"/>
  <c r="BN9" i="4"/>
  <c r="BO9" i="4"/>
  <c r="BP9" i="4"/>
  <c r="BQ9" i="4"/>
  <c r="BR9" i="4"/>
  <c r="E9" i="4"/>
  <c r="F9" i="4"/>
  <c r="G9" i="4"/>
  <c r="H9" i="4"/>
  <c r="I9" i="4"/>
  <c r="J9" i="4"/>
  <c r="K9" i="4"/>
  <c r="L9" i="4"/>
  <c r="M9" i="4"/>
  <c r="N9" i="4"/>
  <c r="O9" i="4"/>
  <c r="P9" i="4"/>
  <c r="Q9" i="4"/>
  <c r="R9" i="4"/>
  <c r="S9" i="4"/>
  <c r="BS9" i="4"/>
  <c r="BT9" i="4"/>
  <c r="BU9" i="4"/>
  <c r="BV9" i="4"/>
  <c r="BW9" i="4"/>
  <c r="BX9" i="4"/>
  <c r="BY9" i="4"/>
  <c r="BZ9" i="4"/>
  <c r="CA9" i="4"/>
  <c r="DB9" i="4"/>
  <c r="DD9" i="4"/>
  <c r="CB9" i="4"/>
  <c r="CC9" i="4"/>
  <c r="CD9" i="4"/>
  <c r="CE9" i="4"/>
  <c r="CF9" i="4"/>
  <c r="CG9" i="4"/>
  <c r="CH9" i="4"/>
  <c r="CI9" i="4"/>
  <c r="CJ9" i="4"/>
  <c r="CK9" i="4"/>
  <c r="CL9" i="4"/>
  <c r="CM9" i="4"/>
  <c r="CN9" i="4"/>
  <c r="CO9" i="4"/>
  <c r="CP9" i="4"/>
  <c r="CQ9" i="4"/>
  <c r="CR9" i="4"/>
  <c r="CS9" i="4"/>
  <c r="CT9" i="4"/>
  <c r="CU9" i="4"/>
  <c r="CV9" i="4"/>
  <c r="CW9" i="4"/>
  <c r="CX9" i="4"/>
  <c r="CY9" i="4"/>
  <c r="CZ9" i="4"/>
  <c r="DA9" i="4"/>
  <c r="DC9" i="4"/>
  <c r="N11" i="5" l="1"/>
  <c r="Q10" i="5"/>
  <c r="D10" i="4" s="1"/>
  <c r="R10" i="5"/>
  <c r="F62" i="3"/>
  <c r="F61" i="3"/>
  <c r="F52" i="3"/>
  <c r="F51" i="3"/>
  <c r="F50" i="3"/>
  <c r="F7" i="3"/>
  <c r="M22" i="5"/>
  <c r="O11" i="5" l="1"/>
  <c r="P11" i="5"/>
  <c r="C11" i="4" s="1"/>
  <c r="F74" i="3"/>
  <c r="F53" i="3"/>
  <c r="F49" i="3"/>
  <c r="F48" i="3"/>
  <c r="M23" i="5"/>
  <c r="E10" i="4"/>
  <c r="F10" i="4"/>
  <c r="G10" i="4"/>
  <c r="H10" i="4"/>
  <c r="I10" i="4"/>
  <c r="J10" i="4"/>
  <c r="K10" i="4"/>
  <c r="L10" i="4"/>
  <c r="M10" i="4"/>
  <c r="N10" i="4"/>
  <c r="O10" i="4"/>
  <c r="P10" i="4"/>
  <c r="Q10"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BD10" i="4"/>
  <c r="BE10" i="4"/>
  <c r="BF10" i="4"/>
  <c r="BG10" i="4"/>
  <c r="BH10" i="4"/>
  <c r="BI10" i="4"/>
  <c r="BJ10" i="4"/>
  <c r="BK10" i="4"/>
  <c r="BL10" i="4"/>
  <c r="BM10" i="4"/>
  <c r="BN10" i="4"/>
  <c r="BO10" i="4"/>
  <c r="BP10" i="4"/>
  <c r="BQ10" i="4"/>
  <c r="BR10" i="4"/>
  <c r="BS10" i="4"/>
  <c r="BT10" i="4"/>
  <c r="BU10" i="4"/>
  <c r="BV10" i="4"/>
  <c r="BX10" i="4"/>
  <c r="BY10" i="4"/>
  <c r="BZ10" i="4"/>
  <c r="CA10" i="4"/>
  <c r="CB10" i="4"/>
  <c r="CC10" i="4"/>
  <c r="CD10" i="4"/>
  <c r="CE10" i="4"/>
  <c r="CF10" i="4"/>
  <c r="CG10" i="4"/>
  <c r="CH10" i="4"/>
  <c r="CI10" i="4"/>
  <c r="CJ10" i="4"/>
  <c r="CK10" i="4"/>
  <c r="CL10" i="4"/>
  <c r="CM10" i="4"/>
  <c r="CO10" i="4"/>
  <c r="CP10" i="4"/>
  <c r="CQ10" i="4"/>
  <c r="CR10" i="4"/>
  <c r="CS10" i="4"/>
  <c r="CT10" i="4"/>
  <c r="CU10" i="4"/>
  <c r="CV10" i="4"/>
  <c r="CW10" i="4"/>
  <c r="BW10" i="4"/>
  <c r="CN10" i="4"/>
  <c r="CX10" i="4"/>
  <c r="CY10" i="4"/>
  <c r="CZ10" i="4"/>
  <c r="DA10" i="4"/>
  <c r="DB10" i="4"/>
  <c r="DC10" i="4"/>
  <c r="DD10" i="4"/>
  <c r="N12" i="5" l="1"/>
  <c r="Q11" i="5"/>
  <c r="D11" i="4" s="1"/>
  <c r="R11" i="5"/>
  <c r="F54" i="3"/>
  <c r="M24" i="5"/>
  <c r="O12" i="5" l="1"/>
  <c r="P12" i="5"/>
  <c r="C12" i="4" s="1"/>
  <c r="F69" i="3"/>
  <c r="F68" i="3"/>
  <c r="F64" i="3"/>
  <c r="F63" i="3"/>
  <c r="M25" i="5"/>
  <c r="E11" i="4"/>
  <c r="F11" i="4"/>
  <c r="G11" i="4"/>
  <c r="H11" i="4"/>
  <c r="I11" i="4"/>
  <c r="J11" i="4"/>
  <c r="K11" i="4"/>
  <c r="L11" i="4"/>
  <c r="M11" i="4"/>
  <c r="N11" i="4"/>
  <c r="O11" i="4"/>
  <c r="P11" i="4"/>
  <c r="Q11" i="4"/>
  <c r="R11" i="4"/>
  <c r="S11" i="4"/>
  <c r="T11" i="4"/>
  <c r="U11" i="4"/>
  <c r="V11"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BD11" i="4"/>
  <c r="BE11" i="4"/>
  <c r="BF11" i="4"/>
  <c r="BG11" i="4"/>
  <c r="BH11" i="4"/>
  <c r="BI11" i="4"/>
  <c r="BJ11" i="4"/>
  <c r="BK11" i="4"/>
  <c r="BL11" i="4"/>
  <c r="BM11" i="4"/>
  <c r="BN11" i="4"/>
  <c r="BO11" i="4"/>
  <c r="BP11" i="4"/>
  <c r="BQ11" i="4"/>
  <c r="BR11" i="4"/>
  <c r="BS11" i="4"/>
  <c r="BT11" i="4"/>
  <c r="BU11" i="4"/>
  <c r="BV11" i="4"/>
  <c r="BW11" i="4"/>
  <c r="BX11" i="4"/>
  <c r="BY11" i="4"/>
  <c r="BZ11" i="4"/>
  <c r="CA11" i="4"/>
  <c r="CB11" i="4"/>
  <c r="CD11" i="4"/>
  <c r="CE11" i="4"/>
  <c r="CG11" i="4"/>
  <c r="CH11" i="4"/>
  <c r="CJ11" i="4"/>
  <c r="CL11" i="4"/>
  <c r="CN11" i="4"/>
  <c r="CO11" i="4"/>
  <c r="CP11" i="4"/>
  <c r="CQ11" i="4"/>
  <c r="CR11" i="4"/>
  <c r="CS11" i="4"/>
  <c r="CT11" i="4"/>
  <c r="CU11" i="4"/>
  <c r="CV11" i="4"/>
  <c r="CC11" i="4"/>
  <c r="CF11" i="4"/>
  <c r="CI11" i="4"/>
  <c r="CK11" i="4"/>
  <c r="CM11" i="4"/>
  <c r="CW11" i="4"/>
  <c r="CX11" i="4"/>
  <c r="CY11" i="4"/>
  <c r="CZ11" i="4"/>
  <c r="DA11" i="4"/>
  <c r="DB11" i="4"/>
  <c r="DC11" i="4"/>
  <c r="DD11" i="4"/>
  <c r="N13" i="5" l="1"/>
  <c r="Q12" i="5"/>
  <c r="D12" i="4" s="1"/>
  <c r="R12" i="5"/>
  <c r="F71" i="3"/>
  <c r="F67" i="3"/>
  <c r="M26" i="5"/>
  <c r="O13" i="5" l="1"/>
  <c r="P13" i="5"/>
  <c r="C13" i="4" s="1"/>
  <c r="F75" i="3"/>
  <c r="F72" i="3"/>
  <c r="M27" i="5"/>
  <c r="H12" i="4"/>
  <c r="I12" i="4"/>
  <c r="J12" i="4"/>
  <c r="K12" i="4"/>
  <c r="L12" i="4"/>
  <c r="M12" i="4"/>
  <c r="N12" i="4"/>
  <c r="O12" i="4"/>
  <c r="P12" i="4"/>
  <c r="Q12" i="4"/>
  <c r="R12" i="4"/>
  <c r="S12" i="4"/>
  <c r="T12"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BF12" i="4"/>
  <c r="BG12" i="4"/>
  <c r="BH12" i="4"/>
  <c r="BI12" i="4"/>
  <c r="BJ12" i="4"/>
  <c r="BK12" i="4"/>
  <c r="BL12" i="4"/>
  <c r="BM12" i="4"/>
  <c r="BN12" i="4"/>
  <c r="BO12" i="4"/>
  <c r="CE12" i="4"/>
  <c r="CH12" i="4"/>
  <c r="CK12" i="4"/>
  <c r="CM12" i="4"/>
  <c r="CP12" i="4"/>
  <c r="CS12" i="4"/>
  <c r="CU12" i="4"/>
  <c r="CW12" i="4"/>
  <c r="CY12" i="4"/>
  <c r="DA12" i="4"/>
  <c r="DC12" i="4"/>
  <c r="E12" i="4"/>
  <c r="F12" i="4"/>
  <c r="G12" i="4"/>
  <c r="BP12" i="4"/>
  <c r="BQ12" i="4"/>
  <c r="BR12" i="4"/>
  <c r="BS12" i="4"/>
  <c r="BT12" i="4"/>
  <c r="BU12" i="4"/>
  <c r="BV12" i="4"/>
  <c r="BW12" i="4"/>
  <c r="BX12" i="4"/>
  <c r="BY12" i="4"/>
  <c r="BZ12" i="4"/>
  <c r="CA12" i="4"/>
  <c r="CB12" i="4"/>
  <c r="CC12" i="4"/>
  <c r="CD12" i="4"/>
  <c r="CF12" i="4"/>
  <c r="CG12" i="4"/>
  <c r="CI12" i="4"/>
  <c r="CJ12" i="4"/>
  <c r="CL12" i="4"/>
  <c r="CN12" i="4"/>
  <c r="CO12" i="4"/>
  <c r="CQ12" i="4"/>
  <c r="CR12" i="4"/>
  <c r="CT12" i="4"/>
  <c r="CV12" i="4"/>
  <c r="CX12" i="4"/>
  <c r="CZ12" i="4"/>
  <c r="DB12" i="4"/>
  <c r="DD12" i="4"/>
  <c r="K24" i="9" l="1"/>
  <c r="N14" i="5"/>
  <c r="R13" i="5"/>
  <c r="Q13" i="5"/>
  <c r="D13" i="4" s="1"/>
  <c r="F76" i="3"/>
  <c r="M29" i="5"/>
  <c r="O14" i="5" l="1"/>
  <c r="P14" i="5"/>
  <c r="C14" i="4" s="1"/>
  <c r="N29" i="5"/>
  <c r="M30" i="5"/>
  <c r="J13" i="4"/>
  <c r="K13" i="4"/>
  <c r="L13" i="4"/>
  <c r="M13" i="4"/>
  <c r="N13" i="4"/>
  <c r="O13" i="4"/>
  <c r="P13" i="4"/>
  <c r="Q13" i="4"/>
  <c r="R13" i="4"/>
  <c r="S13" i="4"/>
  <c r="T13" i="4"/>
  <c r="U13" i="4"/>
  <c r="V13"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BF13" i="4"/>
  <c r="BG13" i="4"/>
  <c r="BH13" i="4"/>
  <c r="BI13" i="4"/>
  <c r="BJ13" i="4"/>
  <c r="BK13" i="4"/>
  <c r="BL13" i="4"/>
  <c r="E13" i="4"/>
  <c r="F13" i="4"/>
  <c r="G13" i="4"/>
  <c r="H13" i="4"/>
  <c r="I13" i="4"/>
  <c r="BM13" i="4"/>
  <c r="BN13" i="4"/>
  <c r="BO13" i="4"/>
  <c r="BP13" i="4"/>
  <c r="BQ13" i="4"/>
  <c r="BR13" i="4"/>
  <c r="BS13" i="4"/>
  <c r="BT13" i="4"/>
  <c r="BU13" i="4"/>
  <c r="BV13" i="4"/>
  <c r="BW13" i="4"/>
  <c r="BX13" i="4"/>
  <c r="BY13" i="4"/>
  <c r="BZ13" i="4"/>
  <c r="CA13" i="4"/>
  <c r="CB13" i="4"/>
  <c r="CC13" i="4"/>
  <c r="CD13" i="4"/>
  <c r="CE13" i="4"/>
  <c r="CF13" i="4"/>
  <c r="CG13" i="4"/>
  <c r="CH13" i="4"/>
  <c r="CI13" i="4"/>
  <c r="CJ13" i="4"/>
  <c r="CK13" i="4"/>
  <c r="CL13" i="4"/>
  <c r="CM13" i="4"/>
  <c r="CN13" i="4"/>
  <c r="CO13" i="4"/>
  <c r="CP13" i="4"/>
  <c r="CQ13" i="4"/>
  <c r="CR13" i="4"/>
  <c r="CS13" i="4"/>
  <c r="CT13" i="4"/>
  <c r="CU13" i="4"/>
  <c r="CV13" i="4"/>
  <c r="CW13" i="4"/>
  <c r="CX13" i="4"/>
  <c r="CY13" i="4"/>
  <c r="CZ13" i="4"/>
  <c r="DA13" i="4"/>
  <c r="DB13" i="4"/>
  <c r="DC13" i="4"/>
  <c r="DD13" i="4"/>
  <c r="N15" i="5" l="1"/>
  <c r="R14" i="5"/>
  <c r="Q14" i="5"/>
  <c r="D14" i="4" s="1"/>
  <c r="M31" i="5"/>
  <c r="P29" i="5"/>
  <c r="C29" i="4" s="1"/>
  <c r="O29" i="5"/>
  <c r="N30" i="5" s="1"/>
  <c r="P15" i="5" l="1"/>
  <c r="C15" i="4" s="1"/>
  <c r="O15" i="5"/>
  <c r="M32" i="5"/>
  <c r="Q29" i="5"/>
  <c r="D29" i="4" s="1"/>
  <c r="R29" i="5"/>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BF14" i="4"/>
  <c r="BG14" i="4"/>
  <c r="BH14" i="4"/>
  <c r="BI14" i="4"/>
  <c r="BJ14" i="4"/>
  <c r="BK14" i="4"/>
  <c r="BL14" i="4"/>
  <c r="BM14" i="4"/>
  <c r="BN14" i="4"/>
  <c r="BO14" i="4"/>
  <c r="BP14" i="4"/>
  <c r="BQ14" i="4"/>
  <c r="BR14" i="4"/>
  <c r="BS14" i="4"/>
  <c r="BT14" i="4"/>
  <c r="BU14" i="4"/>
  <c r="BV14" i="4"/>
  <c r="BW14" i="4"/>
  <c r="BX14" i="4"/>
  <c r="CD14" i="4"/>
  <c r="CF14" i="4"/>
  <c r="CH14" i="4"/>
  <c r="CJ14" i="4"/>
  <c r="CL14" i="4"/>
  <c r="CN14" i="4"/>
  <c r="BY14" i="4"/>
  <c r="BZ14" i="4"/>
  <c r="CA14" i="4"/>
  <c r="CB14" i="4"/>
  <c r="CC14" i="4"/>
  <c r="CE14" i="4"/>
  <c r="CG14" i="4"/>
  <c r="CI14" i="4"/>
  <c r="CK14" i="4"/>
  <c r="CM14" i="4"/>
  <c r="CO14" i="4"/>
  <c r="E14" i="4"/>
  <c r="F14" i="4"/>
  <c r="G14" i="4"/>
  <c r="H14" i="4"/>
  <c r="I14" i="4"/>
  <c r="J14" i="4"/>
  <c r="K14" i="4"/>
  <c r="L14" i="4"/>
  <c r="M14" i="4"/>
  <c r="N14" i="4"/>
  <c r="O14" i="4"/>
  <c r="P14" i="4"/>
  <c r="Q14" i="4"/>
  <c r="R14" i="4"/>
  <c r="S14" i="4"/>
  <c r="T14" i="4"/>
  <c r="U14" i="4"/>
  <c r="V14" i="4"/>
  <c r="W14" i="4"/>
  <c r="X14" i="4"/>
  <c r="CP14" i="4"/>
  <c r="CQ14" i="4"/>
  <c r="CR14" i="4"/>
  <c r="CS14" i="4"/>
  <c r="CT14" i="4"/>
  <c r="CU14" i="4"/>
  <c r="CV14" i="4"/>
  <c r="CW14" i="4"/>
  <c r="CX14" i="4"/>
  <c r="CY14" i="4"/>
  <c r="CZ14" i="4"/>
  <c r="DA14" i="4"/>
  <c r="DB14" i="4"/>
  <c r="DC14" i="4"/>
  <c r="DD14" i="4"/>
  <c r="O30" i="5"/>
  <c r="N31" i="5" s="1"/>
  <c r="P30" i="5"/>
  <c r="C30" i="4" s="1"/>
  <c r="BY29" i="4" l="1"/>
  <c r="BX29" i="4"/>
  <c r="BW29" i="4"/>
  <c r="BV29" i="4"/>
  <c r="BU29" i="4"/>
  <c r="N16" i="5"/>
  <c r="R15" i="5"/>
  <c r="Q15" i="5"/>
  <c r="D15" i="4" s="1"/>
  <c r="M33" i="5"/>
  <c r="K26" i="9" s="1"/>
  <c r="Q30" i="5"/>
  <c r="D30" i="4" s="1"/>
  <c r="R30" i="5"/>
  <c r="P31" i="5"/>
  <c r="C31" i="4" s="1"/>
  <c r="O31" i="5"/>
  <c r="N32" i="5" s="1"/>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D29" i="4"/>
  <c r="DC29" i="4"/>
  <c r="DB29" i="4"/>
  <c r="DA29" i="4"/>
  <c r="CZ29" i="4"/>
  <c r="CY29" i="4"/>
  <c r="CX29" i="4"/>
  <c r="CW29" i="4"/>
  <c r="CV29" i="4"/>
  <c r="CU29" i="4"/>
  <c r="CT29" i="4"/>
  <c r="CS29" i="4"/>
  <c r="CR29" i="4"/>
  <c r="CQ29" i="4"/>
  <c r="CP29" i="4"/>
  <c r="CO29" i="4"/>
  <c r="CN29" i="4"/>
  <c r="CM29" i="4"/>
  <c r="CL29" i="4"/>
  <c r="CK29" i="4"/>
  <c r="CJ29" i="4"/>
  <c r="CI29" i="4"/>
  <c r="CH29" i="4"/>
  <c r="CG29" i="4"/>
  <c r="CF29" i="4"/>
  <c r="CE29" i="4"/>
  <c r="CD29" i="4"/>
  <c r="CC29" i="4"/>
  <c r="CB29" i="4"/>
  <c r="CA29" i="4"/>
  <c r="BZ29" i="4"/>
  <c r="O16" i="5" l="1"/>
  <c r="P16" i="5"/>
  <c r="C16" i="4" s="1"/>
  <c r="M37" i="5"/>
  <c r="R31" i="5"/>
  <c r="Q31" i="5"/>
  <c r="D31" i="4" s="1"/>
  <c r="Q15" i="4"/>
  <c r="CH15" i="4"/>
  <c r="CT15" i="4"/>
  <c r="F15" i="4"/>
  <c r="H15" i="4"/>
  <c r="J15" i="4"/>
  <c r="L15" i="4"/>
  <c r="N15" i="4"/>
  <c r="P15" i="4"/>
  <c r="R15" i="4"/>
  <c r="T15" i="4"/>
  <c r="V15" i="4"/>
  <c r="X15" i="4"/>
  <c r="Z15" i="4"/>
  <c r="AB15" i="4"/>
  <c r="AD15" i="4"/>
  <c r="AH15" i="4"/>
  <c r="AJ15" i="4"/>
  <c r="AL15" i="4"/>
  <c r="AN15" i="4"/>
  <c r="AP15" i="4"/>
  <c r="AR15" i="4"/>
  <c r="AT15" i="4"/>
  <c r="AV15" i="4"/>
  <c r="AX15" i="4"/>
  <c r="AZ15" i="4"/>
  <c r="AF15" i="4"/>
  <c r="BB15" i="4"/>
  <c r="BD15" i="4"/>
  <c r="BE15" i="4"/>
  <c r="BG15" i="4"/>
  <c r="BI15" i="4"/>
  <c r="BJ15" i="4"/>
  <c r="BL15" i="4"/>
  <c r="BN15" i="4"/>
  <c r="BP15" i="4"/>
  <c r="BS15" i="4"/>
  <c r="BU15" i="4"/>
  <c r="BW15" i="4"/>
  <c r="BZ15" i="4"/>
  <c r="CB15" i="4"/>
  <c r="CD15" i="4"/>
  <c r="CF15" i="4"/>
  <c r="CJ15" i="4"/>
  <c r="CM15" i="4"/>
  <c r="CO15" i="4"/>
  <c r="E15" i="4"/>
  <c r="G15" i="4"/>
  <c r="I15" i="4"/>
  <c r="K15" i="4"/>
  <c r="M15" i="4"/>
  <c r="O15" i="4"/>
  <c r="CQ15" i="4"/>
  <c r="S15" i="4"/>
  <c r="U15" i="4"/>
  <c r="W15" i="4"/>
  <c r="Y15" i="4"/>
  <c r="AA15" i="4"/>
  <c r="AC15" i="4"/>
  <c r="AE15" i="4"/>
  <c r="AG15" i="4"/>
  <c r="AI15" i="4"/>
  <c r="AK15" i="4"/>
  <c r="AM15" i="4"/>
  <c r="AO15" i="4"/>
  <c r="AQ15" i="4"/>
  <c r="AS15" i="4"/>
  <c r="AU15" i="4"/>
  <c r="AW15" i="4"/>
  <c r="AY15" i="4"/>
  <c r="BA15" i="4"/>
  <c r="BC15" i="4"/>
  <c r="BF15" i="4"/>
  <c r="BH15" i="4"/>
  <c r="BK15" i="4"/>
  <c r="BM15" i="4"/>
  <c r="BO15" i="4"/>
  <c r="BQ15" i="4"/>
  <c r="BR15" i="4"/>
  <c r="BT15" i="4"/>
  <c r="BV15" i="4"/>
  <c r="BX15" i="4"/>
  <c r="BY15" i="4"/>
  <c r="CA15" i="4"/>
  <c r="CC15" i="4"/>
  <c r="CE15" i="4"/>
  <c r="CG15" i="4"/>
  <c r="CI15" i="4"/>
  <c r="CL15" i="4"/>
  <c r="CN15" i="4"/>
  <c r="CR15" i="4"/>
  <c r="CS15" i="4"/>
  <c r="CV15" i="4"/>
  <c r="CY15" i="4"/>
  <c r="DB15" i="4"/>
  <c r="CU15" i="4"/>
  <c r="CX15" i="4"/>
  <c r="DA15" i="4"/>
  <c r="DC15" i="4"/>
  <c r="CK15" i="4"/>
  <c r="CP15" i="4"/>
  <c r="CW15" i="4"/>
  <c r="CZ15" i="4"/>
  <c r="DD15" i="4"/>
  <c r="O32" i="5"/>
  <c r="N33" i="5" s="1"/>
  <c r="P32" i="5"/>
  <c r="C32" i="4" s="1"/>
  <c r="CG30" i="4"/>
  <c r="CF30" i="4"/>
  <c r="CE30" i="4"/>
  <c r="CD30" i="4"/>
  <c r="CC30" i="4"/>
  <c r="CB30" i="4"/>
  <c r="CA30" i="4"/>
  <c r="BZ30" i="4"/>
  <c r="BW30" i="4"/>
  <c r="BT30" i="4"/>
  <c r="BQ30" i="4"/>
  <c r="BM30" i="4"/>
  <c r="BK30" i="4"/>
  <c r="BH30" i="4"/>
  <c r="BE30" i="4"/>
  <c r="BB30" i="4"/>
  <c r="AY30" i="4"/>
  <c r="AV30" i="4"/>
  <c r="AT30" i="4"/>
  <c r="AQ30" i="4"/>
  <c r="AN30" i="4"/>
  <c r="AK30" i="4"/>
  <c r="AF30" i="4"/>
  <c r="Z30" i="4"/>
  <c r="W30" i="4"/>
  <c r="U30" i="4"/>
  <c r="Q30" i="4"/>
  <c r="BX30" i="4"/>
  <c r="BU30" i="4"/>
  <c r="BR30" i="4"/>
  <c r="BO30" i="4"/>
  <c r="BL30" i="4"/>
  <c r="BJ30" i="4"/>
  <c r="BF30" i="4"/>
  <c r="BC30" i="4"/>
  <c r="AZ30" i="4"/>
  <c r="AX30" i="4"/>
  <c r="AU30" i="4"/>
  <c r="AS30" i="4"/>
  <c r="AO30" i="4"/>
  <c r="AL30" i="4"/>
  <c r="AI30" i="4"/>
  <c r="AC30" i="4"/>
  <c r="AH30" i="4"/>
  <c r="AE30" i="4"/>
  <c r="AA30" i="4"/>
  <c r="X30" i="4"/>
  <c r="V30" i="4"/>
  <c r="S30" i="4"/>
  <c r="R30" i="4"/>
  <c r="P30" i="4"/>
  <c r="O30" i="4"/>
  <c r="N30" i="4"/>
  <c r="J30" i="4"/>
  <c r="I30" i="4"/>
  <c r="H30" i="4"/>
  <c r="G30" i="4"/>
  <c r="F30" i="4"/>
  <c r="E30" i="4"/>
  <c r="BY30" i="4"/>
  <c r="BN30" i="4"/>
  <c r="BI30" i="4"/>
  <c r="BG30" i="4"/>
  <c r="BD30" i="4"/>
  <c r="BA30" i="4"/>
  <c r="AW30" i="4"/>
  <c r="AR30" i="4"/>
  <c r="AP30" i="4"/>
  <c r="AM30" i="4"/>
  <c r="AJ30" i="4"/>
  <c r="AG30" i="4"/>
  <c r="AD30" i="4"/>
  <c r="AB30" i="4"/>
  <c r="Y30" i="4"/>
  <c r="T30" i="4"/>
  <c r="BV30" i="4"/>
  <c r="BS30" i="4"/>
  <c r="CJ30" i="4"/>
  <c r="BP30" i="4"/>
  <c r="L30" i="4"/>
  <c r="M30" i="4"/>
  <c r="CI30" i="4"/>
  <c r="CH30" i="4"/>
  <c r="K30" i="4"/>
  <c r="DD30" i="4"/>
  <c r="DC30" i="4"/>
  <c r="DB30" i="4"/>
  <c r="DA30" i="4"/>
  <c r="CZ30" i="4"/>
  <c r="CY30" i="4"/>
  <c r="CX30" i="4"/>
  <c r="CW30" i="4"/>
  <c r="CV30" i="4"/>
  <c r="CU30" i="4"/>
  <c r="CT30" i="4"/>
  <c r="CS30" i="4"/>
  <c r="CR30" i="4"/>
  <c r="CQ30" i="4"/>
  <c r="CP30" i="4"/>
  <c r="CO30" i="4"/>
  <c r="CN30" i="4"/>
  <c r="CM30" i="4"/>
  <c r="CL30" i="4"/>
  <c r="CK30" i="4"/>
  <c r="N17" i="5" l="1"/>
  <c r="R16" i="5"/>
  <c r="Q16" i="5"/>
  <c r="D16" i="4" s="1"/>
  <c r="N37" i="5"/>
  <c r="M38" i="5"/>
  <c r="R32" i="5"/>
  <c r="Q32" i="5"/>
  <c r="D32" i="4" s="1"/>
  <c r="P33" i="5"/>
  <c r="C33" i="4" s="1"/>
  <c r="O33" i="5"/>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D31" i="4"/>
  <c r="DC31" i="4"/>
  <c r="DB31" i="4"/>
  <c r="DA31" i="4"/>
  <c r="CZ31" i="4"/>
  <c r="CY31" i="4"/>
  <c r="CX31" i="4"/>
  <c r="CW31" i="4"/>
  <c r="CV31" i="4"/>
  <c r="CU31" i="4"/>
  <c r="CT31" i="4"/>
  <c r="CS31" i="4"/>
  <c r="CR31" i="4"/>
  <c r="CQ31" i="4"/>
  <c r="CP31" i="4"/>
  <c r="CO31" i="4"/>
  <c r="CN31" i="4"/>
  <c r="CM31" i="4"/>
  <c r="CL31" i="4"/>
  <c r="CK31" i="4"/>
  <c r="CJ31" i="4"/>
  <c r="CI31" i="4"/>
  <c r="CH31" i="4"/>
  <c r="CG31" i="4"/>
  <c r="CF31" i="4"/>
  <c r="CE31" i="4"/>
  <c r="CD31" i="4"/>
  <c r="CC31" i="4"/>
  <c r="CB31" i="4"/>
  <c r="CA31" i="4"/>
  <c r="BZ31" i="4"/>
  <c r="BY31" i="4"/>
  <c r="BX31" i="4"/>
  <c r="BW31" i="4"/>
  <c r="BV31" i="4"/>
  <c r="BU31" i="4"/>
  <c r="BT31" i="4"/>
  <c r="BS31" i="4"/>
  <c r="BR31" i="4"/>
  <c r="BQ31" i="4"/>
  <c r="BP31" i="4"/>
  <c r="BO31" i="4"/>
  <c r="BN31" i="4"/>
  <c r="BM31" i="4"/>
  <c r="BL31" i="4"/>
  <c r="BK31" i="4"/>
  <c r="BJ31" i="4"/>
  <c r="BI31" i="4"/>
  <c r="BH31" i="4"/>
  <c r="BG31" i="4"/>
  <c r="BF31" i="4"/>
  <c r="BE31" i="4"/>
  <c r="BD31" i="4"/>
  <c r="BC31" i="4"/>
  <c r="BB31" i="4"/>
  <c r="BA31" i="4"/>
  <c r="AZ31" i="4"/>
  <c r="AY31" i="4"/>
  <c r="AX31" i="4"/>
  <c r="CG16" i="4" l="1"/>
  <c r="CJ16" i="4"/>
  <c r="CL16" i="4"/>
  <c r="CP16" i="4"/>
  <c r="CU16" i="4"/>
  <c r="CX16" i="4"/>
  <c r="CZ16" i="4"/>
  <c r="CE16" i="4"/>
  <c r="CN16" i="4"/>
  <c r="CS16" i="4"/>
  <c r="CW16" i="4"/>
  <c r="CY16" i="4"/>
  <c r="O37" i="5"/>
  <c r="N38" i="5" s="1"/>
  <c r="P37" i="5"/>
  <c r="C37" i="4" s="1"/>
  <c r="DA16" i="4"/>
  <c r="DB16" i="4"/>
  <c r="DC16" i="4"/>
  <c r="DD16" i="4"/>
  <c r="E16" i="4"/>
  <c r="F16" i="4"/>
  <c r="G16" i="4"/>
  <c r="H16" i="4"/>
  <c r="I16" i="4"/>
  <c r="J16" i="4"/>
  <c r="K16" i="4"/>
  <c r="L16" i="4"/>
  <c r="M16" i="4"/>
  <c r="N16" i="4"/>
  <c r="O16" i="4"/>
  <c r="P16" i="4"/>
  <c r="Q16" i="4"/>
  <c r="R16" i="4"/>
  <c r="S16" i="4"/>
  <c r="T16" i="4"/>
  <c r="U16" i="4"/>
  <c r="V16" i="4"/>
  <c r="W16" i="4"/>
  <c r="X16" i="4"/>
  <c r="Y16" i="4"/>
  <c r="Z16" i="4"/>
  <c r="AA16" i="4"/>
  <c r="AB16" i="4"/>
  <c r="AC16" i="4"/>
  <c r="AD16" i="4"/>
  <c r="AE16" i="4"/>
  <c r="H32" i="4"/>
  <c r="I32" i="4"/>
  <c r="J32" i="4"/>
  <c r="K32" i="4"/>
  <c r="L32" i="4"/>
  <c r="M32" i="4"/>
  <c r="N32" i="4"/>
  <c r="O32" i="4"/>
  <c r="P32" i="4"/>
  <c r="Q32" i="4"/>
  <c r="R32" i="4"/>
  <c r="S32" i="4"/>
  <c r="T32" i="4"/>
  <c r="U32" i="4"/>
  <c r="V32" i="4"/>
  <c r="W32" i="4"/>
  <c r="X32" i="4"/>
  <c r="Y32" i="4"/>
  <c r="Z32" i="4"/>
  <c r="AA32" i="4"/>
  <c r="AB32" i="4"/>
  <c r="AC32" i="4"/>
  <c r="AD32" i="4"/>
  <c r="AE32" i="4"/>
  <c r="AF32" i="4"/>
  <c r="AG32" i="4"/>
  <c r="AH32" i="4"/>
  <c r="AI32" i="4"/>
  <c r="AJ32" i="4"/>
  <c r="AK32" i="4"/>
  <c r="AL32" i="4"/>
  <c r="AM32" i="4"/>
  <c r="AN32" i="4"/>
  <c r="AO32" i="4"/>
  <c r="AP32" i="4"/>
  <c r="AQ32" i="4"/>
  <c r="AR32" i="4"/>
  <c r="AS32" i="4"/>
  <c r="AT32" i="4"/>
  <c r="AU32" i="4"/>
  <c r="AV32" i="4"/>
  <c r="AW32" i="4"/>
  <c r="AX32" i="4"/>
  <c r="AY32" i="4"/>
  <c r="AZ32" i="4"/>
  <c r="BA32" i="4"/>
  <c r="BB32" i="4"/>
  <c r="BC32" i="4"/>
  <c r="BD32" i="4"/>
  <c r="BE32" i="4"/>
  <c r="BF32" i="4"/>
  <c r="BG32" i="4"/>
  <c r="BH32" i="4"/>
  <c r="BI32" i="4"/>
  <c r="BJ32" i="4"/>
  <c r="BK32" i="4"/>
  <c r="BL32" i="4"/>
  <c r="BM32" i="4"/>
  <c r="BN32" i="4"/>
  <c r="BO32" i="4"/>
  <c r="BP32" i="4"/>
  <c r="BQ32" i="4"/>
  <c r="BR32" i="4"/>
  <c r="BS32" i="4"/>
  <c r="BT32" i="4"/>
  <c r="BU32" i="4"/>
  <c r="P17" i="5"/>
  <c r="C17" i="4" s="1"/>
  <c r="O17" i="5"/>
  <c r="M39" i="5"/>
  <c r="R33" i="5"/>
  <c r="Q33" i="5"/>
  <c r="D33" i="4" s="1"/>
  <c r="AF16" i="4"/>
  <c r="AG16" i="4"/>
  <c r="AH16" i="4"/>
  <c r="AI16" i="4"/>
  <c r="AJ16" i="4"/>
  <c r="AK16" i="4"/>
  <c r="AL16" i="4"/>
  <c r="AM16" i="4"/>
  <c r="AN16" i="4"/>
  <c r="AO16" i="4"/>
  <c r="AP16" i="4"/>
  <c r="AQ16" i="4"/>
  <c r="AR16" i="4"/>
  <c r="AS16" i="4"/>
  <c r="AT16" i="4"/>
  <c r="AU16" i="4"/>
  <c r="AV16" i="4"/>
  <c r="AW16" i="4"/>
  <c r="AX16" i="4"/>
  <c r="AY16" i="4"/>
  <c r="AZ16" i="4"/>
  <c r="BA16" i="4"/>
  <c r="BB16" i="4"/>
  <c r="CR16" i="4"/>
  <c r="CT16" i="4"/>
  <c r="CV16" i="4"/>
  <c r="BC16" i="4"/>
  <c r="BD16" i="4"/>
  <c r="BE16" i="4"/>
  <c r="BF16" i="4"/>
  <c r="BG16" i="4"/>
  <c r="BH16" i="4"/>
  <c r="BI16" i="4"/>
  <c r="BJ16" i="4"/>
  <c r="BK16" i="4"/>
  <c r="BL16" i="4"/>
  <c r="BM16" i="4"/>
  <c r="BN16" i="4"/>
  <c r="BO16" i="4"/>
  <c r="BP16" i="4"/>
  <c r="BQ16" i="4"/>
  <c r="BR16" i="4"/>
  <c r="BS16" i="4"/>
  <c r="BT16" i="4"/>
  <c r="BU16" i="4"/>
  <c r="BV16" i="4"/>
  <c r="BW16" i="4"/>
  <c r="BX16" i="4"/>
  <c r="BY16" i="4"/>
  <c r="BZ16" i="4"/>
  <c r="CA16" i="4"/>
  <c r="CB16" i="4"/>
  <c r="CC16" i="4"/>
  <c r="CD16" i="4"/>
  <c r="CF16" i="4"/>
  <c r="CH16" i="4"/>
  <c r="CI16" i="4"/>
  <c r="CK16" i="4"/>
  <c r="CM16" i="4"/>
  <c r="CO16" i="4"/>
  <c r="CQ16" i="4"/>
  <c r="E32" i="4"/>
  <c r="F32" i="4"/>
  <c r="G32" i="4"/>
  <c r="BV32" i="4"/>
  <c r="BW32" i="4"/>
  <c r="BX32" i="4"/>
  <c r="BY32" i="4"/>
  <c r="BZ32" i="4"/>
  <c r="CA32" i="4"/>
  <c r="CB32" i="4"/>
  <c r="CC32" i="4"/>
  <c r="CD32" i="4"/>
  <c r="CE32" i="4"/>
  <c r="CF32" i="4"/>
  <c r="CG32" i="4"/>
  <c r="CH32" i="4"/>
  <c r="CI32" i="4"/>
  <c r="CJ32" i="4"/>
  <c r="CK32" i="4"/>
  <c r="CL32" i="4"/>
  <c r="CM32" i="4"/>
  <c r="CN32" i="4"/>
  <c r="CO32" i="4"/>
  <c r="CP32" i="4"/>
  <c r="CQ32" i="4"/>
  <c r="CR32" i="4"/>
  <c r="CS32" i="4"/>
  <c r="CT32" i="4"/>
  <c r="CU32" i="4"/>
  <c r="CV32" i="4"/>
  <c r="CW32" i="4"/>
  <c r="CX32" i="4"/>
  <c r="CY32" i="4"/>
  <c r="CZ32" i="4"/>
  <c r="DA32" i="4"/>
  <c r="DB32" i="4"/>
  <c r="DC32" i="4"/>
  <c r="DD32" i="4"/>
  <c r="R37" i="5" l="1"/>
  <c r="Q37" i="5"/>
  <c r="D37" i="4" s="1"/>
  <c r="N18" i="5"/>
  <c r="Q17" i="5"/>
  <c r="D17" i="4" s="1"/>
  <c r="R17" i="5"/>
  <c r="M40" i="5"/>
  <c r="O38" i="5"/>
  <c r="P38" i="5"/>
  <c r="C38" i="4" s="1"/>
  <c r="AO33" i="4"/>
  <c r="AT33" i="4"/>
  <c r="AV33" i="4"/>
  <c r="AW33" i="4"/>
  <c r="AX33" i="4"/>
  <c r="AY33" i="4"/>
  <c r="AZ33" i="4"/>
  <c r="BA33" i="4"/>
  <c r="BB33" i="4"/>
  <c r="BC33" i="4"/>
  <c r="BD33" i="4"/>
  <c r="BE33" i="4"/>
  <c r="BF33" i="4"/>
  <c r="BG33" i="4"/>
  <c r="BH33" i="4"/>
  <c r="BI33" i="4"/>
  <c r="BJ33" i="4"/>
  <c r="BK33" i="4"/>
  <c r="BL33" i="4"/>
  <c r="BM33" i="4"/>
  <c r="BN33" i="4"/>
  <c r="BO33" i="4"/>
  <c r="BP33" i="4"/>
  <c r="BQ33" i="4"/>
  <c r="BR33" i="4"/>
  <c r="BS33" i="4"/>
  <c r="BT33" i="4"/>
  <c r="BU33" i="4"/>
  <c r="BV33" i="4"/>
  <c r="BW33" i="4"/>
  <c r="BX33" i="4"/>
  <c r="BY33" i="4"/>
  <c r="BZ33" i="4"/>
  <c r="CA33" i="4"/>
  <c r="CB33" i="4"/>
  <c r="CC33" i="4"/>
  <c r="CD33" i="4"/>
  <c r="CE33" i="4"/>
  <c r="CF33" i="4"/>
  <c r="CG33" i="4"/>
  <c r="CH33" i="4"/>
  <c r="CI33" i="4"/>
  <c r="CJ33" i="4"/>
  <c r="CK33" i="4"/>
  <c r="CL33" i="4"/>
  <c r="CM33" i="4"/>
  <c r="CN33" i="4"/>
  <c r="CO33" i="4"/>
  <c r="CP33" i="4"/>
  <c r="CQ33" i="4"/>
  <c r="CR33" i="4"/>
  <c r="CS33" i="4"/>
  <c r="CT33" i="4"/>
  <c r="CU33" i="4"/>
  <c r="CV33" i="4"/>
  <c r="CW33" i="4"/>
  <c r="CX33" i="4"/>
  <c r="CY33" i="4"/>
  <c r="CZ33" i="4"/>
  <c r="DA33" i="4"/>
  <c r="DB33" i="4"/>
  <c r="DC33" i="4"/>
  <c r="DD33" i="4"/>
  <c r="E33" i="4"/>
  <c r="F33" i="4"/>
  <c r="G33" i="4"/>
  <c r="H33" i="4"/>
  <c r="I33" i="4"/>
  <c r="J33" i="4"/>
  <c r="K33" i="4"/>
  <c r="L33" i="4"/>
  <c r="M33"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P33" i="4"/>
  <c r="AQ33" i="4"/>
  <c r="AR33" i="4"/>
  <c r="AS33" i="4"/>
  <c r="AU33" i="4"/>
  <c r="CH37" i="4" l="1"/>
  <c r="CI37" i="4"/>
  <c r="CJ37" i="4"/>
  <c r="CK37" i="4"/>
  <c r="CL37" i="4"/>
  <c r="CM37" i="4"/>
  <c r="CN37" i="4"/>
  <c r="CO37" i="4"/>
  <c r="CP37" i="4"/>
  <c r="CQ37" i="4"/>
  <c r="CR37" i="4"/>
  <c r="CS37" i="4"/>
  <c r="CT37" i="4"/>
  <c r="CU37" i="4"/>
  <c r="CV37" i="4"/>
  <c r="CW37" i="4"/>
  <c r="CX37" i="4"/>
  <c r="CY37" i="4"/>
  <c r="CZ37" i="4"/>
  <c r="DA37" i="4"/>
  <c r="BX37" i="4"/>
  <c r="BW37" i="4"/>
  <c r="BV37" i="4"/>
  <c r="BU37" i="4"/>
  <c r="BT37" i="4"/>
  <c r="BS37" i="4"/>
  <c r="BR37" i="4"/>
  <c r="BQ37" i="4"/>
  <c r="BP37" i="4"/>
  <c r="BO37" i="4"/>
  <c r="BN37" i="4"/>
  <c r="BM37" i="4"/>
  <c r="BL37" i="4"/>
  <c r="BK37" i="4"/>
  <c r="AM37" i="4"/>
  <c r="AK37" i="4"/>
  <c r="AI37" i="4"/>
  <c r="AG37" i="4"/>
  <c r="AE37" i="4"/>
  <c r="AC37" i="4"/>
  <c r="AA37" i="4"/>
  <c r="Y37" i="4"/>
  <c r="W37" i="4"/>
  <c r="U37" i="4"/>
  <c r="S37" i="4"/>
  <c r="Q37" i="4"/>
  <c r="O37" i="4"/>
  <c r="M37" i="4"/>
  <c r="K37" i="4"/>
  <c r="I37" i="4"/>
  <c r="G37" i="4"/>
  <c r="E37" i="4"/>
  <c r="BJ37" i="4"/>
  <c r="BI37" i="4"/>
  <c r="BH37" i="4"/>
  <c r="BG37" i="4"/>
  <c r="BF37" i="4"/>
  <c r="BE37" i="4"/>
  <c r="BD37" i="4"/>
  <c r="BC37" i="4"/>
  <c r="BB37" i="4"/>
  <c r="BA37" i="4"/>
  <c r="AZ37" i="4"/>
  <c r="AY37" i="4"/>
  <c r="AX37" i="4"/>
  <c r="AW37" i="4"/>
  <c r="AV37" i="4"/>
  <c r="AU37" i="4"/>
  <c r="AT37" i="4"/>
  <c r="AS37" i="4"/>
  <c r="AR37" i="4"/>
  <c r="AQ37" i="4"/>
  <c r="AP37" i="4"/>
  <c r="AO37" i="4"/>
  <c r="AN37" i="4"/>
  <c r="AL37" i="4"/>
  <c r="AJ37" i="4"/>
  <c r="AH37" i="4"/>
  <c r="AF37" i="4"/>
  <c r="AD37" i="4"/>
  <c r="AB37" i="4"/>
  <c r="Z37" i="4"/>
  <c r="DD37" i="4"/>
  <c r="V37" i="4"/>
  <c r="T37" i="4"/>
  <c r="R37" i="4"/>
  <c r="P37" i="4"/>
  <c r="X37" i="4"/>
  <c r="L37" i="4"/>
  <c r="J37" i="4"/>
  <c r="H37" i="4"/>
  <c r="F37" i="4"/>
  <c r="N37" i="4"/>
  <c r="DC37" i="4"/>
  <c r="DB37" i="4"/>
  <c r="CG37" i="4"/>
  <c r="CF37" i="4"/>
  <c r="CE37" i="4"/>
  <c r="CD37" i="4"/>
  <c r="CC37" i="4"/>
  <c r="CB37" i="4"/>
  <c r="CA37" i="4"/>
  <c r="BZ37" i="4"/>
  <c r="BY37" i="4"/>
  <c r="P18" i="5"/>
  <c r="C18" i="4" s="1"/>
  <c r="O18" i="5"/>
  <c r="M41" i="5"/>
  <c r="R38" i="5"/>
  <c r="Q38" i="5"/>
  <c r="D38" i="4" s="1"/>
  <c r="E17" i="4"/>
  <c r="F17" i="4"/>
  <c r="G17" i="4"/>
  <c r="H17" i="4"/>
  <c r="I17" i="4"/>
  <c r="J17" i="4"/>
  <c r="K17" i="4"/>
  <c r="L17" i="4"/>
  <c r="M17" i="4"/>
  <c r="N17" i="4"/>
  <c r="O17" i="4"/>
  <c r="P17" i="4"/>
  <c r="Q17" i="4"/>
  <c r="R17" i="4"/>
  <c r="S17" i="4"/>
  <c r="T17" i="4"/>
  <c r="U17" i="4"/>
  <c r="V17" i="4"/>
  <c r="W17" i="4"/>
  <c r="X17" i="4"/>
  <c r="Y17" i="4"/>
  <c r="Z17" i="4"/>
  <c r="AA17" i="4"/>
  <c r="AB17" i="4"/>
  <c r="AC17" i="4"/>
  <c r="AD17" i="4"/>
  <c r="AE17" i="4"/>
  <c r="AF17" i="4"/>
  <c r="AG17" i="4"/>
  <c r="AH17" i="4"/>
  <c r="AI17" i="4"/>
  <c r="CW17" i="4"/>
  <c r="CY17" i="4"/>
  <c r="DA17" i="4"/>
  <c r="DC17" i="4"/>
  <c r="AJ17" i="4"/>
  <c r="AK17" i="4"/>
  <c r="AL17" i="4"/>
  <c r="AM17" i="4"/>
  <c r="AN17" i="4"/>
  <c r="AO17" i="4"/>
  <c r="AP17" i="4"/>
  <c r="AQ17" i="4"/>
  <c r="AR17" i="4"/>
  <c r="AS17" i="4"/>
  <c r="AT17" i="4"/>
  <c r="AU17" i="4"/>
  <c r="AV17" i="4"/>
  <c r="AW17" i="4"/>
  <c r="AX17" i="4"/>
  <c r="AY17" i="4"/>
  <c r="AZ17" i="4"/>
  <c r="BA17" i="4"/>
  <c r="BB17" i="4"/>
  <c r="BC17" i="4"/>
  <c r="BD17" i="4"/>
  <c r="BE17" i="4"/>
  <c r="BF17" i="4"/>
  <c r="BG17" i="4"/>
  <c r="BH17" i="4"/>
  <c r="BI17" i="4"/>
  <c r="BJ17" i="4"/>
  <c r="BK17" i="4"/>
  <c r="BL17" i="4"/>
  <c r="BM17" i="4"/>
  <c r="BN17" i="4"/>
  <c r="BO17" i="4"/>
  <c r="BP17" i="4"/>
  <c r="BQ17" i="4"/>
  <c r="BR17" i="4"/>
  <c r="BS17" i="4"/>
  <c r="BT17" i="4"/>
  <c r="BU17" i="4"/>
  <c r="BV17" i="4"/>
  <c r="BW17" i="4"/>
  <c r="BX17" i="4"/>
  <c r="BY17" i="4"/>
  <c r="BZ17" i="4"/>
  <c r="CA17" i="4"/>
  <c r="CB17" i="4"/>
  <c r="CC17" i="4"/>
  <c r="CD17" i="4"/>
  <c r="CE17" i="4"/>
  <c r="CF17" i="4"/>
  <c r="CG17" i="4"/>
  <c r="CH17" i="4"/>
  <c r="CI17" i="4"/>
  <c r="CJ17" i="4"/>
  <c r="CK17" i="4"/>
  <c r="CL17" i="4"/>
  <c r="CM17" i="4"/>
  <c r="CN17" i="4"/>
  <c r="CO17" i="4"/>
  <c r="CP17" i="4"/>
  <c r="CQ17" i="4"/>
  <c r="CR17" i="4"/>
  <c r="CS17" i="4"/>
  <c r="CU17" i="4"/>
  <c r="CV17" i="4"/>
  <c r="CX17" i="4"/>
  <c r="CZ17" i="4"/>
  <c r="DB17" i="4"/>
  <c r="DD17" i="4"/>
  <c r="CT17" i="4"/>
  <c r="N19" i="5" l="1"/>
  <c r="Q18" i="5"/>
  <c r="D18" i="4" s="1"/>
  <c r="R18" i="5"/>
  <c r="F9" i="3"/>
  <c r="M42" i="5"/>
  <c r="CV38" i="4"/>
  <c r="CW38" i="4"/>
  <c r="CX38" i="4"/>
  <c r="CY38" i="4"/>
  <c r="CZ38" i="4"/>
  <c r="DA38" i="4"/>
  <c r="DB38" i="4"/>
  <c r="DD38" i="4"/>
  <c r="DC38" i="4"/>
  <c r="E38" i="4"/>
  <c r="F38" i="4"/>
  <c r="G38" i="4"/>
  <c r="H38" i="4"/>
  <c r="I38" i="4"/>
  <c r="J38" i="4"/>
  <c r="K38" i="4"/>
  <c r="L38" i="4"/>
  <c r="M38" i="4"/>
  <c r="N38" i="4"/>
  <c r="O38" i="4"/>
  <c r="P38" i="4"/>
  <c r="Q38" i="4"/>
  <c r="R38" i="4"/>
  <c r="S38" i="4"/>
  <c r="T38" i="4"/>
  <c r="U38" i="4"/>
  <c r="V38" i="4"/>
  <c r="W38" i="4"/>
  <c r="X38" i="4"/>
  <c r="Y38" i="4"/>
  <c r="Z38" i="4"/>
  <c r="AA38" i="4"/>
  <c r="AB38" i="4"/>
  <c r="AC38" i="4"/>
  <c r="AD38" i="4"/>
  <c r="AE38" i="4"/>
  <c r="AF38" i="4"/>
  <c r="AG38" i="4"/>
  <c r="AH38" i="4"/>
  <c r="AI38" i="4"/>
  <c r="AJ38" i="4"/>
  <c r="AK38" i="4"/>
  <c r="AL38" i="4"/>
  <c r="AM38" i="4"/>
  <c r="AN38" i="4"/>
  <c r="AO38" i="4"/>
  <c r="AP38" i="4"/>
  <c r="AQ38" i="4"/>
  <c r="AR38" i="4"/>
  <c r="AS38" i="4"/>
  <c r="AT38" i="4"/>
  <c r="AU38" i="4"/>
  <c r="AV38" i="4"/>
  <c r="AW38" i="4"/>
  <c r="AX38" i="4"/>
  <c r="AY38" i="4"/>
  <c r="AZ38" i="4"/>
  <c r="BA38" i="4"/>
  <c r="BB38" i="4"/>
  <c r="BC38" i="4"/>
  <c r="BD38" i="4"/>
  <c r="BE38" i="4"/>
  <c r="BF38" i="4"/>
  <c r="BG38" i="4"/>
  <c r="BH38" i="4"/>
  <c r="BI38" i="4"/>
  <c r="BJ38" i="4"/>
  <c r="BK38" i="4"/>
  <c r="BL38" i="4"/>
  <c r="BM38" i="4"/>
  <c r="BN38" i="4"/>
  <c r="BO38" i="4"/>
  <c r="BP38" i="4"/>
  <c r="BQ38" i="4"/>
  <c r="BR38" i="4"/>
  <c r="BS38" i="4"/>
  <c r="BT38" i="4"/>
  <c r="BU38" i="4"/>
  <c r="BV38" i="4"/>
  <c r="BW38" i="4"/>
  <c r="BX38" i="4"/>
  <c r="BY38" i="4"/>
  <c r="BZ38" i="4"/>
  <c r="CA38" i="4"/>
  <c r="CB38" i="4"/>
  <c r="CC38" i="4"/>
  <c r="CD38" i="4"/>
  <c r="CE38" i="4"/>
  <c r="CF38" i="4"/>
  <c r="CG38" i="4"/>
  <c r="CH38" i="4"/>
  <c r="CI38" i="4"/>
  <c r="CJ38" i="4"/>
  <c r="CK38" i="4"/>
  <c r="CL38" i="4"/>
  <c r="CM38" i="4"/>
  <c r="CN38" i="4"/>
  <c r="CO38" i="4"/>
  <c r="CP38" i="4"/>
  <c r="CQ38" i="4"/>
  <c r="CR38" i="4"/>
  <c r="CS38" i="4"/>
  <c r="CT38" i="4"/>
  <c r="CU38" i="4"/>
  <c r="O19" i="5" l="1"/>
  <c r="P19" i="5"/>
  <c r="C19" i="4" s="1"/>
  <c r="F8" i="3"/>
  <c r="F87" i="3"/>
  <c r="F88" i="3"/>
  <c r="M43" i="5"/>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C18" i="4"/>
  <c r="CY18" i="4"/>
  <c r="CW18" i="4"/>
  <c r="CU18" i="4"/>
  <c r="CS18" i="4"/>
  <c r="CQ18" i="4"/>
  <c r="CO18" i="4"/>
  <c r="CM18" i="4"/>
  <c r="CK18" i="4"/>
  <c r="CI18" i="4"/>
  <c r="CG18" i="4"/>
  <c r="CE18" i="4"/>
  <c r="CC18" i="4"/>
  <c r="CA18" i="4"/>
  <c r="BY18" i="4"/>
  <c r="BW18" i="4"/>
  <c r="BT18" i="4"/>
  <c r="BR18" i="4"/>
  <c r="BP18" i="4"/>
  <c r="BN18" i="4"/>
  <c r="BL18" i="4"/>
  <c r="BJ18" i="4"/>
  <c r="BH18" i="4"/>
  <c r="BF18" i="4"/>
  <c r="BD18" i="4"/>
  <c r="BB18" i="4"/>
  <c r="BA18" i="4"/>
  <c r="AY18" i="4"/>
  <c r="AW18" i="4"/>
  <c r="AV18" i="4"/>
  <c r="AT18" i="4"/>
  <c r="DD18" i="4"/>
  <c r="DB18" i="4"/>
  <c r="DA18" i="4"/>
  <c r="CZ18" i="4"/>
  <c r="CX18" i="4"/>
  <c r="CV18" i="4"/>
  <c r="CT18" i="4"/>
  <c r="CR18" i="4"/>
  <c r="CP18" i="4"/>
  <c r="CN18" i="4"/>
  <c r="CL18" i="4"/>
  <c r="CJ18" i="4"/>
  <c r="CH18" i="4"/>
  <c r="CF18" i="4"/>
  <c r="CD18" i="4"/>
  <c r="CB18" i="4"/>
  <c r="BZ18" i="4"/>
  <c r="BX18" i="4"/>
  <c r="BV18" i="4"/>
  <c r="BU18" i="4"/>
  <c r="BS18" i="4"/>
  <c r="BQ18" i="4"/>
  <c r="BO18" i="4"/>
  <c r="BM18" i="4"/>
  <c r="BK18" i="4"/>
  <c r="BI18" i="4"/>
  <c r="BG18" i="4"/>
  <c r="BE18" i="4"/>
  <c r="BC18" i="4"/>
  <c r="AZ18" i="4"/>
  <c r="AX18" i="4"/>
  <c r="AU18" i="4"/>
  <c r="N39" i="5" l="1"/>
  <c r="N20" i="5"/>
  <c r="Q19" i="5"/>
  <c r="D19" i="4" s="1"/>
  <c r="R19" i="5"/>
  <c r="F89" i="3"/>
  <c r="F92" i="3"/>
  <c r="F94" i="3"/>
  <c r="F95" i="3"/>
  <c r="B2" i="6"/>
  <c r="A13" i="9" l="1"/>
  <c r="O39" i="5"/>
  <c r="P39" i="5"/>
  <c r="C39" i="4" s="1"/>
  <c r="O20" i="5"/>
  <c r="P20" i="5"/>
  <c r="C20" i="4" s="1"/>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CA19" i="4"/>
  <c r="DD19" i="4"/>
  <c r="DC19" i="4"/>
  <c r="DB19" i="4"/>
  <c r="DA19" i="4"/>
  <c r="CZ19" i="4"/>
  <c r="CY19" i="4"/>
  <c r="CX19" i="4"/>
  <c r="CW19" i="4"/>
  <c r="CV19" i="4"/>
  <c r="CU19" i="4"/>
  <c r="CT19" i="4"/>
  <c r="CS19" i="4"/>
  <c r="CR19" i="4"/>
  <c r="CQ19" i="4"/>
  <c r="CP19" i="4"/>
  <c r="CO19" i="4"/>
  <c r="CN19" i="4"/>
  <c r="CM19" i="4"/>
  <c r="CL19" i="4"/>
  <c r="CK19" i="4"/>
  <c r="CJ19" i="4"/>
  <c r="CI19" i="4"/>
  <c r="CH19" i="4"/>
  <c r="CG19" i="4"/>
  <c r="CF19" i="4"/>
  <c r="CE19" i="4"/>
  <c r="CD19" i="4"/>
  <c r="CC19" i="4"/>
  <c r="CB19" i="4"/>
  <c r="BZ19" i="4"/>
  <c r="BY19" i="4"/>
  <c r="BX19" i="4"/>
  <c r="BW19" i="4"/>
  <c r="BV19" i="4"/>
  <c r="BU19" i="4"/>
  <c r="BT19" i="4"/>
  <c r="BS19" i="4"/>
  <c r="BR19" i="4"/>
  <c r="BQ19" i="4"/>
  <c r="BP19" i="4"/>
  <c r="BO19" i="4"/>
  <c r="BN19" i="4"/>
  <c r="BM19" i="4"/>
  <c r="BL19" i="4"/>
  <c r="J19" i="4"/>
  <c r="I19" i="4"/>
  <c r="H19" i="4"/>
  <c r="G19" i="4"/>
  <c r="F19" i="4"/>
  <c r="E19" i="4"/>
  <c r="Q39" i="5" l="1"/>
  <c r="D39" i="4" s="1"/>
  <c r="R39" i="5"/>
  <c r="N21" i="5"/>
  <c r="Q20" i="5"/>
  <c r="R20" i="5"/>
  <c r="P21" i="5" l="1"/>
  <c r="C21" i="4" s="1"/>
  <c r="O21" i="5"/>
  <c r="D20" i="4"/>
  <c r="BX39" i="4"/>
  <c r="BY39" i="4"/>
  <c r="BZ39" i="4"/>
  <c r="CA39" i="4"/>
  <c r="CB39" i="4"/>
  <c r="CC39" i="4"/>
  <c r="CD39" i="4"/>
  <c r="CE39" i="4"/>
  <c r="CF39" i="4"/>
  <c r="CG39" i="4"/>
  <c r="CH39" i="4"/>
  <c r="CI39" i="4"/>
  <c r="CJ39" i="4"/>
  <c r="CK39" i="4"/>
  <c r="CL39" i="4"/>
  <c r="CM39" i="4"/>
  <c r="CN39" i="4"/>
  <c r="CO39" i="4"/>
  <c r="CP39" i="4"/>
  <c r="CQ39" i="4"/>
  <c r="CR39" i="4"/>
  <c r="CS39" i="4"/>
  <c r="CT39" i="4"/>
  <c r="CU39" i="4"/>
  <c r="CV39" i="4"/>
  <c r="CW39" i="4"/>
  <c r="CX39" i="4"/>
  <c r="CY39" i="4"/>
  <c r="CZ39" i="4"/>
  <c r="DA39" i="4"/>
  <c r="DB39" i="4"/>
  <c r="DC39" i="4"/>
  <c r="DD39" i="4"/>
  <c r="F39" i="4"/>
  <c r="L39" i="4"/>
  <c r="R39" i="4"/>
  <c r="V39" i="4"/>
  <c r="Y39" i="4"/>
  <c r="AD39" i="4"/>
  <c r="I39" i="4"/>
  <c r="M39" i="4"/>
  <c r="P39" i="4"/>
  <c r="T39" i="4"/>
  <c r="W39" i="4"/>
  <c r="Z39" i="4"/>
  <c r="AC39" i="4"/>
  <c r="G39" i="4"/>
  <c r="J39" i="4"/>
  <c r="N39" i="4"/>
  <c r="Q39" i="4"/>
  <c r="X39" i="4"/>
  <c r="AA39" i="4"/>
  <c r="AF39" i="4"/>
  <c r="E39" i="4"/>
  <c r="H39" i="4"/>
  <c r="K39" i="4"/>
  <c r="O39" i="4"/>
  <c r="S39" i="4"/>
  <c r="U39" i="4"/>
  <c r="AB39" i="4"/>
  <c r="AE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BF39" i="4"/>
  <c r="BG39" i="4"/>
  <c r="BH39" i="4"/>
  <c r="BI39" i="4"/>
  <c r="BJ39" i="4"/>
  <c r="BK39" i="4"/>
  <c r="BL39" i="4"/>
  <c r="BM39" i="4"/>
  <c r="BN39" i="4"/>
  <c r="BO39" i="4"/>
  <c r="BP39" i="4"/>
  <c r="BQ39" i="4"/>
  <c r="BR39" i="4"/>
  <c r="BS39" i="4"/>
  <c r="BT39" i="4"/>
  <c r="BU39" i="4"/>
  <c r="BV39" i="4"/>
  <c r="BW39" i="4"/>
  <c r="N22" i="5" l="1"/>
  <c r="R21" i="5"/>
  <c r="Q21" i="5"/>
  <c r="BO20" i="4"/>
  <c r="BS20" i="4"/>
  <c r="BW20" i="4"/>
  <c r="BY20" i="4"/>
  <c r="CD20" i="4"/>
  <c r="CH20" i="4"/>
  <c r="CL20" i="4"/>
  <c r="CP20" i="4"/>
  <c r="CY20" i="4"/>
  <c r="N20" i="4"/>
  <c r="BM20" i="4"/>
  <c r="BQ20" i="4"/>
  <c r="BU20" i="4"/>
  <c r="CB20" i="4"/>
  <c r="CF20" i="4"/>
  <c r="CJ20" i="4"/>
  <c r="CN20" i="4"/>
  <c r="CR20" i="4"/>
  <c r="CU20" i="4"/>
  <c r="CW20" i="4"/>
  <c r="DA20" i="4"/>
  <c r="DC20" i="4"/>
  <c r="E20" i="4"/>
  <c r="F20" i="4"/>
  <c r="G20" i="4"/>
  <c r="H20" i="4"/>
  <c r="I20" i="4"/>
  <c r="J20" i="4"/>
  <c r="K20" i="4"/>
  <c r="L20" i="4"/>
  <c r="M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N20" i="4"/>
  <c r="BP20" i="4"/>
  <c r="BR20" i="4"/>
  <c r="BT20" i="4"/>
  <c r="BV20" i="4"/>
  <c r="BX20" i="4"/>
  <c r="BZ20" i="4"/>
  <c r="CA20" i="4"/>
  <c r="CC20" i="4"/>
  <c r="CE20" i="4"/>
  <c r="CG20" i="4"/>
  <c r="CI20" i="4"/>
  <c r="CK20" i="4"/>
  <c r="CM20" i="4"/>
  <c r="CO20" i="4"/>
  <c r="CQ20" i="4"/>
  <c r="CS20" i="4"/>
  <c r="CT20" i="4"/>
  <c r="CV20" i="4"/>
  <c r="CX20" i="4"/>
  <c r="CZ20" i="4"/>
  <c r="DB20" i="4"/>
  <c r="DD20" i="4"/>
  <c r="O22" i="5" l="1"/>
  <c r="P22" i="5"/>
  <c r="C22" i="4" s="1"/>
  <c r="D21" i="4"/>
  <c r="N40" i="5" l="1"/>
  <c r="N23" i="5"/>
  <c r="Q22" i="5"/>
  <c r="R22" i="5"/>
  <c r="BI21" i="4"/>
  <c r="BM21" i="4"/>
  <c r="BS21" i="4"/>
  <c r="BU21" i="4"/>
  <c r="BW21" i="4"/>
  <c r="BZ21" i="4"/>
  <c r="CC21" i="4"/>
  <c r="CE21" i="4"/>
  <c r="CH21" i="4"/>
  <c r="CJ21" i="4"/>
  <c r="CL21" i="4"/>
  <c r="CN21" i="4"/>
  <c r="CP21" i="4"/>
  <c r="CR21" i="4"/>
  <c r="CU21" i="4"/>
  <c r="CW21" i="4"/>
  <c r="CY21" i="4"/>
  <c r="DB21" i="4"/>
  <c r="DD21" i="4"/>
  <c r="G21" i="4"/>
  <c r="K21" i="4"/>
  <c r="O21" i="4"/>
  <c r="S21" i="4"/>
  <c r="V21" i="4"/>
  <c r="Z21" i="4"/>
  <c r="AD21" i="4"/>
  <c r="AH21" i="4"/>
  <c r="AL21" i="4"/>
  <c r="AP21" i="4"/>
  <c r="AS21" i="4"/>
  <c r="AW21" i="4"/>
  <c r="BA21" i="4"/>
  <c r="BD21" i="4"/>
  <c r="BH21" i="4"/>
  <c r="BL21" i="4"/>
  <c r="BR21" i="4"/>
  <c r="BK21" i="4"/>
  <c r="BO21" i="4"/>
  <c r="BQ21" i="4"/>
  <c r="BT21" i="4"/>
  <c r="BV21" i="4"/>
  <c r="BX21" i="4"/>
  <c r="BY21" i="4"/>
  <c r="CA21" i="4"/>
  <c r="CB21" i="4"/>
  <c r="CD21" i="4"/>
  <c r="CF21" i="4"/>
  <c r="CG21" i="4"/>
  <c r="CI21" i="4"/>
  <c r="CK21" i="4"/>
  <c r="CM21" i="4"/>
  <c r="CO21" i="4"/>
  <c r="CQ21" i="4"/>
  <c r="CS21" i="4"/>
  <c r="CT21" i="4"/>
  <c r="CV21" i="4"/>
  <c r="CX21" i="4"/>
  <c r="CZ21" i="4"/>
  <c r="DA21" i="4"/>
  <c r="DC21" i="4"/>
  <c r="F21" i="4"/>
  <c r="I21" i="4"/>
  <c r="M21" i="4"/>
  <c r="Q21" i="4"/>
  <c r="U21" i="4"/>
  <c r="X21" i="4"/>
  <c r="AB21" i="4"/>
  <c r="AF21" i="4"/>
  <c r="AJ21" i="4"/>
  <c r="AN21" i="4"/>
  <c r="AQ21" i="4"/>
  <c r="AU21" i="4"/>
  <c r="AY21" i="4"/>
  <c r="BC21" i="4"/>
  <c r="BF21" i="4"/>
  <c r="BJ21" i="4"/>
  <c r="BN21" i="4"/>
  <c r="BP21" i="4"/>
  <c r="E21" i="4"/>
  <c r="H21" i="4"/>
  <c r="J21" i="4"/>
  <c r="L21" i="4"/>
  <c r="N21" i="4"/>
  <c r="P21" i="4"/>
  <c r="R21" i="4"/>
  <c r="T21" i="4"/>
  <c r="W21" i="4"/>
  <c r="Y21" i="4"/>
  <c r="AA21" i="4"/>
  <c r="AC21" i="4"/>
  <c r="AE21" i="4"/>
  <c r="AG21" i="4"/>
  <c r="AI21" i="4"/>
  <c r="AK21" i="4"/>
  <c r="AM21" i="4"/>
  <c r="AO21" i="4"/>
  <c r="AR21" i="4"/>
  <c r="AT21" i="4"/>
  <c r="AV21" i="4"/>
  <c r="AX21" i="4"/>
  <c r="AZ21" i="4"/>
  <c r="BB21" i="4"/>
  <c r="BE21" i="4"/>
  <c r="BG21" i="4"/>
  <c r="P40" i="5" l="1"/>
  <c r="C40" i="4" s="1"/>
  <c r="O40" i="5"/>
  <c r="O23" i="5"/>
  <c r="P23" i="5"/>
  <c r="C23" i="4" s="1"/>
  <c r="D22" i="4"/>
  <c r="R40" i="5" l="1"/>
  <c r="Q40" i="5"/>
  <c r="D40" i="4" s="1"/>
  <c r="N24" i="5"/>
  <c r="Q23" i="5"/>
  <c r="D23" i="4" s="1"/>
  <c r="R23" i="5"/>
  <c r="F22" i="4"/>
  <c r="G22" i="4"/>
  <c r="I22" i="4"/>
  <c r="L22" i="4"/>
  <c r="N22" i="4"/>
  <c r="Q22" i="4"/>
  <c r="E22" i="4"/>
  <c r="H22" i="4"/>
  <c r="J22" i="4"/>
  <c r="K22" i="4"/>
  <c r="M22" i="4"/>
  <c r="O22" i="4"/>
  <c r="P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BW22" i="4"/>
  <c r="BX22" i="4"/>
  <c r="BY22" i="4"/>
  <c r="BZ22" i="4"/>
  <c r="CA22" i="4"/>
  <c r="CB22" i="4"/>
  <c r="CC22" i="4"/>
  <c r="CD22" i="4"/>
  <c r="CE22" i="4"/>
  <c r="CF22" i="4"/>
  <c r="CG22" i="4"/>
  <c r="CH22" i="4"/>
  <c r="CI22" i="4"/>
  <c r="CJ22" i="4"/>
  <c r="CK22" i="4"/>
  <c r="CL22" i="4"/>
  <c r="CM22" i="4"/>
  <c r="CN22" i="4"/>
  <c r="CO22" i="4"/>
  <c r="CP22" i="4"/>
  <c r="CQ22" i="4"/>
  <c r="CR22" i="4"/>
  <c r="CS22" i="4"/>
  <c r="CT22" i="4"/>
  <c r="CU22" i="4"/>
  <c r="CV22" i="4"/>
  <c r="CW22" i="4"/>
  <c r="CX22" i="4"/>
  <c r="CY22" i="4"/>
  <c r="CZ22" i="4"/>
  <c r="DA22" i="4"/>
  <c r="DB22" i="4"/>
  <c r="DC22" i="4"/>
  <c r="DD22" i="4"/>
  <c r="P24" i="5" l="1"/>
  <c r="C24" i="4" s="1"/>
  <c r="O24" i="5"/>
  <c r="CM40" i="4"/>
  <c r="CN40" i="4"/>
  <c r="CO40" i="4"/>
  <c r="CP40" i="4"/>
  <c r="CQ40" i="4"/>
  <c r="CR40" i="4"/>
  <c r="CS40" i="4"/>
  <c r="CT40" i="4"/>
  <c r="CU40" i="4"/>
  <c r="CX40" i="4"/>
  <c r="DD40" i="4"/>
  <c r="BL40" i="4"/>
  <c r="BO40" i="4"/>
  <c r="BQ40" i="4"/>
  <c r="AN40" i="4"/>
  <c r="BT40" i="4"/>
  <c r="BW40" i="4"/>
  <c r="AU40" i="4"/>
  <c r="AZ40" i="4"/>
  <c r="BC40" i="4"/>
  <c r="BE40" i="4"/>
  <c r="BJ40" i="4"/>
  <c r="BZ40" i="4"/>
  <c r="CB40" i="4"/>
  <c r="CF40" i="4"/>
  <c r="CI40" i="4"/>
  <c r="CL40" i="4"/>
  <c r="AY40" i="4"/>
  <c r="BH40" i="4"/>
  <c r="BN40" i="4"/>
  <c r="BS40" i="4"/>
  <c r="BV40" i="4"/>
  <c r="BY40" i="4"/>
  <c r="CD40" i="4"/>
  <c r="CG40" i="4"/>
  <c r="CK40" i="4"/>
  <c r="CW40" i="4"/>
  <c r="DB40" i="4"/>
  <c r="CV40" i="4"/>
  <c r="DA40" i="4"/>
  <c r="CY40" i="4"/>
  <c r="CZ40" i="4"/>
  <c r="DC40" i="4"/>
  <c r="E40" i="4"/>
  <c r="F40" i="4"/>
  <c r="G40" i="4"/>
  <c r="H40" i="4"/>
  <c r="I40" i="4"/>
  <c r="J40" i="4"/>
  <c r="K40" i="4"/>
  <c r="L40" i="4"/>
  <c r="M40" i="4"/>
  <c r="N40" i="4"/>
  <c r="O40" i="4"/>
  <c r="P40" i="4"/>
  <c r="Q40" i="4"/>
  <c r="R40" i="4"/>
  <c r="S40" i="4"/>
  <c r="T40" i="4"/>
  <c r="U40" i="4"/>
  <c r="V40" i="4"/>
  <c r="W40" i="4"/>
  <c r="X40" i="4"/>
  <c r="Y40" i="4"/>
  <c r="Z40" i="4"/>
  <c r="AA40" i="4"/>
  <c r="AB40" i="4"/>
  <c r="AC40" i="4"/>
  <c r="AD40" i="4"/>
  <c r="AE40" i="4"/>
  <c r="AF40" i="4"/>
  <c r="AG40" i="4"/>
  <c r="AH40" i="4"/>
  <c r="AI40" i="4"/>
  <c r="AJ40" i="4"/>
  <c r="AK40" i="4"/>
  <c r="AL40" i="4"/>
  <c r="AM40" i="4"/>
  <c r="AO40" i="4"/>
  <c r="AP40" i="4"/>
  <c r="AQ40" i="4"/>
  <c r="AR40" i="4"/>
  <c r="AS40" i="4"/>
  <c r="AT40" i="4"/>
  <c r="AV40" i="4"/>
  <c r="AW40" i="4"/>
  <c r="AX40" i="4"/>
  <c r="BA40" i="4"/>
  <c r="BB40" i="4"/>
  <c r="BD40" i="4"/>
  <c r="BF40" i="4"/>
  <c r="BG40" i="4"/>
  <c r="BI40" i="4"/>
  <c r="BK40" i="4"/>
  <c r="BM40" i="4"/>
  <c r="BP40" i="4"/>
  <c r="BR40" i="4"/>
  <c r="BU40" i="4"/>
  <c r="BX40" i="4"/>
  <c r="CA40" i="4"/>
  <c r="CC40" i="4"/>
  <c r="CE40" i="4"/>
  <c r="CH40" i="4"/>
  <c r="CJ40" i="4"/>
  <c r="AV23" i="4"/>
  <c r="BK23" i="4"/>
  <c r="BJ23" i="4"/>
  <c r="BI23" i="4"/>
  <c r="BH23" i="4"/>
  <c r="BG23" i="4"/>
  <c r="BF23" i="4"/>
  <c r="BE23" i="4"/>
  <c r="BD23" i="4"/>
  <c r="BC23" i="4"/>
  <c r="BB23" i="4"/>
  <c r="BA23" i="4"/>
  <c r="AZ23" i="4"/>
  <c r="AY23" i="4"/>
  <c r="CF23" i="4"/>
  <c r="CE23" i="4"/>
  <c r="CD23" i="4"/>
  <c r="CC23" i="4"/>
  <c r="CB23" i="4"/>
  <c r="CA23" i="4"/>
  <c r="BZ23" i="4"/>
  <c r="BY23" i="4"/>
  <c r="BX23" i="4"/>
  <c r="BW23" i="4"/>
  <c r="BV23" i="4"/>
  <c r="BU23" i="4"/>
  <c r="BT23" i="4"/>
  <c r="BS23" i="4"/>
  <c r="BR23" i="4"/>
  <c r="BQ23" i="4"/>
  <c r="BP23" i="4"/>
  <c r="BO23" i="4"/>
  <c r="BN23" i="4"/>
  <c r="BM23" i="4"/>
  <c r="BL23" i="4"/>
  <c r="AX23" i="4"/>
  <c r="AW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CN23" i="4"/>
  <c r="G23" i="4"/>
  <c r="F23" i="4"/>
  <c r="E23" i="4"/>
  <c r="DD23" i="4"/>
  <c r="DC23" i="4"/>
  <c r="DA23" i="4"/>
  <c r="CY23" i="4"/>
  <c r="CW23" i="4"/>
  <c r="CT23" i="4"/>
  <c r="CR23" i="4"/>
  <c r="CP23" i="4"/>
  <c r="CM23" i="4"/>
  <c r="CK23" i="4"/>
  <c r="CI23" i="4"/>
  <c r="CG23" i="4"/>
  <c r="DB23" i="4"/>
  <c r="CZ23" i="4"/>
  <c r="CX23" i="4"/>
  <c r="CV23" i="4"/>
  <c r="CU23" i="4"/>
  <c r="CS23" i="4"/>
  <c r="CQ23" i="4"/>
  <c r="CO23" i="4"/>
  <c r="CL23" i="4"/>
  <c r="CJ23" i="4"/>
  <c r="CH23" i="4"/>
  <c r="N25" i="5" l="1"/>
  <c r="Q24" i="5"/>
  <c r="D24" i="4" s="1"/>
  <c r="R24" i="5"/>
  <c r="O25" i="5" l="1"/>
  <c r="P25" i="5"/>
  <c r="C25" i="4" s="1"/>
  <c r="BJ24" i="4"/>
  <c r="BI24" i="4"/>
  <c r="BH24" i="4"/>
  <c r="BG24" i="4"/>
  <c r="BF24" i="4"/>
  <c r="BE24" i="4"/>
  <c r="BD24" i="4"/>
  <c r="BC24" i="4"/>
  <c r="R24" i="4"/>
  <c r="N24" i="4"/>
  <c r="J24" i="4"/>
  <c r="F24" i="4"/>
  <c r="AZ24" i="4"/>
  <c r="AV24" i="4"/>
  <c r="AQ24" i="4"/>
  <c r="AK24" i="4"/>
  <c r="AF24" i="4"/>
  <c r="AA24" i="4"/>
  <c r="W24" i="4"/>
  <c r="Q24" i="4"/>
  <c r="BA24" i="4"/>
  <c r="AY24" i="4"/>
  <c r="AW24" i="4"/>
  <c r="AT24" i="4"/>
  <c r="AR24" i="4"/>
  <c r="AP24" i="4"/>
  <c r="AN24" i="4"/>
  <c r="AL24" i="4"/>
  <c r="AJ24" i="4"/>
  <c r="AI24" i="4"/>
  <c r="AG24" i="4"/>
  <c r="AD24" i="4"/>
  <c r="AB24" i="4"/>
  <c r="Z24" i="4"/>
  <c r="X24" i="4"/>
  <c r="V24" i="4"/>
  <c r="T24" i="4"/>
  <c r="P24" i="4"/>
  <c r="L24" i="4"/>
  <c r="H24" i="4"/>
  <c r="BB24" i="4"/>
  <c r="AX24" i="4"/>
  <c r="AU24" i="4"/>
  <c r="AS24" i="4"/>
  <c r="AO24" i="4"/>
  <c r="AM24" i="4"/>
  <c r="AH24" i="4"/>
  <c r="AE24" i="4"/>
  <c r="AC24" i="4"/>
  <c r="Y24" i="4"/>
  <c r="U24" i="4"/>
  <c r="S24" i="4"/>
  <c r="O24" i="4"/>
  <c r="M24" i="4"/>
  <c r="DD24" i="4"/>
  <c r="DC24" i="4"/>
  <c r="DB24" i="4"/>
  <c r="DA24" i="4"/>
  <c r="CZ24" i="4"/>
  <c r="CY24" i="4"/>
  <c r="CX24" i="4"/>
  <c r="CW24" i="4"/>
  <c r="CV24" i="4"/>
  <c r="CU24" i="4"/>
  <c r="CT24" i="4"/>
  <c r="CS24" i="4"/>
  <c r="CR24" i="4"/>
  <c r="CQ24" i="4"/>
  <c r="CP24" i="4"/>
  <c r="CO24" i="4"/>
  <c r="CN24" i="4"/>
  <c r="CM24" i="4"/>
  <c r="CL24" i="4"/>
  <c r="CK24" i="4"/>
  <c r="CJ24" i="4"/>
  <c r="CI24" i="4"/>
  <c r="CH24" i="4"/>
  <c r="CG24" i="4"/>
  <c r="CF24" i="4"/>
  <c r="CE24" i="4"/>
  <c r="CD24" i="4"/>
  <c r="CC24" i="4"/>
  <c r="CB24" i="4"/>
  <c r="CA24" i="4"/>
  <c r="BZ24" i="4"/>
  <c r="BY24" i="4"/>
  <c r="BX24" i="4"/>
  <c r="BW24" i="4"/>
  <c r="BV24" i="4"/>
  <c r="BU24" i="4"/>
  <c r="BS24" i="4"/>
  <c r="BR24" i="4"/>
  <c r="BQ24" i="4"/>
  <c r="BP24" i="4"/>
  <c r="BN24" i="4"/>
  <c r="BM24" i="4"/>
  <c r="BK24" i="4"/>
  <c r="K24" i="4"/>
  <c r="I24" i="4"/>
  <c r="G24" i="4"/>
  <c r="E24" i="4"/>
  <c r="BT24" i="4"/>
  <c r="BO24" i="4"/>
  <c r="BL24" i="4"/>
  <c r="N26" i="5" l="1"/>
  <c r="Q25" i="5"/>
  <c r="D25" i="4" s="1"/>
  <c r="R25" i="5"/>
  <c r="P26" i="5" l="1"/>
  <c r="C26" i="4" s="1"/>
  <c r="O26" i="5"/>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E25" i="4"/>
  <c r="L25" i="4"/>
  <c r="K25" i="4"/>
  <c r="J25" i="4"/>
  <c r="I25" i="4"/>
  <c r="H25" i="4"/>
  <c r="G25" i="4"/>
  <c r="F25" i="4"/>
  <c r="DD25" i="4"/>
  <c r="DC25" i="4"/>
  <c r="DB25" i="4"/>
  <c r="DA25" i="4"/>
  <c r="CZ25" i="4"/>
  <c r="CY25" i="4"/>
  <c r="CX25" i="4"/>
  <c r="CW25" i="4"/>
  <c r="CV25" i="4"/>
  <c r="CU25" i="4"/>
  <c r="CT25" i="4"/>
  <c r="CS25" i="4"/>
  <c r="CR25" i="4"/>
  <c r="CQ25" i="4"/>
  <c r="CP25" i="4"/>
  <c r="CO25" i="4"/>
  <c r="CN25" i="4"/>
  <c r="CM25" i="4"/>
  <c r="CL25" i="4"/>
  <c r="CK25" i="4"/>
  <c r="CJ25" i="4"/>
  <c r="CI25" i="4"/>
  <c r="CH25" i="4"/>
  <c r="CG25" i="4"/>
  <c r="CF25" i="4"/>
  <c r="CE25" i="4"/>
  <c r="N27" i="5" l="1"/>
  <c r="R26" i="5"/>
  <c r="Q26" i="5"/>
  <c r="D26" i="4" s="1"/>
  <c r="O27" i="5" l="1"/>
  <c r="P27" i="5"/>
  <c r="C27" i="4" s="1"/>
  <c r="CO26" i="4"/>
  <c r="CN26" i="4"/>
  <c r="CM26" i="4"/>
  <c r="CL26" i="4"/>
  <c r="CK26" i="4"/>
  <c r="CJ26" i="4"/>
  <c r="CI26" i="4"/>
  <c r="CH26" i="4"/>
  <c r="CG26" i="4"/>
  <c r="CF26" i="4"/>
  <c r="CE26" i="4"/>
  <c r="CD26" i="4"/>
  <c r="CC26" i="4"/>
  <c r="CB26" i="4"/>
  <c r="CA26" i="4"/>
  <c r="E26" i="4"/>
  <c r="BZ26" i="4"/>
  <c r="BY26" i="4"/>
  <c r="BX26" i="4"/>
  <c r="BW26"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J26" i="4"/>
  <c r="H26" i="4"/>
  <c r="G26" i="4"/>
  <c r="AE26" i="4"/>
  <c r="AD26" i="4"/>
  <c r="AC26" i="4"/>
  <c r="AB26" i="4"/>
  <c r="AA26" i="4"/>
  <c r="Z26" i="4"/>
  <c r="Y26" i="4"/>
  <c r="X26" i="4"/>
  <c r="W26" i="4"/>
  <c r="V26" i="4"/>
  <c r="U26" i="4"/>
  <c r="T26" i="4"/>
  <c r="S26" i="4"/>
  <c r="R26" i="4"/>
  <c r="Q26" i="4"/>
  <c r="P26" i="4"/>
  <c r="O26" i="4"/>
  <c r="N26" i="4"/>
  <c r="M26" i="4"/>
  <c r="L26" i="4"/>
  <c r="K26" i="4"/>
  <c r="I26" i="4"/>
  <c r="F26" i="4"/>
  <c r="DD26" i="4"/>
  <c r="DC26" i="4"/>
  <c r="DB26" i="4"/>
  <c r="DA26" i="4"/>
  <c r="CZ26" i="4"/>
  <c r="CY26" i="4"/>
  <c r="CX26" i="4"/>
  <c r="CW26" i="4"/>
  <c r="CV26" i="4"/>
  <c r="CU26" i="4"/>
  <c r="CT26" i="4"/>
  <c r="CS26" i="4"/>
  <c r="CR26" i="4"/>
  <c r="CQ26" i="4"/>
  <c r="CP26" i="4"/>
  <c r="N41" i="5" l="1"/>
  <c r="Q27" i="5"/>
  <c r="D27" i="4" s="1"/>
  <c r="R27" i="5"/>
  <c r="N44" i="5"/>
  <c r="O44" i="5" s="1"/>
  <c r="N45" i="5" s="1"/>
  <c r="O45" i="5" s="1"/>
  <c r="N46" i="5" s="1"/>
  <c r="O46" i="5" s="1"/>
  <c r="N47" i="5" s="1"/>
  <c r="O47" i="5" s="1"/>
  <c r="N48" i="5" s="1"/>
  <c r="O48" i="5" s="1"/>
  <c r="N49" i="5" s="1"/>
  <c r="O49" i="5" s="1"/>
  <c r="P41" i="5" l="1"/>
  <c r="C41" i="4" s="1"/>
  <c r="O41" i="5"/>
  <c r="DD27" i="4"/>
  <c r="DC27" i="4"/>
  <c r="DB27" i="4"/>
  <c r="DA27" i="4"/>
  <c r="CZ27" i="4"/>
  <c r="CY27" i="4"/>
  <c r="CX27" i="4"/>
  <c r="CW27" i="4"/>
  <c r="CV27" i="4"/>
  <c r="CU27" i="4"/>
  <c r="CT27" i="4"/>
  <c r="CS27" i="4"/>
  <c r="CR27" i="4"/>
  <c r="CQ27" i="4"/>
  <c r="CP27" i="4"/>
  <c r="CO27" i="4"/>
  <c r="CN27" i="4"/>
  <c r="CM27" i="4"/>
  <c r="CL27" i="4"/>
  <c r="CK27" i="4"/>
  <c r="CJ27" i="4"/>
  <c r="CI27" i="4"/>
  <c r="CH27" i="4"/>
  <c r="CG27" i="4"/>
  <c r="CF27" i="4"/>
  <c r="CE27" i="4"/>
  <c r="CD27" i="4"/>
  <c r="CC27" i="4"/>
  <c r="CB27" i="4"/>
  <c r="CA27" i="4"/>
  <c r="BZ27" i="4"/>
  <c r="BY27" i="4"/>
  <c r="BX27" i="4"/>
  <c r="BW27"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L27" i="4"/>
  <c r="AK27" i="4"/>
  <c r="AJ27" i="4"/>
  <c r="AI27" i="4"/>
  <c r="AH27" i="4"/>
  <c r="AF27" i="4"/>
  <c r="AD27" i="4"/>
  <c r="AB27" i="4"/>
  <c r="Z27" i="4"/>
  <c r="X27" i="4"/>
  <c r="U27" i="4"/>
  <c r="S27" i="4"/>
  <c r="P27" i="4"/>
  <c r="N27" i="4"/>
  <c r="M27" i="4"/>
  <c r="K27" i="4"/>
  <c r="I27" i="4"/>
  <c r="F27" i="4"/>
  <c r="AM27" i="4"/>
  <c r="AG27" i="4"/>
  <c r="AE27" i="4"/>
  <c r="AC27" i="4"/>
  <c r="AA27" i="4"/>
  <c r="Y27" i="4"/>
  <c r="W27" i="4"/>
  <c r="V27" i="4"/>
  <c r="T27" i="4"/>
  <c r="R27" i="4"/>
  <c r="Q27" i="4"/>
  <c r="O27" i="4"/>
  <c r="L27" i="4"/>
  <c r="J27" i="4"/>
  <c r="H27" i="4"/>
  <c r="G27" i="4"/>
  <c r="E27" i="4"/>
  <c r="N42" i="5" l="1"/>
  <c r="R41" i="5"/>
  <c r="Q41" i="5"/>
  <c r="D41" i="4" s="1"/>
  <c r="O42" i="5" l="1"/>
  <c r="P42" i="5"/>
  <c r="C42" i="4" s="1"/>
  <c r="CJ41" i="4"/>
  <c r="CP41" i="4"/>
  <c r="CS41" i="4"/>
  <c r="CW41" i="4"/>
  <c r="CZ41" i="4"/>
  <c r="G41" i="4"/>
  <c r="K41" i="4"/>
  <c r="N41" i="4"/>
  <c r="R41" i="4"/>
  <c r="T41" i="4"/>
  <c r="Y41" i="4"/>
  <c r="AG41" i="4"/>
  <c r="AK41" i="4"/>
  <c r="AO41" i="4"/>
  <c r="AS41" i="4"/>
  <c r="AX41" i="4"/>
  <c r="BB41" i="4"/>
  <c r="BF41" i="4"/>
  <c r="BI41" i="4"/>
  <c r="BL41" i="4"/>
  <c r="BR41" i="4"/>
  <c r="BU41" i="4"/>
  <c r="BX41" i="4"/>
  <c r="CB41" i="4"/>
  <c r="CE41" i="4"/>
  <c r="CI41" i="4"/>
  <c r="CK41" i="4"/>
  <c r="CO41" i="4"/>
  <c r="CV41" i="4"/>
  <c r="DB41" i="4"/>
  <c r="H41" i="4"/>
  <c r="J41" i="4"/>
  <c r="Q41" i="4"/>
  <c r="W41" i="4"/>
  <c r="Z41" i="4"/>
  <c r="AC41" i="4"/>
  <c r="AF41" i="4"/>
  <c r="AJ41" i="4"/>
  <c r="AN41" i="4"/>
  <c r="AQ41" i="4"/>
  <c r="AT41" i="4"/>
  <c r="AW41" i="4"/>
  <c r="BA41" i="4"/>
  <c r="BE41" i="4"/>
  <c r="BJ41" i="4"/>
  <c r="BM41" i="4"/>
  <c r="E41" i="4"/>
  <c r="I41" i="4"/>
  <c r="M41" i="4"/>
  <c r="P41" i="4"/>
  <c r="S41" i="4"/>
  <c r="U41" i="4"/>
  <c r="AB41" i="4"/>
  <c r="AE41" i="4"/>
  <c r="AI41" i="4"/>
  <c r="AM41" i="4"/>
  <c r="AR41" i="4"/>
  <c r="AV41" i="4"/>
  <c r="AY41" i="4"/>
  <c r="BC41" i="4"/>
  <c r="BG41" i="4"/>
  <c r="BK41" i="4"/>
  <c r="BO41" i="4"/>
  <c r="BT41" i="4"/>
  <c r="BW41" i="4"/>
  <c r="BZ41" i="4"/>
  <c r="CC41" i="4"/>
  <c r="CH41" i="4"/>
  <c r="CM41" i="4"/>
  <c r="CQ41" i="4"/>
  <c r="CT41" i="4"/>
  <c r="CY41" i="4"/>
  <c r="DC41" i="4"/>
  <c r="F41" i="4"/>
  <c r="L41" i="4"/>
  <c r="O41" i="4"/>
  <c r="V41" i="4"/>
  <c r="X41" i="4"/>
  <c r="AA41" i="4"/>
  <c r="AD41" i="4"/>
  <c r="AH41" i="4"/>
  <c r="AL41" i="4"/>
  <c r="AP41" i="4"/>
  <c r="AU41" i="4"/>
  <c r="AZ41" i="4"/>
  <c r="BD41" i="4"/>
  <c r="BH41" i="4"/>
  <c r="BN41" i="4"/>
  <c r="BQ41" i="4"/>
  <c r="BV41" i="4"/>
  <c r="BY41" i="4"/>
  <c r="CF41" i="4"/>
  <c r="BP41" i="4"/>
  <c r="BS41" i="4"/>
  <c r="CA41" i="4"/>
  <c r="CD41" i="4"/>
  <c r="CG41" i="4"/>
  <c r="CL41" i="4"/>
  <c r="CN41" i="4"/>
  <c r="CR41" i="4"/>
  <c r="CU41" i="4"/>
  <c r="CX41" i="4"/>
  <c r="DA41" i="4"/>
  <c r="DD41" i="4"/>
  <c r="N43" i="5" l="1"/>
  <c r="Q42" i="5"/>
  <c r="D42" i="4" s="1"/>
  <c r="R42" i="5"/>
  <c r="O43" i="5" l="1"/>
  <c r="P43" i="5"/>
  <c r="C43" i="4" s="1"/>
  <c r="BY42" i="4"/>
  <c r="CB42" i="4"/>
  <c r="CI42" i="4"/>
  <c r="CN42" i="4"/>
  <c r="CU42" i="4"/>
  <c r="CZ42" i="4"/>
  <c r="F42" i="4"/>
  <c r="J42" i="4"/>
  <c r="N42" i="4"/>
  <c r="R42" i="4"/>
  <c r="W42" i="4"/>
  <c r="AA42" i="4"/>
  <c r="AG42" i="4"/>
  <c r="AJ42" i="4"/>
  <c r="AN42" i="4"/>
  <c r="AR42" i="4"/>
  <c r="AW42" i="4"/>
  <c r="BB42" i="4"/>
  <c r="BD42" i="4"/>
  <c r="BG42" i="4"/>
  <c r="BJ42" i="4"/>
  <c r="BP42" i="4"/>
  <c r="BT42" i="4"/>
  <c r="BX42" i="4"/>
  <c r="CE42" i="4"/>
  <c r="CH42" i="4"/>
  <c r="CK42" i="4"/>
  <c r="CO42" i="4"/>
  <c r="CR42" i="4"/>
  <c r="CX42" i="4"/>
  <c r="DD42" i="4"/>
  <c r="E42" i="4"/>
  <c r="O42" i="4"/>
  <c r="U42" i="4"/>
  <c r="Z42" i="4"/>
  <c r="AD42" i="4"/>
  <c r="AH42" i="4"/>
  <c r="AT42" i="4"/>
  <c r="BA42" i="4"/>
  <c r="BK42" i="4"/>
  <c r="BV42" i="4"/>
  <c r="CA42" i="4"/>
  <c r="CF42" i="4"/>
  <c r="CJ42" i="4"/>
  <c r="CT42" i="4"/>
  <c r="CW42" i="4"/>
  <c r="DA42" i="4"/>
  <c r="H42" i="4"/>
  <c r="L42" i="4"/>
  <c r="P42" i="4"/>
  <c r="T42" i="4"/>
  <c r="X42" i="4"/>
  <c r="AC42" i="4"/>
  <c r="AI42" i="4"/>
  <c r="AK42" i="4"/>
  <c r="AP42" i="4"/>
  <c r="AS42" i="4"/>
  <c r="AY42" i="4"/>
  <c r="BC42" i="4"/>
  <c r="BF42" i="4"/>
  <c r="BH42" i="4"/>
  <c r="BM42" i="4"/>
  <c r="BR42" i="4"/>
  <c r="BU42" i="4"/>
  <c r="BZ42" i="4"/>
  <c r="CD42" i="4"/>
  <c r="CG42" i="4"/>
  <c r="CM42" i="4"/>
  <c r="CQ42" i="4"/>
  <c r="CS42" i="4"/>
  <c r="CV42" i="4"/>
  <c r="DB42" i="4"/>
  <c r="I42" i="4"/>
  <c r="M42" i="4"/>
  <c r="S42" i="4"/>
  <c r="Y42" i="4"/>
  <c r="AB42" i="4"/>
  <c r="AF42" i="4"/>
  <c r="AM42" i="4"/>
  <c r="AO42" i="4"/>
  <c r="AU42" i="4"/>
  <c r="AX42" i="4"/>
  <c r="BE42" i="4"/>
  <c r="BL42" i="4"/>
  <c r="BO42" i="4"/>
  <c r="BS42" i="4"/>
  <c r="BW42" i="4"/>
  <c r="CC42" i="4"/>
  <c r="CL42" i="4"/>
  <c r="CP42" i="4"/>
  <c r="CY42" i="4"/>
  <c r="DC42" i="4"/>
  <c r="G42" i="4"/>
  <c r="K42" i="4"/>
  <c r="Q42" i="4"/>
  <c r="V42" i="4"/>
  <c r="AE42" i="4"/>
  <c r="AL42" i="4"/>
  <c r="AQ42" i="4"/>
  <c r="AV42" i="4"/>
  <c r="AZ42" i="4"/>
  <c r="BI42" i="4"/>
  <c r="BN42" i="4"/>
  <c r="BQ42" i="4"/>
  <c r="B18" i="6" l="1"/>
  <c r="B20" i="6"/>
  <c r="B21" i="6"/>
  <c r="B19" i="6"/>
  <c r="B17" i="6"/>
  <c r="B7" i="6"/>
  <c r="B9" i="6" s="1"/>
  <c r="B13" i="6" s="1"/>
  <c r="Q43" i="5"/>
  <c r="R43" i="5"/>
  <c r="B6" i="6" l="1"/>
  <c r="D43" i="4"/>
  <c r="B8" i="6" l="1"/>
  <c r="M8" i="9"/>
  <c r="BY43" i="4"/>
  <c r="BV43" i="4"/>
  <c r="BL43" i="4"/>
  <c r="BH43" i="4"/>
  <c r="AX43" i="4"/>
  <c r="AO43" i="4"/>
  <c r="AL43" i="4"/>
  <c r="AD43" i="4"/>
  <c r="W43" i="4"/>
  <c r="M43" i="4"/>
  <c r="BB43" i="4"/>
  <c r="AU43" i="4"/>
  <c r="AK43" i="4"/>
  <c r="S43" i="4"/>
  <c r="BD43" i="4"/>
  <c r="AR43" i="4"/>
  <c r="AE43" i="4"/>
  <c r="T43" i="4"/>
  <c r="G43" i="4"/>
  <c r="BJ43" i="4"/>
  <c r="AZ43" i="4"/>
  <c r="AI43" i="4"/>
  <c r="AB43" i="4"/>
  <c r="U43" i="4"/>
  <c r="R43" i="4"/>
  <c r="L43" i="4"/>
  <c r="DD43" i="4"/>
  <c r="DA43" i="4"/>
  <c r="CZ43" i="4"/>
  <c r="CW43" i="4"/>
  <c r="CU43" i="4"/>
  <c r="CT43" i="4"/>
  <c r="CR43" i="4"/>
  <c r="CP43" i="4"/>
  <c r="CN43" i="4"/>
  <c r="CJ43" i="4"/>
  <c r="BE43" i="4"/>
  <c r="AT43" i="4"/>
  <c r="AG43" i="4"/>
  <c r="AA43" i="4"/>
  <c r="Q43" i="4"/>
  <c r="I43" i="4"/>
  <c r="AY43" i="4"/>
  <c r="AP43" i="4"/>
  <c r="AF43" i="4"/>
  <c r="J43" i="4"/>
  <c r="E43" i="4"/>
  <c r="AV43" i="4"/>
  <c r="AH43" i="4"/>
  <c r="Y43" i="4"/>
  <c r="N43" i="4"/>
  <c r="BG43" i="4"/>
  <c r="BC43" i="4"/>
  <c r="AQ43" i="4"/>
  <c r="AN43" i="4"/>
  <c r="X43" i="4"/>
  <c r="O43" i="4"/>
  <c r="F43" i="4"/>
  <c r="DC43" i="4"/>
  <c r="DB43" i="4"/>
  <c r="CY43" i="4"/>
  <c r="CX43" i="4"/>
  <c r="CV43" i="4"/>
  <c r="CS43" i="4"/>
  <c r="CQ43" i="4"/>
  <c r="CO43" i="4"/>
  <c r="CM43" i="4"/>
  <c r="CL43" i="4"/>
  <c r="CK43" i="4"/>
  <c r="CI43" i="4"/>
  <c r="CH43" i="4"/>
  <c r="CG43" i="4"/>
  <c r="CF43" i="4"/>
  <c r="CE43" i="4"/>
  <c r="CD43" i="4"/>
  <c r="CC43" i="4"/>
  <c r="CB43" i="4"/>
  <c r="CA43" i="4"/>
  <c r="BZ43" i="4"/>
  <c r="BX43" i="4"/>
  <c r="BW43" i="4"/>
  <c r="BU43" i="4"/>
  <c r="BT43" i="4"/>
  <c r="BS43" i="4"/>
  <c r="BR43" i="4"/>
  <c r="BQ43" i="4"/>
  <c r="BP43" i="4"/>
  <c r="BO43" i="4"/>
  <c r="BN43" i="4"/>
  <c r="BM43" i="4"/>
  <c r="BK43" i="4"/>
  <c r="BI43" i="4"/>
  <c r="BF43" i="4"/>
  <c r="BA43" i="4"/>
  <c r="AW43" i="4"/>
  <c r="AS43" i="4"/>
  <c r="AM43" i="4"/>
  <c r="AJ43" i="4"/>
  <c r="AC43" i="4"/>
  <c r="Z43" i="4"/>
  <c r="V43" i="4"/>
  <c r="P43" i="4"/>
  <c r="K43" i="4"/>
  <c r="H43" i="4"/>
</calcChain>
</file>

<file path=xl/sharedStrings.xml><?xml version="1.0" encoding="utf-8"?>
<sst xmlns="http://schemas.openxmlformats.org/spreadsheetml/2006/main" count="982" uniqueCount="550">
  <si>
    <t>Setting</t>
  </si>
  <si>
    <t>Editable Value</t>
  </si>
  <si>
    <t>Meaning</t>
  </si>
  <si>
    <t>Start date</t>
  </si>
  <si>
    <t>Dates are forecasts for remaining work, not records of actual completion.</t>
  </si>
  <si>
    <t>Hours available per study day</t>
  </si>
  <si>
    <t>One total daily budget shared by all lanes; change this first.</t>
  </si>
  <si>
    <t>Weekend pattern Monday to Sunday</t>
  </si>
  <si>
    <t>Seven text digits: 0=study day, 1=rest day. 0000011 means Monday-Friday.</t>
  </si>
  <si>
    <t>0000001</t>
  </si>
  <si>
    <t>Effort contingency</t>
  </si>
  <si>
    <t>Extra effort applied once to each remaining task estimate.</t>
  </si>
  <si>
    <t>Usable time fraction</t>
  </si>
  <si>
    <t>Allows for interruptions; 85% of entered hours is scheduled.</t>
  </si>
  <si>
    <t>Core allocation</t>
  </si>
  <si>
    <t>Fraction of usable daily time reserved for core concepts and implementation.</t>
  </si>
  <si>
    <t>Practice allocation</t>
  </si>
  <si>
    <t>Fraction reserved for DSA, SQL, numerical ML, and revision.</t>
  </si>
  <si>
    <t>Delivery allocation</t>
  </si>
  <si>
    <t>Fraction reserved for discovery, capstone work, security, UAT, and handover.</t>
  </si>
  <si>
    <t>Core hours per study day</t>
  </si>
  <si>
    <t>Calculated; capacity is not duplicated between lanes.</t>
  </si>
  <si>
    <t>Practice hours per study day</t>
  </si>
  <si>
    <t>Calculated.</t>
  </si>
  <si>
    <t>Delivery hours per study day</t>
  </si>
  <si>
    <t>Study days per week</t>
  </si>
  <si>
    <t>Count of zeroes in the weekend pattern.</t>
  </si>
  <si>
    <t>Allocation total</t>
  </si>
  <si>
    <t>Must equal 100%.</t>
  </si>
  <si>
    <t>Input status</t>
  </si>
  <si>
    <t>Invalid inputs suppress schedule dates rather than invent a finish date.</t>
  </si>
  <si>
    <t>Holiday / excluded date</t>
  </si>
  <si>
    <t>Reason</t>
  </si>
  <si>
    <t>ID</t>
  </si>
  <si>
    <t>Learning module</t>
  </si>
  <si>
    <t>Lane</t>
  </si>
  <si>
    <t>Include 1/0</t>
  </si>
  <si>
    <t>Estimate hours</t>
  </si>
  <si>
    <t>Complete %</t>
  </si>
  <si>
    <t>Prerequisite 1</t>
  </si>
  <si>
    <t>Prerequisite 2</t>
  </si>
  <si>
    <t>Prerequisite 3</t>
  </si>
  <si>
    <t>Prerequisite 4</t>
  </si>
  <si>
    <t>Remaining buffered hours</t>
  </si>
  <si>
    <t>Lane hours/day</t>
  </si>
  <si>
    <t>Status</t>
  </si>
  <si>
    <t>Start study-day offset</t>
  </si>
  <si>
    <t>Finish study-day offset</t>
  </si>
  <si>
    <t>Planned start</t>
  </si>
  <si>
    <t>Planned finish</t>
  </si>
  <si>
    <t>Study-day duration</t>
  </si>
  <si>
    <t>Completion evidence</t>
  </si>
  <si>
    <t>Practice / reference URL</t>
  </si>
  <si>
    <t>F01</t>
  </si>
  <si>
    <t>FDE role and delivery orientation</t>
  </si>
  <si>
    <t>Core</t>
  </si>
  <si>
    <t>Explain customer ownership, role boundaries, and a reason to stop an engagement.</t>
  </si>
  <si>
    <t>https://roadmap.sh/forward-deployed-engineer</t>
  </si>
  <si>
    <t>F02</t>
  </si>
  <si>
    <t>Primary language: Python</t>
  </si>
  <si>
    <t>Run a tested ingestion command in a fresh environment.</t>
  </si>
  <si>
    <t>https://www.deep-ml.com/paths</t>
  </si>
  <si>
    <t>F03</t>
  </si>
  <si>
    <t>Git Linux and debugging foundations</t>
  </si>
  <si>
    <t>Diagnose a failed service and deliver a reviewable change.</t>
  </si>
  <si>
    <t>https://roadmap.sh/git-github</t>
  </si>
  <si>
    <t>F04</t>
  </si>
  <si>
    <t>Testing and reproducible project bridge</t>
  </si>
  <si>
    <t>Write unit, integration, and contract tests with fixtures and a CI check.</t>
  </si>
  <si>
    <t>https://abseil.io/resources/swe-book</t>
  </si>
  <si>
    <t>F05</t>
  </si>
  <si>
    <t>HTTP backend and API contracts</t>
  </si>
  <si>
    <t>Build a validated API and durable job workflow with explicit errors.</t>
  </si>
  <si>
    <t>https://roadmap.sh/backend</t>
  </si>
  <si>
    <t>F06</t>
  </si>
  <si>
    <t>SQL relational modeling and PostgreSQL</t>
  </si>
  <si>
    <t>Reconcile joins, constrain data, inspect a plan, and restore a test backup.</t>
  </si>
  <si>
    <t>https://datalemur.com/</t>
  </si>
  <si>
    <t>F07</t>
  </si>
  <si>
    <t>One usable frontend stack</t>
  </si>
  <si>
    <t>Complete an accessible review flow including failure and loading states.</t>
  </si>
  <si>
    <t>https://roadmap.sh/frontend</t>
  </si>
  <si>
    <t>F08</t>
  </si>
  <si>
    <t>Data lifecycle pipelines and quality</t>
  </si>
  <si>
    <t>Trace a serving record to source and replay data without duplication.</t>
  </si>
  <si>
    <t>https://roadmap.sh/data-engineer</t>
  </si>
  <si>
    <t>B01</t>
  </si>
  <si>
    <t>Linear algebra and numerical reasoning bridge</t>
  </si>
  <si>
    <t>Test matrix shapes, normalization, similarity, and zero-vector behavior.</t>
  </si>
  <si>
    <t>B02</t>
  </si>
  <si>
    <t>Probability statistics and uncertainty bridge</t>
  </si>
  <si>
    <t>Explain base rates, sampling uncertainty, and a confidence interval.</t>
  </si>
  <si>
    <t>B03</t>
  </si>
  <si>
    <t>NumPy pandas and data manipulation bridge</t>
  </si>
  <si>
    <t>Produce a reproducible audit with missing data and duplicate-key checks.</t>
  </si>
  <si>
    <t>B04</t>
  </si>
  <si>
    <t>Calculus gradients and optimization bridge</t>
  </si>
  <si>
    <t>Implement and check one gradient update and learning-rate failure.</t>
  </si>
  <si>
    <t>B05</t>
  </si>
  <si>
    <t>Classical ML baselines and leakage bridge</t>
  </si>
  <si>
    <t>Compare regression or classification against a baseline using leakage-safe splits.</t>
  </si>
  <si>
    <t>B06</t>
  </si>
  <si>
    <t>Metrics thresholds and experimental reasoning bridge</t>
  </si>
  <si>
    <t>Choose task metrics and distinguish a score difference from a causal claim.</t>
  </si>
  <si>
    <t>A01</t>
  </si>
  <si>
    <t>LLM behavior and model selection</t>
  </si>
  <si>
    <t>Compare candidate approaches with quality, policy, latency, and cost evidence.</t>
  </si>
  <si>
    <t>https://roadmap.sh/ai-engineer</t>
  </si>
  <si>
    <t>A02</t>
  </si>
  <si>
    <t>Prompt context and prompt lifecycle</t>
  </si>
  <si>
    <t>Version a schema-constrained prompt and a permission-filtered context packet.</t>
  </si>
  <si>
    <t>https://roadmap.sh/prompt-engineering</t>
  </si>
  <si>
    <t>A03</t>
  </si>
  <si>
    <t>Retrieval embeddings and vector stores</t>
  </si>
  <si>
    <t>Measure retrieval separately and verify citation support and tenant isolation.</t>
  </si>
  <si>
    <t>A04</t>
  </si>
  <si>
    <t>Evaluation pipelines and regression analysis</t>
  </si>
  <si>
    <t>Produce a versioned held-out report with errors separate from poor scores.</t>
  </si>
  <si>
    <t>https://eugeneyan.com/writing/</t>
  </si>
  <si>
    <t>S01</t>
  </si>
  <si>
    <t>Authentication API and system security</t>
  </si>
  <si>
    <t>Reject invalid credentials, cross-tenant access, and unsafe output use.</t>
  </si>
  <si>
    <t>https://genai.owasp.org/llm-top-10/</t>
  </si>
  <si>
    <t>A05</t>
  </si>
  <si>
    <t>Trusted tools state and integration</t>
  </si>
  <si>
    <t>Reject malformed or unauthorized tool calls and recover a partial integration failure.</t>
  </si>
  <si>
    <t>https://roadmap.sh/ai-agents</t>
  </si>
  <si>
    <t>A06</t>
  </si>
  <si>
    <t>Bounded agents and architecture tradeoffs</t>
  </si>
  <si>
    <t>Compare a fixed workflow and agent with budgets, stopping rules, and task evaluations.</t>
  </si>
  <si>
    <t>A07</t>
  </si>
  <si>
    <t>AI-assisted development discipline</t>
  </si>
  <si>
    <t>Explain generated code changes and independently validate acceptance behavior.</t>
  </si>
  <si>
    <t>https://roadmap.sh/vibe-coding</t>
  </si>
  <si>
    <t>C01</t>
  </si>
  <si>
    <t>One cloud and container deployment</t>
  </si>
  <si>
    <t>Deploy a sandbox service with scoped identity, private data, and a budget.</t>
  </si>
  <si>
    <t>https://roadmap.sh/aws</t>
  </si>
  <si>
    <t>C02</t>
  </si>
  <si>
    <t>Infrastructure as code and release workflow</t>
  </si>
  <si>
    <t>Review infrastructure changes and rehearse a controlled rollout and recovery.</t>
  </si>
  <si>
    <t>https://roadmap.sh/terraform</t>
  </si>
  <si>
    <t>C03</t>
  </si>
  <si>
    <t>Observability and inference measurement</t>
  </si>
  <si>
    <t>Find a failed stage in a redacted trace and measure quality-preserving optimization.</t>
  </si>
  <si>
    <t>https://opentelemetry.io/docs/</t>
  </si>
  <si>
    <t>C04</t>
  </si>
  <si>
    <t>Model and application release lifecycle</t>
  </si>
  <si>
    <t>Pin model, prompt, dataset, evaluator, index, and application artifacts.</t>
  </si>
  <si>
    <t>https://madewithml.com/</t>
  </si>
  <si>
    <t>P01</t>
  </si>
  <si>
    <t>DSA fundamentals and first pattern exercises</t>
  </si>
  <si>
    <t>Practice</t>
  </si>
  <si>
    <t>Implement basic structures and explain correctness and complexity.</t>
  </si>
  <si>
    <t>https://neetcode.io/roadmap</t>
  </si>
  <si>
    <t>P02</t>
  </si>
  <si>
    <t>SQL practice with duplicates NULL and windows</t>
  </si>
  <si>
    <t>Solve representative SQL cases and state output grain and edge behavior.</t>
  </si>
  <si>
    <t>https://datalemur.com/questions</t>
  </si>
  <si>
    <t>P03</t>
  </si>
  <si>
    <t>DSA pattern practice and spaced review</t>
  </si>
  <si>
    <t>Solve unseen variants across trees, heaps, graphs, and introductory dynamic programming.</t>
  </si>
  <si>
    <t>https://leetcode.com/problemset/</t>
  </si>
  <si>
    <t>P04</t>
  </si>
  <si>
    <t>ML and mathematical coding practice</t>
  </si>
  <si>
    <t>Implement selected Deep-ML problems and explain numerical and model behavior.</t>
  </si>
  <si>
    <t>P05</t>
  </si>
  <si>
    <t>Timed DSA and system-design explanation</t>
  </si>
  <si>
    <t>Complete a mock coding or design exercise with explicit tradeoffs and edge tests.</t>
  </si>
  <si>
    <t>https://neetcode.io/practice</t>
  </si>
  <si>
    <t>P06</t>
  </si>
  <si>
    <t>Mixed SQL ML DSA revision and interview evidence</t>
  </si>
  <si>
    <t>Revisit mistakes unaided and present a measured project case study.</t>
  </si>
  <si>
    <t>D01</t>
  </si>
  <si>
    <t>Discovery and business workflow framing</t>
  </si>
  <si>
    <t>Delivery</t>
  </si>
  <si>
    <t>Write a pilot brief with users, baseline, constraints, assumptions, and stop criteria.</t>
  </si>
  <si>
    <t>https://www.momtestbook.com/</t>
  </si>
  <si>
    <t>D02</t>
  </si>
  <si>
    <t>Requirements scoping and stakeholder alignment</t>
  </si>
  <si>
    <t>Agree acceptance evidence and decision ownership with representative stakeholders.</t>
  </si>
  <si>
    <t>D03</t>
  </si>
  <si>
    <t>Privacy governance and data permissions</t>
  </si>
  <si>
    <t>Document data flows, retention, permissions, vendor assumptions, and review owners.</t>
  </si>
  <si>
    <t>https://www.nist.gov/itl/ai-risk-management-framework</t>
  </si>
  <si>
    <t>D04</t>
  </si>
  <si>
    <t>Capstone data audit and non-AI baseline</t>
  </si>
  <si>
    <t>Build a synthetic multi-tenant dataset and reconcile baseline task measurements.</t>
  </si>
  <si>
    <t>D05</t>
  </si>
  <si>
    <t>Capstone full-stack vertical slice</t>
  </si>
  <si>
    <t>Deliver an authenticated operator flow with durable state and explicit errors.</t>
  </si>
  <si>
    <t>https://roadmap.sh/full-stack</t>
  </si>
  <si>
    <t>D06</t>
  </si>
  <si>
    <t>Capstone retrieval and evaluation pilot</t>
  </si>
  <si>
    <t>Demonstrate supported answers, abstention, and versioned case-level evaluations.</t>
  </si>
  <si>
    <t>D07</t>
  </si>
  <si>
    <t>Capstone bounded actions and failure rehearsal</t>
  </si>
  <si>
    <t>Demonstrate trusted approval, replay-safe actions, and recovery from a tool outage.</t>
  </si>
  <si>
    <t>D08</t>
  </si>
  <si>
    <t>Deployment user acceptance and recovery</t>
  </si>
  <si>
    <t>Run representative UAT and rehearse deployment, restore, and rollback or roll-forward.</t>
  </si>
  <si>
    <t>https://sre.google/books/</t>
  </si>
  <si>
    <t>D09</t>
  </si>
  <si>
    <t>Operational handover and technical writing</t>
  </si>
  <si>
    <t>Another engineer can operate, diagnose, and recover using the runbook.</t>
  </si>
  <si>
    <t>D10</t>
  </si>
  <si>
    <t>Value report feedback and portfolio</t>
  </si>
  <si>
    <t>Present measured value, uncertainty, adoption, cost, product feedback, and next decisions.</t>
  </si>
  <si>
    <t>O01</t>
  </si>
  <si>
    <t>Optional additional programming languages</t>
  </si>
  <si>
    <t>Choose only the language needed by the target role and demonstrate one integration.</t>
  </si>
  <si>
    <t>https://roadmap.sh/</t>
  </si>
  <si>
    <t>O02</t>
  </si>
  <si>
    <t>Optional alternative cloud depth</t>
  </si>
  <si>
    <t>Choose a justified additional cloud or replace AWS in the baseline plan.</t>
  </si>
  <si>
    <t>https://roadmap.sh/devops</t>
  </si>
  <si>
    <t>O03</t>
  </si>
  <si>
    <t>Optional distributed processing and orchestration</t>
  </si>
  <si>
    <t>Demonstrate an idempotent backfill or justified distributed job.</t>
  </si>
  <si>
    <t>O04</t>
  </si>
  <si>
    <t>Optional Kubernetes operations</t>
  </si>
  <si>
    <t>Diagnose a failed rollout with appropriate resource, network, and access controls.</t>
  </si>
  <si>
    <t>https://roadmap.sh/kubernetes</t>
  </si>
  <si>
    <t>O05</t>
  </si>
  <si>
    <t>Optional alternative stores APIs and runtimes</t>
  </si>
  <si>
    <t>Choose only a needed alternative and defend its access patterns and operational tradeoffs.</t>
  </si>
  <si>
    <t>O06</t>
  </si>
  <si>
    <t>Optional coding-agent product comparison</t>
  </si>
  <si>
    <t>Pilot one or two tools in a sandbox with explicit permission and privacy checks.</t>
  </si>
  <si>
    <t>Measure</t>
  </si>
  <si>
    <t>Calculated Result</t>
  </si>
  <si>
    <t>Interpretation</t>
  </si>
  <si>
    <t>Plan status</t>
  </si>
  <si>
    <t>Selected unbuffered hours</t>
  </si>
  <si>
    <t>Effort-weighted completion</t>
  </si>
  <si>
    <t>Forecast finish</t>
  </si>
  <si>
    <t>Remaining study-day span</t>
  </si>
  <si>
    <t>Calendar-day span</t>
  </si>
  <si>
    <t>Approximate study weeks</t>
  </si>
  <si>
    <t>Core daily usable hours</t>
  </si>
  <si>
    <t>Practice daily usable hours</t>
  </si>
  <si>
    <t>Delivery daily usable hours</t>
  </si>
  <si>
    <t>Timeline display window</t>
  </si>
  <si>
    <t>A blocked or invalid plan does not display a misleading finish date.</t>
  </si>
  <si>
    <t>Original illustrative estimates for included modules; edit estimates after an initial diagnostic.</t>
  </si>
  <si>
    <t>Remaining estimate multiplied by contingency. Idle time from dependencies or lane reservations is not counted as study effort.</t>
  </si>
  <si>
    <t>Estimate-weighted progress, not a guarantee of mastery.</t>
  </si>
  <si>
    <t>Forecast for the selected remaining plan. This is not a job-readiness promise.</t>
  </si>
  <si>
    <t>Includes waiting caused by prerequisites and fixed lane allocations.</t>
  </si>
  <si>
    <t>Study-day span divided by study days per week; holidays can increase calendar time.</t>
  </si>
  <si>
    <t>Hours/day scenario</t>
  </si>
  <si>
    <t>Estimated finish</t>
  </si>
  <si>
    <t>Same scope, progress, allocation, calendar, and contingency; change those inputs in Settings.</t>
  </si>
  <si>
    <t>Module</t>
  </si>
  <si>
    <t>Start</t>
  </si>
  <si>
    <t>Finish</t>
  </si>
  <si>
    <t>Original Topic</t>
  </si>
  <si>
    <t>Track</t>
  </si>
  <si>
    <t>Scheduled Module</t>
  </si>
  <si>
    <t>Module Name</t>
  </si>
  <si>
    <t>Concept-to-practice evidence</t>
  </si>
  <si>
    <t>Introduction</t>
  </si>
  <si>
    <t>01 Role and Glossary</t>
  </si>
  <si>
    <t>Explain the engagement from business pain to operating ownership, including a reason to stop the project.</t>
  </si>
  <si>
    <t>Roles &amp; Responsabilities</t>
  </si>
  <si>
    <t>Every delivery activity has an accountable owner and an explicit handoff condition.</t>
  </si>
  <si>
    <t>From X to FDE</t>
  </si>
  <si>
    <t>A portfolio includes a working system, decision log, measured result, and honest failure analysis.</t>
  </si>
  <si>
    <t>FDE Tiers</t>
  </si>
  <si>
    <t>Explain which roles fit your evidence today and the concrete gaps for the next scope of ownership.</t>
  </si>
  <si>
    <t>Delta</t>
  </si>
  <si>
    <t>Resolve the meaning from context and avoid treating one company's terminology as an industry standard.</t>
  </si>
  <si>
    <t>Last-Mile Integration</t>
  </si>
  <si>
    <t>A user completes the real task in the target workflow, including error and fallback paths.</t>
  </si>
  <si>
    <t>Day 2 Operations</t>
  </si>
  <si>
    <t>Another engineer can detect, diagnose, recover, and communicate an incident using the runbook.</t>
  </si>
  <si>
    <t>UAT</t>
  </si>
  <si>
    <t>Business owners sign off on documented workflows, limitations, unresolved defects, and release conditions.</t>
  </si>
  <si>
    <t>Productized Consulting</t>
  </si>
  <si>
    <t>An engagement can be repeated with consistent artifacts while exceptions remain explicit.</t>
  </si>
  <si>
    <t>Embedded Engineering</t>
  </si>
  <si>
    <t>The customer can operate the delivered workflow and the product team receives reusable requirements.</t>
  </si>
  <si>
    <t>Learn a Language</t>
  </si>
  <si>
    <t>02 Programming and Systems</t>
  </si>
  <si>
    <t>Implement and troubleshoot an end-to-end feature without relying on generated code you cannot explain.</t>
  </si>
  <si>
    <t>Python</t>
  </si>
  <si>
    <t>A fresh environment can run documented commands, tests, and a sample job with deterministic fixture inputs.</t>
  </si>
  <si>
    <t>JavaScript / TypeScript</t>
  </si>
  <si>
    <t>Malformed responses fail visibly and safely while valid responses retain useful inferred types.</t>
  </si>
  <si>
    <t>Java / Scala</t>
  </si>
  <si>
    <t>Explain the build, runtime configuration, failure handling, and integration contract of the changed component.</t>
  </si>
  <si>
    <t>Go</t>
  </si>
  <si>
    <t>The tool stays within its concurrency budget and terminates predictably under timeouts.</t>
  </si>
  <si>
    <t>Rust</t>
  </si>
  <si>
    <t>Justify the language choice and show correct error handling without unexplained unsafe operations.</t>
  </si>
  <si>
    <t>C++</t>
  </si>
  <si>
    <t>Explain the ownership model and validate the relevant boundary with a focused test or sanitizer run.</t>
  </si>
  <si>
    <t>DSA &amp; System Design</t>
  </si>
  <si>
    <t>Defend a simple design numerically and identify the first bottleneck and recovery path.</t>
  </si>
  <si>
    <t>Git &amp; GitHub</t>
  </si>
  <si>
    <t>Another engineer can review, reproduce, and safely revert the feature.</t>
  </si>
  <si>
    <t>Linux Skills</t>
  </si>
  <si>
    <t>Produce a minimal diagnosis with evidence and recover without weakening access controls.</t>
  </si>
  <si>
    <t>Frontend Skills</t>
  </si>
  <si>
    <t>03 Full Stack and Data</t>
  </si>
  <si>
    <t>Users can complete the task with keyboard navigation and clear feedback on network or permission failures.</t>
  </si>
  <si>
    <t>HTML</t>
  </si>
  <si>
    <t>The interface remains understandable without styling and usable with keyboard-only navigation.</t>
  </si>
  <si>
    <t>CSS</t>
  </si>
  <si>
    <t>No important content overlaps or becomes inaccessible at supported viewport sizes and zoom levels.</t>
  </si>
  <si>
    <t>JavaScript</t>
  </si>
  <si>
    <t>Out-of-order responses, retries, and user cancellation behave predictably in a small test.</t>
  </si>
  <si>
    <t>React</t>
  </si>
  <si>
    <t>Component behavior is explainable under rerenders, request failures, and navigation.</t>
  </si>
  <si>
    <t>Backend Skills</t>
  </si>
  <si>
    <t>A duplicate request or failed worker cannot silently corrupt state or cross tenant boundaries.</t>
  </si>
  <si>
    <t>Node.js</t>
  </si>
  <si>
    <t>Concurrent requests remain responsive while large or malformed uploads are rejected safely.</t>
  </si>
  <si>
    <t>SQL</t>
  </si>
  <si>
    <t>Reconcile query output with a hand-checked sample and explain the query plan for realistic data volume.</t>
  </si>
  <si>
    <t>PostgreSQL</t>
  </si>
  <si>
    <t>Demonstrate concurrency correctness, query performance, and a documented restore procedure.</t>
  </si>
  <si>
    <t>NoSQL DBs</t>
  </si>
  <si>
    <t>Explain exactly which queries and consistency guarantees justify the chosen store.</t>
  </si>
  <si>
    <t>APIs Design</t>
  </si>
  <si>
    <t>Clients can distinguish accepted work, completed work, retryable failure, and permanent rejection.</t>
  </si>
  <si>
    <t>GraphQL</t>
  </si>
  <si>
    <t>A nested query has bounded cost and the same authorization guarantees as direct API access.</t>
  </si>
  <si>
    <t>Data Engineering Skills</t>
  </si>
  <si>
    <t>A sampled output can be traced to its source and regenerated after a controlled backfill.</t>
  </si>
  <si>
    <t>Data Modeling</t>
  </si>
  <si>
    <t>Two engineers derive the same metric and authorization result from the documented model.</t>
  </si>
  <si>
    <t>Data Pipelines</t>
  </si>
  <si>
    <t>A restart or replay produces the documented result without unexplained loss or duplication.</t>
  </si>
  <si>
    <t>Data Warehouses</t>
  </si>
  <si>
    <t>A business metric reconciles with source samples and its refresh delay and caveats are visible.</t>
  </si>
  <si>
    <t>Spark</t>
  </si>
  <si>
    <t>Explain the execution plan, data movement, and cost of a representative job.</t>
  </si>
  <si>
    <t>Airflow</t>
  </si>
  <si>
    <t>A failed task can be retried and a past interval can be reproduced with documented inputs.</t>
  </si>
  <si>
    <t>AI Engineering Skills</t>
  </si>
  <si>
    <t>04 AI Engineering</t>
  </si>
  <si>
    <t>A repeatable evaluation shows improvement over a simple baseline within an agreed operational budget.</t>
  </si>
  <si>
    <t>LLM Fundamentals</t>
  </si>
  <si>
    <t>Explain why a response was accepted or rejected using evidence, validation, and the provider's actual data policy.</t>
  </si>
  <si>
    <t>Prompt Engineering</t>
  </si>
  <si>
    <t>A prompt revision improves measured outcomes without breaking existing cases or weakening boundaries.</t>
  </si>
  <si>
    <t>Context Engineering</t>
  </si>
  <si>
    <t>Explain why every included item is relevant, authorized, current enough, and worth its token cost.</t>
  </si>
  <si>
    <t>RAGs</t>
  </si>
  <si>
    <t>Answers cite passages that support their claims, and unauthorized documents never enter the model context.</t>
  </si>
  <si>
    <t>Vector DBs</t>
  </si>
  <si>
    <t>Measure recall, latency, freshness, deletion behavior, and tenant isolation under representative queries.</t>
  </si>
  <si>
    <t>Choosing Model Providers</t>
  </si>
  <si>
    <t>A decision record contains measured task results, policy checks, a cost model, and a tested fallback policy.</t>
  </si>
  <si>
    <t>Prompt Management</t>
  </si>
  <si>
    <t>Reproduce which prompt, model, retrieval configuration, and tool schema generated a given output.</t>
  </si>
  <si>
    <t>AI Agents</t>
  </si>
  <si>
    <t>05 Agents and Coding Tools</t>
  </si>
  <si>
    <t>The agent stops safely, reports uncertainty, and cannot perform an action outside server-enforced authority.</t>
  </si>
  <si>
    <t>Agent Architectures</t>
  </si>
  <si>
    <t>Choose the simplest architecture that meets the measured requirements and explain why alternatives lose.</t>
  </si>
  <si>
    <t>Tools &amp; Functions</t>
  </si>
  <si>
    <t>Malformed, unauthorized, repeated, and excessive calls are rejected before any side effect.</t>
  </si>
  <si>
    <t>Memory &amp; State</t>
  </si>
  <si>
    <t>A restart resumes predictably, sensitive memory can be deleted, and side effects are not duplicated.</t>
  </si>
  <si>
    <t>MCP</t>
  </si>
  <si>
    <t>A client discovers capabilities and uses only authorized operations with bounded, auditable behavior.</t>
  </si>
  <si>
    <t>Multi-Agents</t>
  </si>
  <si>
    <t>A measured improvement justifies coordination cost and responsibility for final decisions remains explicit.</t>
  </si>
  <si>
    <t>Vibe Coding</t>
  </si>
  <si>
    <t>The generated feature meets a written acceptance criterion and passes the same review gates as human-written code.</t>
  </si>
  <si>
    <t>Claude Code</t>
  </si>
  <si>
    <t>You can reconstruct the task, permissions, changes, validation, and remaining risk from the session evidence.</t>
  </si>
  <si>
    <t>Codex</t>
  </si>
  <si>
    <t>The chosen mode has documented permissions, reproducible output, and independently checked changes.</t>
  </si>
  <si>
    <t>Gemini</t>
  </si>
  <si>
    <t>Document the exact endpoint, model, account policy, limits, cost, and measured task results.</t>
  </si>
  <si>
    <t>Cursor</t>
  </si>
  <si>
    <t>The feature is verified and the organization's rules for indexed or transmitted code are respected.</t>
  </si>
  <si>
    <t>OpenClaw</t>
  </si>
  <si>
    <t>A documented threat model and bounded pilot justify every permission and provide a clear kill switch.</t>
  </si>
  <si>
    <t>OpenCode</t>
  </si>
  <si>
    <t>Document which code and prompts leave the machine and which commands the tool can execute.</t>
  </si>
  <si>
    <t>Integration Engineering</t>
  </si>
  <si>
    <t>06 Integration Cloud and DevOps</t>
  </si>
  <si>
    <t>After an induced failure, both systems reconcile to the documented business state.</t>
  </si>
  <si>
    <t>Working with Legacy Systems</t>
  </si>
  <si>
    <t>A parallel run demonstrates equivalence or documented improvements with a reversible rollout.</t>
  </si>
  <si>
    <t>Cloud Platforms</t>
  </si>
  <si>
    <t>Explain every trust boundary, recurring cost, and expected failure response in the deployment.</t>
  </si>
  <si>
    <t>AWS</t>
  </si>
  <si>
    <t>The workload can access only the required resources, and cost and recovery controls are demonstrated.</t>
  </si>
  <si>
    <t>GCP</t>
  </si>
  <si>
    <t>Permissions, regional assumptions, telemetry, and monthly cost estimates are explicit and testable.</t>
  </si>
  <si>
    <t>Azure</t>
  </si>
  <si>
    <t>A user and workload each receive only their required permissions and access revocation is tested.</t>
  </si>
  <si>
    <t>Terraform</t>
  </si>
  <si>
    <t>A second engineer can explain the plan, state storage, permissions, and destructive-change guardrails.</t>
  </si>
  <si>
    <t>Containers</t>
  </si>
  <si>
    <t>A fresh host runs the same image with explicit configuration, bounded resources, and no embedded secrets.</t>
  </si>
  <si>
    <t>Docker</t>
  </si>
  <si>
    <t>The published image is traceable to source and passes a documented runtime and dependency check.</t>
  </si>
  <si>
    <t>Kubernetes</t>
  </si>
  <si>
    <t>You can diagnose a failed rollout and demonstrate least-privilege access and predictable recovery.</t>
  </si>
  <si>
    <t>DevOps Skills</t>
  </si>
  <si>
    <t>A release is reproducible and an unsuccessful change has a rehearsed rollback or roll-forward procedure.</t>
  </si>
  <si>
    <t>Observability</t>
  </si>
  <si>
    <t>07 Production AI and Security</t>
  </si>
  <si>
    <t>Given a failed task, identify the relevant stage and version without exposing unnecessary sensitive data.</t>
  </si>
  <si>
    <t>Building Eval Pipelines</t>
  </si>
  <si>
    <t>A regression is detected reproducibly and the score can be traced to individual cases and explicit criteria.</t>
  </si>
  <si>
    <t>Debugging Agent Logic</t>
  </si>
  <si>
    <t>A minimal replay explains the failure and a focused test prevents its recurrence.</t>
  </si>
  <si>
    <t>Inference Optimization</t>
  </si>
  <si>
    <t>An improvement is quantified at realistic concurrency and stays within the agreed quality and memory budget.</t>
  </si>
  <si>
    <t>MLOps</t>
  </si>
  <si>
    <t>A production result can be reproduced or explained from its artifact manifest and trace.</t>
  </si>
  <si>
    <t>Security</t>
  </si>
  <si>
    <t>Sensitive access and side effects remain blocked even when the model follows an adversarial instruction.</t>
  </si>
  <si>
    <t>DevSecOps</t>
  </si>
  <si>
    <t>A release has traceable artifacts, explicit risk decisions, and tested credential boundaries.</t>
  </si>
  <si>
    <t>API Security</t>
  </si>
  <si>
    <t>Negative authorization tests cover every sensitive read and write boundary.</t>
  </si>
  <si>
    <t>Authentication</t>
  </si>
  <si>
    <t>Invalid credentials fail safely and valid identities still require explicit object-level permissions.</t>
  </si>
  <si>
    <t>AI Governance</t>
  </si>
  <si>
    <t>A reviewer can identify who approves changes, which evidence is required, and what triggers suspension.</t>
  </si>
  <si>
    <t>Data Privacy &amp; Compliance</t>
  </si>
  <si>
    <t>A data-flow record explains lawful handling decisions and demonstrates approved retention and deletion behavior.</t>
  </si>
  <si>
    <t>Discovery &amp; Scoping</t>
  </si>
  <si>
    <t>08 Customer Delivery</t>
  </si>
  <si>
    <t>Stakeholders agree on the problem, decision owner, pilot boundary, and evidence needed to continue.</t>
  </si>
  <si>
    <t>Requirements Gathering</t>
  </si>
  <si>
    <t>Each critical requirement maps to a demonstration, measurement, test, or documented review.</t>
  </si>
  <si>
    <t>Scoping &amp; Sequencing</t>
  </si>
  <si>
    <t>The first milestone tests a real project-killing assumption and later work depends on explicit evidence.</t>
  </si>
  <si>
    <t>Scope, Speed, Quality</t>
  </si>
  <si>
    <t>A written tradeoff names what is deferred, what remains mandatory, and who accepts the residual risk.</t>
  </si>
  <si>
    <t>Communication</t>
  </si>
  <si>
    <t>Each audience can state the current outcome, key risk, next action, and responsible owner.</t>
  </si>
  <si>
    <t>Technical Writing</t>
  </si>
  <si>
    <t>A new engineer can deploy, test, diagnose, and recover the supported workflow from the documentation.</t>
  </si>
  <si>
    <t>Executive Reporting</t>
  </si>
  <si>
    <t>A sponsor can decide whether to continue, change scope, or stop based on the report.</t>
  </si>
  <si>
    <t>Business Acumen</t>
  </si>
  <si>
    <t>09 Business and Product</t>
  </si>
  <si>
    <t>Explain who benefits, who pays, what changes operationally, and what evidence would invalidate the business case.</t>
  </si>
  <si>
    <t>Enterprise Workflow</t>
  </si>
  <si>
    <t>Every state transition, decision authority, and recovery path has a clear owner.</t>
  </si>
  <si>
    <t>ROI &amp; AI Impact</t>
  </si>
  <si>
    <t>The business case states assumptions, uncertainty, measured inputs, and the threshold for a worthwhile deployment.</t>
  </si>
  <si>
    <t>Stakeholder Management</t>
  </si>
  <si>
    <t>The right people approve the right decisions and unresolved disagreement is visible before release.</t>
  </si>
  <si>
    <t>Product Feedback Loop</t>
  </si>
  <si>
    <t>A product decision is linked to customer evidence and the shipped change is checked against the original problem.</t>
  </si>
  <si>
    <t>Time-to-Value</t>
  </si>
  <si>
    <t>The start, value event, cohort, exclusions, and sustained adoption check are explicit.</t>
  </si>
  <si>
    <t>Date</t>
  </si>
  <si>
    <t>Platform</t>
  </si>
  <si>
    <t>Topic / pattern</t>
  </si>
  <si>
    <t>Problem URL or ID</t>
  </si>
  <si>
    <t>Minutes</t>
  </si>
  <si>
    <t>Outcome</t>
  </si>
  <si>
    <t>Hint used?</t>
  </si>
  <si>
    <t>Next review</t>
  </si>
  <si>
    <t>Mistake / explanation / next action</t>
  </si>
  <si>
    <t>Step / rule</t>
  </si>
  <si>
    <t>Details</t>
  </si>
  <si>
    <t>1. Enter your availability</t>
  </si>
  <si>
    <t>Change the green inputs in Settings: start date, total hours per study day, study/rest pattern, contingency, usable fraction, and allocations.</t>
  </si>
  <si>
    <t>2. Choose scope</t>
  </si>
  <si>
    <t>Schedule contains 48 editable modules covering all 94 original FDE topics, explicit foundational bridges, practice, and capstone work. Optional alternatives start excluded. The 5,044 reference subtopics are not all mandatory.</t>
  </si>
  <si>
    <t>3. Calibrate estimates</t>
  </si>
  <si>
    <t>Hours are author-created planning assumptions, not measured course durations. Run a diagnostic, then edit estimates and progress. Keep essential prerequisites included; use 100% complete for demonstrated prior knowledge.</t>
  </si>
  <si>
    <t>4. Read the forecast</t>
  </si>
  <si>
    <t>Dashboard summarizes remaining effort, completion, and finish. Schedule has module dates. Weekly Timeline shows a fixed 104-week window; forecasts beyond it still have full dates.</t>
  </si>
  <si>
    <t>5. Parallel does not mean extra capacity</t>
  </si>
  <si>
    <t>Core, Practice, and Delivery share the same usable hours. Each lane is ordered sequentially; explicit prerequisites can delay another lane. Unused lane time is not automatically reallocated.</t>
  </si>
  <si>
    <t>6. Capacity model</t>
  </si>
  <si>
    <t>Remaining hours = estimate x (1-completion) x (1+contingency). Lane capacity = daily hours x usable fraction x lane share. Fractional study-day offsets preserve effort; calendar dates are rounded to study days.</t>
  </si>
  <si>
    <t>7. Dependencies and blocks</t>
  </si>
  <si>
    <t>Prerequisite IDs must exist earlier in Schedule and be included. Later references, missing IDs, disabled required tasks, invalid inputs, or zero capacity block the dependent work. Do not sort or reorder Schedule; use filters.</t>
  </si>
  <si>
    <t>8. Completed work</t>
  </si>
  <si>
    <t>Completion percentages describe demonstrated task evidence. Completed or skipped tasks have no remaining hours or forecast dates. Forecasts are for the remaining plan; they are not actual completion history.</t>
  </si>
  <si>
    <t>9. Practice log</t>
  </si>
  <si>
    <t>Record DSA, SQL, ML, or project practice and mistakes. Next review defaults to seven calendar days. Log entries do not automatically certify mastery or update Schedule percentages.</t>
  </si>
  <si>
    <t>10. Holidays</t>
  </si>
  <si>
    <t>Add up to 100 excluded dates in Holidays. Weekend pattern is seven text digits from Monday to Sunday; 0 means available and 1 means unavailable.</t>
  </si>
  <si>
    <t>11. Module granularity</t>
  </si>
  <si>
    <t>Topics are bundled into practical modules so related concepts and evidence can be learned together. Topic Map links each of the 94 topics to one module. Module estimates include its stated learning and exercise work; capstone modules are integrated implementation and review, not extra reading.</t>
  </si>
  <si>
    <t>12. No false guarantees</t>
  </si>
  <si>
    <t>Coverage and formula tests do not prove every concept is explained or every source correct. Domain knowledge, security/legal review, and real delivery experience remain role-dependent. This is a planning aid, not an employment guarantee.</t>
  </si>
  <si>
    <t>13. No macros or connections</t>
  </si>
  <si>
    <t>This XLSX uses formulas, validation, and formatting only. There are no macros, API calls, paid model calls, external data connections, or automatic account synchronization.</t>
  </si>
  <si>
    <t>14. Preserve your edits</t>
  </si>
  <si>
    <t>The build script overwrites this generated workbook only when explicitly requested. Rebuilding discards entered progress, estimates, holidays, and practice logs. Use the workbook itself for normal adjustments.</t>
  </si>
  <si>
    <t>LeetCode DSA practice</t>
  </si>
  <si>
    <t>NeetCode pattern roadmap</t>
  </si>
  <si>
    <t>Deep-ML math and ML paths</t>
  </si>
  <si>
    <t>DataLemur SQL and DS practice</t>
  </si>
  <si>
    <t>Coverage and practice guide</t>
  </si>
  <si>
    <t>08 Study Plan and Practice.md</t>
  </si>
  <si>
    <t>Main roadmap</t>
  </si>
  <si>
    <t>FDE Roadmap.md</t>
  </si>
  <si>
    <t>FDE  /  PERSONAL LEARNING PLAN</t>
  </si>
  <si>
    <t>Study planner</t>
  </si>
  <si>
    <t>DAILY AVAILABILITY</t>
  </si>
  <si>
    <t>Total time before usability adjustment</t>
  </si>
  <si>
    <t>PLAN PROGRESS</t>
  </si>
  <si>
    <t>REMAINING EFFORT</t>
  </si>
  <si>
    <t>Includes your contingency allowance</t>
  </si>
  <si>
    <t>FORECAST FINISH</t>
  </si>
  <si>
    <t>Selected scope and current allocations</t>
  </si>
  <si>
    <t>01  Configure hours</t>
  </si>
  <si>
    <t>02  Update progress</t>
  </si>
  <si>
    <t>03  Log practice</t>
  </si>
  <si>
    <t>04  Review topics</t>
  </si>
  <si>
    <t>Your daily capacity</t>
  </si>
  <si>
    <t>Next scheduled module by track</t>
  </si>
  <si>
    <t>TRACK</t>
  </si>
  <si>
    <t>SHARE</t>
  </si>
  <si>
    <t>HOURS / DAY</t>
  </si>
  <si>
    <t>REMAINING</t>
  </si>
  <si>
    <t>Daily usable hours</t>
  </si>
  <si>
    <t>Completed</t>
  </si>
  <si>
    <t>Remaining</t>
  </si>
  <si>
    <t>Hours chart excludes contingency. Daily allocations share one budget; idle capacity is not automatically reassigned.</t>
  </si>
  <si>
    <t>NeetCode</t>
  </si>
  <si>
    <t>LeetCode</t>
  </si>
  <si>
    <t>Deep-ML</t>
  </si>
  <si>
    <t>DataLemur</t>
  </si>
  <si>
    <t>Planning estimates, not deadlines or a guarantee of mastery. Amber cells are editable. Protected cells prevent accidental formula changes; protection is not encryption. Start a new plan from the template.</t>
  </si>
  <si>
    <t>Overview</t>
  </si>
  <si>
    <t>PROFESSIONAL TEMPLATE GUIDE</t>
  </si>
  <si>
    <t>This workbook preserves your source inputs and formulas. The separate XLTX starts a clean plan.</t>
  </si>
  <si>
    <t>Editable cells</t>
  </si>
  <si>
    <t>Amber fill and blue text identify inputs. Existing references to green cells in the original instructions now refer to these amber input cells.</t>
  </si>
  <si>
    <t>Safe editing</t>
  </si>
  <si>
    <t>Edit Settings B2:B9; Schedule D:J; Holidays A:B; and practice fields A:G and I. Module IDs, lanes, order, helper formulas, and topic mappings remain fixed.</t>
  </si>
  <si>
    <t>Formula protection</t>
  </si>
  <si>
    <t>Sheets are protected without a password against accidental edits. Review &gt; Unprotect Sheet allows intentional customization. This is not a confidentiality or encryption control.</t>
  </si>
  <si>
    <t>New plan</t>
  </si>
  <si>
    <t>Open FDE Study Planner - Template.xltx to create a new workbook, change the start date and hours, select the scope, and save under a new name.</t>
  </si>
  <si>
    <t>Preserved professional copy</t>
  </si>
  <si>
    <t>Use FDE Study Planner - Professional.xlsx for the current plan. Do not rebuild it over your progress.</t>
  </si>
  <si>
    <t>Calendar and chart scope</t>
  </si>
  <si>
    <t>The weekly chart retains all 104 weeks. The overview PDF is a one-page snapshot; live charts and dates recalculate in Excel.</t>
  </si>
  <si>
    <t>Printing</t>
  </si>
  <si>
    <t>Landscape print areas, repeated headers, and page footers are set. The full weekly timeline spans four printed pages across to avoid unreadably small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</si>
</sst>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numFmt numFmtId="165" formatCode=";;;"/>
    <numFmt numFmtId="166" formatCode="dd\ mmm"/>
    <numFmt numFmtId="167" formatCode="0.0&quot; h&quot;"/>
    <numFmt numFmtId="168" formatCode="0&quot; h&quot;"/>
    <numFmt numFmtId="169" formatCode="0.00&quot; h&quot;"/>
  </numFmts>
  <fonts count="27" x14ac:knownFonts="1">
    <font>
      <sz val="11"/>
      <color theme="1"/>
      <name val="Aptos Narrow"/>
      <family val="2"/>
      <scheme val="minor"/>
    </font>
    <font>
      <b/>
      <sz val="10"/>
      <color rgb="FFFFFFFF"/>
      <name val="Aptos"/>
      <family val="2"/>
    </font>
    <font>
      <b/>
      <sz val="10"/>
      <color rgb="FF20282D"/>
      <name val="Aptos"/>
      <family val="2"/>
    </font>
    <font>
      <sz val="10"/>
      <color rgb="FF20282D"/>
      <name val="Aptos"/>
      <family val="2"/>
    </font>
    <font>
      <b/>
      <sz val="10"/>
      <color rgb="FF225D8F"/>
      <name val="Aptos"/>
      <family val="2"/>
    </font>
    <font>
      <b/>
      <sz val="13"/>
      <color rgb="FF225D8F"/>
      <name val="Aptos"/>
      <family val="2"/>
    </font>
    <font>
      <sz val="9"/>
      <color rgb="FF20282D"/>
      <name val="Aptos"/>
      <family val="2"/>
    </font>
    <font>
      <b/>
      <sz val="12"/>
      <color rgb="FF20282D"/>
      <name val="Aptos"/>
      <family val="2"/>
    </font>
    <font>
      <b/>
      <sz val="27"/>
      <color rgb="FF20282D"/>
      <name val="Aptos"/>
      <family val="2"/>
    </font>
    <font>
      <sz val="10"/>
      <color rgb="FF647178"/>
      <name val="Aptos"/>
      <family val="2"/>
    </font>
    <font>
      <b/>
      <sz val="9"/>
      <color rgb="FF647178"/>
      <name val="Aptos"/>
      <family val="2"/>
    </font>
    <font>
      <b/>
      <sz val="23"/>
      <color rgb="FF20282D"/>
      <name val="Aptos"/>
      <family val="2"/>
    </font>
    <font>
      <sz val="8"/>
      <color rgb="FF647178"/>
      <name val="Aptos"/>
      <family val="2"/>
    </font>
    <font>
      <sz val="11"/>
      <color rgb="FF20282D"/>
      <name val="Aptos"/>
      <family val="2"/>
    </font>
    <font>
      <b/>
      <sz val="11"/>
      <color rgb="FF20282D"/>
      <name val="Aptos"/>
      <family val="2"/>
    </font>
    <font>
      <sz val="11"/>
      <color rgb="FF18735C"/>
      <name val="Aptos Narrow"/>
      <family val="2"/>
      <scheme val="minor"/>
    </font>
    <font>
      <b/>
      <sz val="11"/>
      <color rgb="FF18735C"/>
      <name val="Aptos"/>
      <family val="2"/>
    </font>
    <font>
      <u/>
      <sz val="11"/>
      <color theme="10"/>
      <name val="Aptos Narrow"/>
      <family val="2"/>
      <scheme val="minor"/>
    </font>
    <font>
      <b/>
      <sz val="13"/>
      <color rgb="FF20282D"/>
      <name val="Aptos"/>
      <family val="2"/>
    </font>
    <font>
      <b/>
      <sz val="8"/>
      <color rgb="FF20282D"/>
      <name val="Aptos"/>
      <family val="2"/>
    </font>
    <font>
      <b/>
      <sz val="10"/>
      <color rgb="FF18735C"/>
      <name val="Aptos"/>
      <family val="2"/>
    </font>
    <font>
      <b/>
      <sz val="11"/>
      <color rgb="FF326BA8"/>
      <name val="Aptos"/>
      <family val="2"/>
    </font>
    <font>
      <b/>
      <sz val="10"/>
      <color rgb="FF326BA8"/>
      <name val="Aptos"/>
      <family val="2"/>
    </font>
    <font>
      <b/>
      <sz val="11"/>
      <color rgb="FFC28A28"/>
      <name val="Aptos"/>
      <family val="2"/>
    </font>
    <font>
      <b/>
      <sz val="10"/>
      <color rgb="FFC28A28"/>
      <name val="Aptos"/>
      <family val="2"/>
    </font>
    <font>
      <u/>
      <sz val="11"/>
      <color rgb="FF326BA8"/>
      <name val="Aptos Narrow"/>
      <family val="2"/>
      <scheme val="minor"/>
    </font>
    <font>
      <sz val="11"/>
      <color rgb="FFFFFFFF"/>
      <name val="Aptos Narrow"/>
      <family val="2"/>
      <scheme val="minor"/>
    </font>
  </fonts>
  <fills count="6">
    <fill>
      <patternFill patternType="none"/>
    </fill>
    <fill>
      <patternFill patternType="gray125"/>
    </fill>
    <fill>
      <patternFill patternType="solid">
        <fgColor rgb="FFFFFFFF"/>
        <bgColor indexed="64"/>
      </patternFill>
    </fill>
    <fill>
      <patternFill patternType="solid">
        <fgColor rgb="FF20282D"/>
        <bgColor indexed="64"/>
      </patternFill>
    </fill>
    <fill>
      <patternFill patternType="solid">
        <fgColor rgb="FFF3F6F6"/>
        <bgColor indexed="64"/>
      </patternFill>
    </fill>
    <fill>
      <patternFill patternType="solid">
        <fgColor rgb="FFFFF2CC"/>
        <bgColor indexed="64"/>
      </patternFill>
    </fill>
  </fills>
  <borders count="3">
    <border>
      <left/>
      <right/>
      <top/>
      <bottom/>
      <diagonal/>
    </border>
    <border>
      <left/>
      <right/>
      <top/>
      <bottom style="thin">
        <color rgb="FFD5AE56"/>
      </bottom>
      <diagonal/>
    </border>
    <border>
      <left/>
      <right/>
      <top/>
      <bottom style="thin">
        <color rgb="FFD9E1E4"/>
      </bottom>
      <diagonal/>
    </border>
  </borders>
  <cellStyleXfs count="2">
    <xf numFmtId="0" fontId="0" fillId="0" borderId="0"/>
    <xf numFmtId="0" fontId="17" fillId="0" borderId="0" applyNumberFormat="0" applyFill="0" applyBorder="0" applyAlignment="0" applyProtection="0"/>
  </cellStyleXfs>
  <cellXfs count="62">
    <xf numFmtId="0" fontId="0" fillId="0" borderId="0" xfId="0"/>
    <xf numFmtId="0" fontId="3" fillId="2" borderId="0" xfId="0" applyFont="1" applyFill="1"/>
    <xf numFmtId="0" fontId="2" fillId="2" borderId="0" xfId="0" applyFont="1" applyFill="1" applyAlignment="1">
      <alignment vertical="center" wrapText="1"/>
    </xf>
    <xf numFmtId="164" fontId="3" fillId="2" borderId="0" xfId="0" applyNumberFormat="1" applyFont="1" applyFill="1" applyAlignment="1">
      <alignment vertical="center" wrapText="1"/>
    </xf>
    <xf numFmtId="0" fontId="3" fillId="2" borderId="0" xfId="0" applyFont="1" applyFill="1" applyAlignment="1">
      <alignment vertical="center" wrapText="1"/>
    </xf>
    <xf numFmtId="0" fontId="1" fillId="3" borderId="0" xfId="0" applyFont="1" applyFill="1" applyAlignment="1">
      <alignment vertical="center" wrapText="1"/>
    </xf>
    <xf numFmtId="165" fontId="3" fillId="2" borderId="0" xfId="0" applyNumberFormat="1" applyFont="1" applyFill="1" applyAlignment="1">
      <alignment vertical="center" wrapText="1"/>
    </xf>
    <xf numFmtId="9" fontId="3" fillId="2" borderId="0" xfId="0" applyNumberFormat="1" applyFont="1" applyFill="1" applyAlignment="1">
      <alignment vertical="center" wrapText="1"/>
    </xf>
    <xf numFmtId="2" fontId="3" fillId="2" borderId="0" xfId="0" applyNumberFormat="1" applyFont="1" applyFill="1" applyAlignment="1">
      <alignment vertical="center" wrapText="1"/>
    </xf>
    <xf numFmtId="164" fontId="4" fillId="5" borderId="0" xfId="0" applyNumberFormat="1" applyFont="1" applyFill="1" applyAlignment="1" applyProtection="1">
      <alignment vertical="center" wrapText="1"/>
      <protection locked="0"/>
    </xf>
    <xf numFmtId="0" fontId="4" fillId="5" borderId="0" xfId="0" applyFont="1" applyFill="1" applyAlignment="1" applyProtection="1">
      <alignment vertical="center" wrapText="1"/>
      <protection locked="0"/>
    </xf>
    <xf numFmtId="164" fontId="5" fillId="5" borderId="0" xfId="0" applyNumberFormat="1" applyFont="1" applyFill="1" applyAlignment="1" applyProtection="1">
      <alignment horizontal="center" vertical="center" wrapText="1"/>
      <protection locked="0"/>
    </xf>
    <xf numFmtId="0" fontId="5" fillId="5" borderId="0" xfId="0" applyFont="1" applyFill="1" applyAlignment="1" applyProtection="1">
      <alignment horizontal="center" vertical="center" wrapText="1"/>
      <protection locked="0"/>
    </xf>
    <xf numFmtId="49" fontId="5" fillId="5" borderId="0" xfId="0" applyNumberFormat="1" applyFont="1" applyFill="1" applyAlignment="1" applyProtection="1">
      <alignment horizontal="center" vertical="center" wrapText="1"/>
      <protection locked="0"/>
    </xf>
    <xf numFmtId="9" fontId="5" fillId="5" borderId="0" xfId="0" applyNumberFormat="1" applyFont="1" applyFill="1" applyAlignment="1" applyProtection="1">
      <alignment horizontal="center" vertical="center" wrapText="1"/>
      <protection locked="0"/>
    </xf>
    <xf numFmtId="9" fontId="5" fillId="5" borderId="1" xfId="0" applyNumberFormat="1" applyFont="1" applyFill="1" applyBorder="1" applyAlignment="1" applyProtection="1">
      <alignment horizontal="center" vertical="center" wrapText="1"/>
      <protection locked="0"/>
    </xf>
    <xf numFmtId="0" fontId="3" fillId="2" borderId="0" xfId="0" applyFont="1" applyFill="1" applyAlignment="1">
      <alignment horizontal="center" vertical="center" wrapText="1"/>
    </xf>
    <xf numFmtId="2" fontId="3" fillId="2" borderId="0" xfId="0" applyNumberFormat="1" applyFont="1" applyFill="1" applyAlignment="1">
      <alignment horizontal="center" vertical="center" wrapText="1"/>
    </xf>
    <xf numFmtId="164" fontId="3" fillId="2" borderId="0" xfId="0" applyNumberFormat="1" applyFont="1" applyFill="1" applyAlignment="1">
      <alignment horizontal="center" vertical="center" wrapText="1"/>
    </xf>
    <xf numFmtId="0" fontId="4" fillId="5" borderId="0" xfId="0" applyFont="1" applyFill="1" applyAlignment="1" applyProtection="1">
      <alignment horizontal="center" vertical="center" wrapText="1"/>
      <protection locked="0"/>
    </xf>
    <xf numFmtId="9" fontId="4" fillId="5" borderId="0" xfId="0" applyNumberFormat="1" applyFont="1" applyFill="1" applyAlignment="1" applyProtection="1">
      <alignment horizontal="center" vertical="center" wrapText="1"/>
      <protection locked="0"/>
    </xf>
    <xf numFmtId="0" fontId="4" fillId="5" borderId="1" xfId="0" applyFont="1" applyFill="1" applyBorder="1" applyAlignment="1" applyProtection="1">
      <alignment horizontal="center" vertical="center" wrapText="1"/>
      <protection locked="0"/>
    </xf>
    <xf numFmtId="9" fontId="4" fillId="5" borderId="1" xfId="0" applyNumberFormat="1" applyFont="1" applyFill="1" applyBorder="1" applyAlignment="1" applyProtection="1">
      <alignment horizontal="center" vertical="center" wrapText="1"/>
      <protection locked="0"/>
    </xf>
    <xf numFmtId="166" fontId="1" fillId="3" borderId="0" xfId="0" applyNumberFormat="1" applyFont="1" applyFill="1" applyAlignment="1">
      <alignment vertical="center" wrapText="1"/>
    </xf>
    <xf numFmtId="0" fontId="6" fillId="2" borderId="0" xfId="0" applyFont="1" applyFill="1" applyAlignment="1">
      <alignment vertical="center" shrinkToFit="1"/>
    </xf>
    <xf numFmtId="164" fontId="4" fillId="5" borderId="1" xfId="0" applyNumberFormat="1" applyFont="1" applyFill="1" applyBorder="1" applyAlignment="1" applyProtection="1">
      <alignment vertical="center" wrapText="1"/>
      <protection locked="0"/>
    </xf>
    <xf numFmtId="0" fontId="4" fillId="5" borderId="1" xfId="0" applyFont="1" applyFill="1" applyBorder="1" applyAlignment="1" applyProtection="1">
      <alignment vertical="center" wrapText="1"/>
      <protection locked="0"/>
    </xf>
    <xf numFmtId="0" fontId="7" fillId="2" borderId="0" xfId="0" applyFont="1" applyFill="1" applyAlignment="1">
      <alignment vertical="center" wrapText="1"/>
    </xf>
    <xf numFmtId="2" fontId="7" fillId="2" borderId="0" xfId="0" applyNumberFormat="1" applyFont="1" applyFill="1" applyAlignment="1">
      <alignment vertical="center" wrapText="1"/>
    </xf>
    <xf numFmtId="9" fontId="7" fillId="2" borderId="0" xfId="0" applyNumberFormat="1" applyFont="1" applyFill="1" applyAlignment="1">
      <alignment vertical="center" wrapText="1"/>
    </xf>
    <xf numFmtId="164" fontId="7" fillId="2" borderId="0" xfId="0" applyNumberFormat="1" applyFont="1" applyFill="1" applyAlignment="1">
      <alignment vertical="center" wrapText="1"/>
    </xf>
    <xf numFmtId="2" fontId="3" fillId="2" borderId="0" xfId="0" applyNumberFormat="1" applyFont="1" applyFill="1"/>
    <xf numFmtId="0" fontId="0" fillId="0" borderId="0" xfId="0" applyAlignment="1">
      <alignment wrapText="1"/>
    </xf>
    <xf numFmtId="0" fontId="26" fillId="3" borderId="0" xfId="0" applyFont="1" applyFill="1" applyAlignment="1">
      <alignment wrapText="1"/>
    </xf>
    <xf numFmtId="0" fontId="14" fillId="2" borderId="0" xfId="0" applyFont="1" applyFill="1" applyAlignment="1">
      <alignment vertical="center" wrapText="1"/>
    </xf>
    <xf numFmtId="0" fontId="1" fillId="3" borderId="0" xfId="0" applyFont="1" applyFill="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10" fillId="2" borderId="0" xfId="0" applyFont="1" applyFill="1" applyAlignment="1">
      <alignment vertical="center"/>
    </xf>
    <xf numFmtId="167" fontId="11" fillId="2" borderId="0" xfId="0" applyNumberFormat="1" applyFont="1" applyFill="1" applyAlignment="1">
      <alignment horizontal="left" vertical="center" shrinkToFit="1"/>
    </xf>
    <xf numFmtId="0" fontId="12" fillId="2" borderId="0" xfId="0" applyFont="1" applyFill="1" applyAlignment="1">
      <alignment vertical="center" shrinkToFit="1"/>
    </xf>
    <xf numFmtId="9" fontId="11" fillId="2" borderId="0" xfId="0" applyNumberFormat="1" applyFont="1" applyFill="1" applyAlignment="1">
      <alignment horizontal="left" vertical="center" shrinkToFit="1"/>
    </xf>
    <xf numFmtId="168" fontId="11" fillId="2" borderId="0" xfId="0" applyNumberFormat="1" applyFont="1" applyFill="1" applyAlignment="1">
      <alignment horizontal="left" vertical="center" shrinkToFit="1"/>
    </xf>
    <xf numFmtId="0" fontId="11" fillId="2" borderId="0" xfId="0" applyFont="1" applyFill="1" applyAlignment="1">
      <alignment horizontal="left" vertical="center" shrinkToFit="1"/>
    </xf>
    <xf numFmtId="0" fontId="15" fillId="4" borderId="0" xfId="1" applyFont="1" applyFill="1" applyBorder="1" applyAlignment="1">
      <alignment horizontal="center" vertical="center"/>
    </xf>
    <xf numFmtId="0" fontId="15" fillId="4" borderId="2" xfId="1" applyFont="1" applyFill="1" applyBorder="1" applyAlignment="1">
      <alignment horizontal="center" vertical="center"/>
    </xf>
    <xf numFmtId="0" fontId="18" fillId="2" borderId="0" xfId="0" applyFont="1" applyFill="1" applyAlignment="1">
      <alignment vertical="center"/>
    </xf>
    <xf numFmtId="0" fontId="19" fillId="2" borderId="0" xfId="0" applyFont="1" applyFill="1" applyAlignment="1">
      <alignment vertical="center"/>
    </xf>
    <xf numFmtId="0" fontId="16" fillId="2" borderId="0" xfId="0" applyFont="1" applyFill="1" applyAlignment="1">
      <alignment vertical="center"/>
    </xf>
    <xf numFmtId="9" fontId="14" fillId="2" borderId="0" xfId="0" applyNumberFormat="1" applyFont="1" applyFill="1" applyAlignment="1">
      <alignment horizontal="left" vertical="center"/>
    </xf>
    <xf numFmtId="0" fontId="14" fillId="2" borderId="0" xfId="0" applyFont="1" applyFill="1" applyAlignment="1">
      <alignment horizontal="left" vertical="center"/>
    </xf>
    <xf numFmtId="169" fontId="13" fillId="2" borderId="0" xfId="0" applyNumberFormat="1" applyFont="1" applyFill="1" applyAlignment="1">
      <alignment horizontal="left" vertical="center"/>
    </xf>
    <xf numFmtId="0" fontId="13" fillId="2" borderId="0" xfId="0" applyFont="1" applyFill="1" applyAlignment="1">
      <alignment horizontal="left" vertical="center"/>
    </xf>
    <xf numFmtId="168" fontId="13" fillId="2" borderId="0" xfId="0" applyNumberFormat="1" applyFont="1" applyFill="1" applyAlignment="1">
      <alignment horizontal="left" vertical="center"/>
    </xf>
    <xf numFmtId="0" fontId="20" fillId="2" borderId="0" xfId="0" applyFont="1" applyFill="1" applyAlignment="1">
      <alignment vertical="center"/>
    </xf>
    <xf numFmtId="0" fontId="3" fillId="2" borderId="0" xfId="0" applyFont="1" applyFill="1" applyAlignment="1">
      <alignment vertical="center" wrapText="1"/>
    </xf>
    <xf numFmtId="0" fontId="21" fillId="2" borderId="0" xfId="0" applyFont="1" applyFill="1" applyAlignment="1">
      <alignment vertical="center"/>
    </xf>
    <xf numFmtId="0" fontId="22" fillId="2" borderId="0" xfId="0" applyFont="1" applyFill="1" applyAlignment="1">
      <alignment vertical="center"/>
    </xf>
    <xf numFmtId="0" fontId="12" fillId="2" borderId="0" xfId="0" applyFont="1" applyFill="1" applyAlignment="1">
      <alignment vertical="center" wrapText="1"/>
    </xf>
    <xf numFmtId="0" fontId="23" fillId="2" borderId="0" xfId="0" applyFont="1" applyFill="1" applyAlignment="1">
      <alignment vertical="center"/>
    </xf>
    <xf numFmtId="0" fontId="24" fillId="2" borderId="0" xfId="0" applyFont="1" applyFill="1" applyAlignment="1">
      <alignment vertical="center"/>
    </xf>
    <xf numFmtId="0" fontId="25" fillId="2" borderId="0" xfId="1" applyFont="1" applyFill="1" applyAlignment="1">
      <alignment vertical="center"/>
    </xf>
  </cellXfs>
  <cellStyles count="2">
    <cellStyle name="Hyperlink" xfId="1" builtinId="8"/>
    <cellStyle name="Normal" xfId="0" builtinId="0"/>
  </cellStyles>
  <dxfs count="25">
    <dxf>
      <font>
        <color rgb="FF20282D"/>
      </font>
      <fill>
        <patternFill>
          <bgColor rgb="FFFFF0D5"/>
        </patternFill>
      </fill>
    </dxf>
    <dxf>
      <font>
        <color rgb="FF20282D"/>
      </font>
      <fill>
        <patternFill>
          <bgColor rgb="FFF3F6F6"/>
        </patternFill>
      </fill>
    </dxf>
    <dxf>
      <font>
        <color rgb="FF20282D"/>
      </font>
      <fill>
        <patternFill>
          <bgColor rgb="FFF3F6F6"/>
        </patternFill>
      </fill>
    </dxf>
    <dxf>
      <font>
        <color rgb="FFC28A28"/>
      </font>
      <fill>
        <patternFill>
          <bgColor rgb="FFC28A28"/>
        </patternFill>
      </fill>
    </dxf>
    <dxf>
      <font>
        <color rgb="FF326BA8"/>
      </font>
      <fill>
        <patternFill>
          <bgColor rgb="FF326BA8"/>
        </patternFill>
      </fill>
    </dxf>
    <dxf>
      <font>
        <color rgb="FF18735C"/>
      </font>
      <fill>
        <patternFill>
          <bgColor rgb="FF18735C"/>
        </patternFill>
      </fill>
    </dxf>
    <dxf>
      <font>
        <color rgb="FF20282D"/>
      </font>
      <fill>
        <patternFill>
          <bgColor rgb="FFFFF0D5"/>
        </patternFill>
      </fill>
    </dxf>
    <dxf>
      <font>
        <color rgb="FF20282D"/>
      </font>
      <fill>
        <patternFill>
          <bgColor rgb="FFF3F6F6"/>
        </patternFill>
      </fill>
    </dxf>
    <dxf>
      <font>
        <color rgb="FF647178"/>
      </font>
      <fill>
        <patternFill>
          <bgColor rgb="FFF3F6F6"/>
        </patternFill>
      </fill>
    </dxf>
    <dxf>
      <font>
        <color rgb="FFA73735"/>
      </font>
      <fill>
        <patternFill>
          <bgColor rgb="FFFCE7E6"/>
        </patternFill>
      </fill>
    </dxf>
    <dxf>
      <font>
        <color rgb="FFA73735"/>
      </font>
      <fill>
        <patternFill>
          <bgColor rgb="FFFCE7E6"/>
        </patternFill>
      </fill>
    </dxf>
    <dxf>
      <font>
        <color rgb="FF18735C"/>
      </font>
      <fill>
        <patternFill>
          <bgColor rgb="FFE4F2EB"/>
        </patternFill>
      </fill>
    </dxf>
    <dxf>
      <font>
        <color rgb="FF18735C"/>
      </font>
      <fill>
        <patternFill>
          <bgColor rgb="FFE4F2EB"/>
        </patternFill>
      </fill>
    </dxf>
    <dxf>
      <font>
        <color rgb="FF20282D"/>
      </font>
      <fill>
        <patternFill>
          <bgColor rgb="FFC28A28"/>
        </patternFill>
      </fill>
    </dxf>
    <dxf>
      <font>
        <color rgb="FFFFFFFF"/>
      </font>
      <fill>
        <patternFill>
          <bgColor rgb="FF326BA8"/>
        </patternFill>
      </fill>
    </dxf>
    <dxf>
      <font>
        <color rgb="FFFFFFFF"/>
      </font>
      <fill>
        <patternFill>
          <bgColor rgb="FF18735C"/>
        </patternFill>
      </fill>
    </dxf>
    <dxf>
      <font>
        <color rgb="FF20282D"/>
      </font>
      <fill>
        <patternFill>
          <bgColor rgb="FFF3F6F6"/>
        </patternFill>
      </fill>
    </dxf>
    <dxf>
      <font>
        <color rgb="FF20282D"/>
      </font>
      <fill>
        <patternFill>
          <bgColor rgb="FFF3F6F6"/>
        </patternFill>
      </fill>
    </dxf>
    <dxf>
      <font>
        <color rgb="FFA73735"/>
      </font>
      <fill>
        <patternFill>
          <bgColor rgb="FFFCE7E6"/>
        </patternFill>
      </fill>
    </dxf>
    <dxf>
      <font>
        <color rgb="FF18735C"/>
      </font>
      <fill>
        <patternFill>
          <bgColor rgb="FFE4F2EB"/>
        </patternFill>
      </fill>
    </dxf>
    <dxf>
      <font>
        <color rgb="FF20282D"/>
      </font>
      <fill>
        <patternFill>
          <bgColor rgb="FFF3F6F6"/>
        </patternFill>
      </fill>
    </dxf>
    <dxf>
      <font>
        <color rgb="FF20282D"/>
      </font>
      <fill>
        <patternFill>
          <bgColor rgb="FFF3F6F6"/>
        </patternFill>
      </fill>
    </dxf>
    <dxf>
      <font>
        <color rgb="FFA73735"/>
      </font>
      <fill>
        <patternFill>
          <bgColor rgb="FFFCE7E6"/>
        </patternFill>
      </fill>
    </dxf>
    <dxf>
      <font>
        <color rgb="FF18735C"/>
      </font>
      <fill>
        <patternFill>
          <bgColor rgb="FFE4F2EB"/>
        </patternFill>
      </fill>
    </dxf>
    <dxf>
      <font>
        <color rgb="FF18735C"/>
      </font>
      <fill>
        <patternFill>
          <bgColor rgb="FFE4F2E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IN"/>
              <a:t>Daily time allocation</a:t>
            </a:r>
          </a:p>
        </c:rich>
      </c:tx>
      <c:overlay val="0"/>
    </c:title>
    <c:autoTitleDeleted val="0"/>
    <c:plotArea>
      <c:layout/>
      <c:doughnutChart>
        <c:varyColors val="1"/>
        <c:ser>
          <c:idx val="0"/>
          <c:order val="0"/>
          <c:tx>
            <c:strRef>
              <c:f>Overview!$B$54</c:f>
              <c:strCache>
                <c:ptCount val="1"/>
                <c:pt idx="0">
                  <c:v>Daily usable hours</c:v>
                </c:pt>
              </c:strCache>
            </c:strRef>
          </c:tx>
          <c:dPt>
            <c:idx val="0"/>
            <c:bubble3D val="0"/>
            <c:spPr>
              <a:solidFill>
                <a:srgbClr val="18735C"/>
              </a:solidFill>
            </c:spPr>
            <c:extLst>
              <c:ext xmlns:c16="http://schemas.microsoft.com/office/drawing/2014/chart" uri="{C3380CC4-5D6E-409C-BE32-E72D297353CC}">
                <c16:uniqueId val="{00000002-96BB-4949-B1EE-90B9EBC3EDDA}"/>
              </c:ext>
            </c:extLst>
          </c:dPt>
          <c:dPt>
            <c:idx val="1"/>
            <c:bubble3D val="0"/>
            <c:spPr>
              <a:solidFill>
                <a:srgbClr val="326BA8"/>
              </a:solidFill>
            </c:spPr>
            <c:extLst>
              <c:ext xmlns:c16="http://schemas.microsoft.com/office/drawing/2014/chart" uri="{C3380CC4-5D6E-409C-BE32-E72D297353CC}">
                <c16:uniqueId val="{00000003-96BB-4949-B1EE-90B9EBC3EDDA}"/>
              </c:ext>
            </c:extLst>
          </c:dPt>
          <c:dPt>
            <c:idx val="2"/>
            <c:bubble3D val="0"/>
            <c:spPr>
              <a:solidFill>
                <a:srgbClr val="C28A28"/>
              </a:solidFill>
            </c:spPr>
            <c:extLst>
              <c:ext xmlns:c16="http://schemas.microsoft.com/office/drawing/2014/chart" uri="{C3380CC4-5D6E-409C-BE32-E72D297353CC}">
                <c16:uniqueId val="{00000004-96BB-4949-B1EE-90B9EBC3EDDA}"/>
              </c:ext>
            </c:extLst>
          </c:dPt>
          <c:cat>
            <c:strRef>
              <c:f>Overview!$A$55:$A$57</c:f>
              <c:strCache>
                <c:ptCount val="3"/>
                <c:pt idx="0">
                  <c:v>Core</c:v>
                </c:pt>
                <c:pt idx="1">
                  <c:v>Practice</c:v>
                </c:pt>
                <c:pt idx="2">
                  <c:v>Delivery</c:v>
                </c:pt>
              </c:strCache>
            </c:strRef>
          </c:cat>
          <c:val>
            <c:numRef>
              <c:f>Overview!$B$55:$B$57</c:f>
              <c:numCache>
                <c:formatCode>0.00</c:formatCode>
                <c:ptCount val="3"/>
                <c:pt idx="0">
                  <c:v>1.5299999999999998</c:v>
                </c:pt>
                <c:pt idx="1">
                  <c:v>0.51</c:v>
                </c:pt>
                <c:pt idx="2">
                  <c:v>0.51</c:v>
                </c:pt>
              </c:numCache>
            </c:numRef>
          </c:val>
          <c:extLst>
            <c:ext xmlns:c16="http://schemas.microsoft.com/office/drawing/2014/chart" uri="{C3380CC4-5D6E-409C-BE32-E72D297353CC}">
              <c16:uniqueId val="{00000001-96BB-4949-B1EE-90B9EBC3EDDA}"/>
            </c:ext>
          </c:extLst>
        </c:ser>
        <c:dLbls>
          <c:showLegendKey val="0"/>
          <c:showVal val="0"/>
          <c:showCatName val="0"/>
          <c:showSerName val="0"/>
          <c:showPercent val="0"/>
          <c:showBubbleSize val="0"/>
          <c:showLeaderLines val="1"/>
        </c:dLbls>
        <c:firstSliceAng val="0"/>
        <c:holeSize val="68"/>
      </c:doughnutChart>
      <c:spPr>
        <a:solidFill>
          <a:srgbClr val="FFFFFF"/>
        </a:solidFill>
        <a:ln w="25400">
          <a:noFill/>
        </a:ln>
      </c:spPr>
    </c:plotArea>
    <c:legend>
      <c:legendPos val="b"/>
      <c:overlay val="0"/>
      <c:txPr>
        <a:bodyPr/>
        <a:lstStyle/>
        <a:p>
          <a:pPr>
            <a:defRPr sz="9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n-IN"/>
              <a:t>Estimated hours by track</a:t>
            </a:r>
          </a:p>
        </c:rich>
      </c:tx>
      <c:overlay val="0"/>
    </c:title>
    <c:autoTitleDeleted val="0"/>
    <c:plotArea>
      <c:layout/>
      <c:barChart>
        <c:barDir val="bar"/>
        <c:grouping val="stacked"/>
        <c:varyColors val="0"/>
        <c:ser>
          <c:idx val="0"/>
          <c:order val="0"/>
          <c:tx>
            <c:strRef>
              <c:f>Overview!$E$54</c:f>
              <c:strCache>
                <c:ptCount val="1"/>
                <c:pt idx="0">
                  <c:v>Completed</c:v>
                </c:pt>
              </c:strCache>
            </c:strRef>
          </c:tx>
          <c:spPr>
            <a:solidFill>
              <a:srgbClr val="18735C"/>
            </a:solidFill>
          </c:spPr>
          <c:invertIfNegative val="0"/>
          <c:cat>
            <c:strRef>
              <c:f>Overview!$D$55:$D$57</c:f>
              <c:strCache>
                <c:ptCount val="3"/>
                <c:pt idx="0">
                  <c:v>Core</c:v>
                </c:pt>
                <c:pt idx="1">
                  <c:v>Practice</c:v>
                </c:pt>
                <c:pt idx="2">
                  <c:v>Delivery</c:v>
                </c:pt>
              </c:strCache>
            </c:strRef>
          </c:cat>
          <c:val>
            <c:numRef>
              <c:f>Overview!$E$55:$E$57</c:f>
              <c:numCache>
                <c:formatCode>General</c:formatCode>
                <c:ptCount val="3"/>
                <c:pt idx="0">
                  <c:v>0</c:v>
                </c:pt>
                <c:pt idx="1">
                  <c:v>0</c:v>
                </c:pt>
                <c:pt idx="2">
                  <c:v>0</c:v>
                </c:pt>
              </c:numCache>
            </c:numRef>
          </c:val>
          <c:extLst>
            <c:ext xmlns:c16="http://schemas.microsoft.com/office/drawing/2014/chart" uri="{C3380CC4-5D6E-409C-BE32-E72D297353CC}">
              <c16:uniqueId val="{00000001-7D16-49C1-977D-65BF633F1D59}"/>
            </c:ext>
          </c:extLst>
        </c:ser>
        <c:ser>
          <c:idx val="1"/>
          <c:order val="1"/>
          <c:tx>
            <c:strRef>
              <c:f>Overview!$F$54</c:f>
              <c:strCache>
                <c:ptCount val="1"/>
                <c:pt idx="0">
                  <c:v>Remaining</c:v>
                </c:pt>
              </c:strCache>
            </c:strRef>
          </c:tx>
          <c:spPr>
            <a:solidFill>
              <a:srgbClr val="D9E1E4"/>
            </a:solidFill>
          </c:spPr>
          <c:invertIfNegative val="0"/>
          <c:cat>
            <c:strRef>
              <c:f>Overview!$D$55:$D$57</c:f>
              <c:strCache>
                <c:ptCount val="3"/>
                <c:pt idx="0">
                  <c:v>Core</c:v>
                </c:pt>
                <c:pt idx="1">
                  <c:v>Practice</c:v>
                </c:pt>
                <c:pt idx="2">
                  <c:v>Delivery</c:v>
                </c:pt>
              </c:strCache>
            </c:strRef>
          </c:cat>
          <c:val>
            <c:numRef>
              <c:f>Overview!$F$55:$F$57</c:f>
              <c:numCache>
                <c:formatCode>General</c:formatCode>
                <c:ptCount val="3"/>
                <c:pt idx="0">
                  <c:v>578</c:v>
                </c:pt>
                <c:pt idx="1">
                  <c:v>160</c:v>
                </c:pt>
                <c:pt idx="2">
                  <c:v>162</c:v>
                </c:pt>
              </c:numCache>
            </c:numRef>
          </c:val>
          <c:extLst>
            <c:ext xmlns:c16="http://schemas.microsoft.com/office/drawing/2014/chart" uri="{C3380CC4-5D6E-409C-BE32-E72D297353CC}">
              <c16:uniqueId val="{00000002-7D16-49C1-977D-65BF633F1D59}"/>
            </c:ext>
          </c:extLst>
        </c:ser>
        <c:dLbls>
          <c:showLegendKey val="0"/>
          <c:showVal val="0"/>
          <c:showCatName val="0"/>
          <c:showSerName val="0"/>
          <c:showPercent val="0"/>
          <c:showBubbleSize val="0"/>
        </c:dLbls>
        <c:gapWidth val="150"/>
        <c:overlap val="100"/>
        <c:axId val="418810575"/>
        <c:axId val="418794255"/>
      </c:barChart>
      <c:catAx>
        <c:axId val="418810575"/>
        <c:scaling>
          <c:orientation val="maxMin"/>
        </c:scaling>
        <c:delete val="0"/>
        <c:axPos val="l"/>
        <c:numFmt formatCode="General" sourceLinked="1"/>
        <c:majorTickMark val="out"/>
        <c:minorTickMark val="none"/>
        <c:tickLblPos val="nextTo"/>
        <c:txPr>
          <a:bodyPr/>
          <a:lstStyle/>
          <a:p>
            <a:pPr>
              <a:defRPr sz="900"/>
            </a:pPr>
            <a:endParaRPr lang="en-US"/>
          </a:p>
        </c:txPr>
        <c:crossAx val="418794255"/>
        <c:crosses val="autoZero"/>
        <c:auto val="1"/>
        <c:lblAlgn val="ctr"/>
        <c:lblOffset val="100"/>
        <c:noMultiLvlLbl val="0"/>
      </c:catAx>
      <c:valAx>
        <c:axId val="418794255"/>
        <c:scaling>
          <c:orientation val="minMax"/>
          <c:min val="0"/>
        </c:scaling>
        <c:delete val="0"/>
        <c:axPos val="t"/>
        <c:majorGridlines>
          <c:spPr>
            <a:ln>
              <a:solidFill>
                <a:srgbClr val="D9E1E4"/>
              </a:solidFill>
              <a:prstDash val="solid"/>
            </a:ln>
          </c:spPr>
        </c:majorGridlines>
        <c:numFmt formatCode="General" sourceLinked="1"/>
        <c:majorTickMark val="out"/>
        <c:minorTickMark val="none"/>
        <c:tickLblPos val="nextTo"/>
        <c:txPr>
          <a:bodyPr/>
          <a:lstStyle/>
          <a:p>
            <a:pPr>
              <a:defRPr sz="800"/>
            </a:pPr>
            <a:endParaRPr lang="en-US"/>
          </a:p>
        </c:txPr>
        <c:crossAx val="418810575"/>
        <c:crosses val="autoZero"/>
        <c:crossBetween val="between"/>
      </c:valAx>
      <c:spPr>
        <a:solidFill>
          <a:srgbClr val="FFFFFF"/>
        </a:solidFill>
        <a:ln w="25400">
          <a:noFill/>
        </a:ln>
      </c:spPr>
    </c:plotArea>
    <c:legend>
      <c:legendPos val="b"/>
      <c:overlay val="0"/>
      <c:txPr>
        <a:bodyPr/>
        <a:lstStyle/>
        <a:p>
          <a:pPr>
            <a:defRPr sz="9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29</xdr:row>
      <xdr:rowOff>0</xdr:rowOff>
    </xdr:from>
    <xdr:to>
      <xdr:col>7</xdr:col>
      <xdr:colOff>609600</xdr:colOff>
      <xdr:row>43</xdr:row>
      <xdr:rowOff>0</xdr:rowOff>
    </xdr:to>
    <xdr:graphicFrame macro="">
      <xdr:nvGraphicFramePr>
        <xdr:cNvPr id="2" name="Chart 1">
          <a:extLst>
            <a:ext uri="{FF2B5EF4-FFF2-40B4-BE49-F238E27FC236}">
              <a16:creationId xmlns:a16="http://schemas.microsoft.com/office/drawing/2014/main" id="{4A6A3499-A3E3-99D8-2BB7-06366EE740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101600</xdr:colOff>
      <xdr:row>29</xdr:row>
      <xdr:rowOff>0</xdr:rowOff>
    </xdr:from>
    <xdr:to>
      <xdr:col>16</xdr:col>
      <xdr:colOff>0</xdr:colOff>
      <xdr:row>43</xdr:row>
      <xdr:rowOff>0</xdr:rowOff>
    </xdr:to>
    <xdr:graphicFrame macro="">
      <xdr:nvGraphicFramePr>
        <xdr:cNvPr id="3" name="Chart 2">
          <a:extLst>
            <a:ext uri="{FF2B5EF4-FFF2-40B4-BE49-F238E27FC236}">
              <a16:creationId xmlns:a16="http://schemas.microsoft.com/office/drawing/2014/main" id="{53C3F007-FB19-B120-FCE6-88BE82E88E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deep-ml.com/paths" TargetMode="External"/><Relationship Id="rId2" Type="http://schemas.openxmlformats.org/officeDocument/2006/relationships/hyperlink" Target="https://leetcode.com/problemset/" TargetMode="External"/><Relationship Id="rId1" Type="http://schemas.openxmlformats.org/officeDocument/2006/relationships/hyperlink" Target="https://neetcode.io/roadmap"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atalemur.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7AA67-975F-4E3E-9DAB-5369056D7B36}">
  <sheetPr>
    <tabColor rgb="FF18735C"/>
    <pageSetUpPr fitToPage="1"/>
  </sheetPr>
  <dimension ref="A1:P65"/>
  <sheetViews>
    <sheetView showGridLines="0" showRowColHeaders="0" tabSelected="1" zoomScale="90" zoomScaleNormal="90" workbookViewId="0">
      <selection activeCell="D29" sqref="D29"/>
    </sheetView>
  </sheetViews>
  <sheetFormatPr defaultRowHeight="14.5" x14ac:dyDescent="0.35"/>
  <cols>
    <col min="1" max="16" width="10.1796875" customWidth="1"/>
  </cols>
  <sheetData>
    <row r="1" spans="1:16" ht="24" customHeight="1" x14ac:dyDescent="0.35">
      <c r="A1" s="35" t="s">
        <v>505</v>
      </c>
      <c r="B1" s="35"/>
      <c r="C1" s="35"/>
      <c r="D1" s="35"/>
      <c r="E1" s="35"/>
      <c r="F1" s="35"/>
      <c r="G1" s="35"/>
      <c r="H1" s="35"/>
      <c r="I1" s="35"/>
      <c r="J1" s="35"/>
      <c r="K1" s="35"/>
      <c r="L1" s="35"/>
      <c r="M1" s="35"/>
      <c r="N1" s="35"/>
      <c r="O1" s="35"/>
      <c r="P1" s="35"/>
    </row>
    <row r="2" spans="1:16" ht="13" customHeight="1" x14ac:dyDescent="0.35">
      <c r="A2" s="1"/>
      <c r="B2" s="1"/>
      <c r="C2" s="1"/>
      <c r="D2" s="1"/>
      <c r="E2" s="1"/>
      <c r="F2" s="1"/>
      <c r="G2" s="1"/>
      <c r="H2" s="1"/>
      <c r="I2" s="1"/>
      <c r="J2" s="1"/>
      <c r="K2" s="1"/>
      <c r="L2" s="1"/>
      <c r="M2" s="1"/>
      <c r="N2" s="1"/>
      <c r="O2" s="1"/>
      <c r="P2" s="1"/>
    </row>
    <row r="3" spans="1:16" ht="13" customHeight="1" x14ac:dyDescent="0.35">
      <c r="A3" s="36" t="s">
        <v>506</v>
      </c>
      <c r="B3" s="36"/>
      <c r="C3" s="36"/>
      <c r="D3" s="36"/>
      <c r="E3" s="36"/>
      <c r="F3" s="36"/>
      <c r="G3" s="36"/>
      <c r="H3" s="36"/>
      <c r="I3" s="36"/>
      <c r="J3" s="36"/>
      <c r="K3" s="36"/>
      <c r="L3" s="36"/>
      <c r="M3" s="36"/>
      <c r="N3" s="36"/>
      <c r="O3" s="36"/>
      <c r="P3" s="36"/>
    </row>
    <row r="4" spans="1:16" ht="13" customHeight="1" x14ac:dyDescent="0.35">
      <c r="A4" s="36"/>
      <c r="B4" s="36"/>
      <c r="C4" s="36"/>
      <c r="D4" s="36"/>
      <c r="E4" s="36"/>
      <c r="F4" s="36"/>
      <c r="G4" s="36"/>
      <c r="H4" s="36"/>
      <c r="I4" s="36"/>
      <c r="J4" s="36"/>
      <c r="K4" s="36"/>
      <c r="L4" s="36"/>
      <c r="M4" s="36"/>
      <c r="N4" s="36"/>
      <c r="O4" s="36"/>
      <c r="P4" s="36"/>
    </row>
    <row r="5" spans="1:16" ht="13" customHeight="1" x14ac:dyDescent="0.35">
      <c r="A5" s="37" t="str">
        <f>"PLAN START  "&amp;TEXT(Settings!B2,"dd mmm yyyy")&amp;"     |     "&amp;TEXT(Settings!B3,"0.0")&amp;" available hours / study day"</f>
        <v>PLAN START  24 Oct 2026     |     3.0 available hours / study day</v>
      </c>
      <c r="B5" s="37"/>
      <c r="C5" s="37"/>
      <c r="D5" s="37"/>
      <c r="E5" s="37"/>
      <c r="F5" s="37"/>
      <c r="G5" s="37"/>
      <c r="H5" s="37"/>
      <c r="I5" s="37"/>
      <c r="J5" s="37"/>
      <c r="K5" s="37"/>
      <c r="L5" s="37"/>
      <c r="M5" s="37"/>
      <c r="N5" s="37"/>
      <c r="O5" s="37"/>
      <c r="P5" s="37"/>
    </row>
    <row r="6" spans="1:16" ht="13" customHeight="1" x14ac:dyDescent="0.35">
      <c r="A6" s="1"/>
      <c r="B6" s="1"/>
      <c r="C6" s="1"/>
      <c r="D6" s="1"/>
      <c r="E6" s="1"/>
      <c r="F6" s="1"/>
      <c r="G6" s="1"/>
      <c r="H6" s="1"/>
      <c r="I6" s="1"/>
      <c r="J6" s="1"/>
      <c r="K6" s="1"/>
      <c r="L6" s="1"/>
      <c r="M6" s="1"/>
      <c r="N6" s="1"/>
      <c r="O6" s="1"/>
      <c r="P6" s="1"/>
    </row>
    <row r="7" spans="1:16" ht="13" customHeight="1" x14ac:dyDescent="0.35">
      <c r="A7" s="38" t="s">
        <v>507</v>
      </c>
      <c r="B7" s="38"/>
      <c r="C7" s="38"/>
      <c r="D7" s="38"/>
      <c r="E7" s="38" t="s">
        <v>509</v>
      </c>
      <c r="F7" s="38"/>
      <c r="G7" s="38"/>
      <c r="H7" s="38"/>
      <c r="I7" s="38" t="s">
        <v>510</v>
      </c>
      <c r="J7" s="38"/>
      <c r="K7" s="38"/>
      <c r="L7" s="38"/>
      <c r="M7" s="38" t="s">
        <v>512</v>
      </c>
      <c r="N7" s="38"/>
      <c r="O7" s="38"/>
      <c r="P7" s="38"/>
    </row>
    <row r="8" spans="1:16" ht="13" customHeight="1" x14ac:dyDescent="0.35">
      <c r="A8" s="39">
        <f>Settings!B3</f>
        <v>3</v>
      </c>
      <c r="B8" s="39"/>
      <c r="C8" s="39"/>
      <c r="D8" s="39"/>
      <c r="E8" s="41">
        <f>Dashboard!B5</f>
        <v>0</v>
      </c>
      <c r="F8" s="41"/>
      <c r="G8" s="41"/>
      <c r="H8" s="41"/>
      <c r="I8" s="42">
        <f>Dashboard!B4</f>
        <v>1079.9999999999998</v>
      </c>
      <c r="J8" s="42"/>
      <c r="K8" s="42"/>
      <c r="L8" s="42"/>
      <c r="M8" s="43" t="str">
        <f>IF(Dashboard!B2="Ready",TEXT(Dashboard!B6,"dd mmm yyyy"),Dashboard!B2)</f>
        <v>09 Aug 2028</v>
      </c>
      <c r="N8" s="43"/>
      <c r="O8" s="43"/>
      <c r="P8" s="43"/>
    </row>
    <row r="9" spans="1:16" ht="13" customHeight="1" x14ac:dyDescent="0.35">
      <c r="A9" s="39"/>
      <c r="B9" s="39"/>
      <c r="C9" s="39"/>
      <c r="D9" s="39"/>
      <c r="E9" s="41"/>
      <c r="F9" s="41"/>
      <c r="G9" s="41"/>
      <c r="H9" s="41"/>
      <c r="I9" s="42"/>
      <c r="J9" s="42"/>
      <c r="K9" s="42"/>
      <c r="L9" s="42"/>
      <c r="M9" s="43"/>
      <c r="N9" s="43"/>
      <c r="O9" s="43"/>
      <c r="P9" s="43"/>
    </row>
    <row r="10" spans="1:16" ht="13" customHeight="1" x14ac:dyDescent="0.35">
      <c r="A10" s="39"/>
      <c r="B10" s="39"/>
      <c r="C10" s="39"/>
      <c r="D10" s="39"/>
      <c r="E10" s="41"/>
      <c r="F10" s="41"/>
      <c r="G10" s="41"/>
      <c r="H10" s="41"/>
      <c r="I10" s="42"/>
      <c r="J10" s="42"/>
      <c r="K10" s="42"/>
      <c r="L10" s="42"/>
      <c r="M10" s="43"/>
      <c r="N10" s="43"/>
      <c r="O10" s="43"/>
      <c r="P10" s="43"/>
    </row>
    <row r="11" spans="1:16" ht="13" customHeight="1" x14ac:dyDescent="0.35">
      <c r="A11" s="40" t="s">
        <v>508</v>
      </c>
      <c r="B11" s="40"/>
      <c r="C11" s="40"/>
      <c r="D11" s="40"/>
      <c r="E11" s="40" t="s">
        <v>234</v>
      </c>
      <c r="F11" s="40"/>
      <c r="G11" s="40"/>
      <c r="H11" s="40"/>
      <c r="I11" s="40" t="s">
        <v>511</v>
      </c>
      <c r="J11" s="40"/>
      <c r="K11" s="40"/>
      <c r="L11" s="40"/>
      <c r="M11" s="40" t="s">
        <v>513</v>
      </c>
      <c r="N11" s="40"/>
      <c r="O11" s="40"/>
      <c r="P11" s="40"/>
    </row>
    <row r="12" spans="1:16" ht="13" customHeight="1" x14ac:dyDescent="0.35">
      <c r="A12" s="1"/>
      <c r="B12" s="1"/>
      <c r="C12" s="1"/>
      <c r="D12" s="1"/>
      <c r="E12" s="1"/>
      <c r="F12" s="1"/>
      <c r="G12" s="1"/>
      <c r="H12" s="1"/>
      <c r="I12" s="1"/>
      <c r="J12" s="1"/>
      <c r="K12" s="1"/>
      <c r="L12" s="1"/>
      <c r="M12" s="1"/>
      <c r="N12" s="1"/>
      <c r="O12" s="1"/>
      <c r="P12" s="1"/>
    </row>
    <row r="13" spans="1:16" ht="13" customHeight="1" x14ac:dyDescent="0.35">
      <c r="A13" s="34" t="str">
        <f>IF(Dashboard!B2="Ready","READY  |  "&amp;TEXT(Settings!B3*Settings!B6,"0.00")&amp;" usable hours / study day across three shared-capacity tracks",IF(Dashboard!B2="No remaining work","COMPLETE  |  No remaining selected work","ACTION REQUIRED  |  "&amp;Dashboard!B2&amp;" - review Settings and Schedule"))</f>
        <v>READY  |  2.55 usable hours / study day across three shared-capacity tracks</v>
      </c>
      <c r="B13" s="34"/>
      <c r="C13" s="34"/>
      <c r="D13" s="34"/>
      <c r="E13" s="34"/>
      <c r="F13" s="34"/>
      <c r="G13" s="34"/>
      <c r="H13" s="34"/>
      <c r="I13" s="34"/>
      <c r="J13" s="34"/>
      <c r="K13" s="34"/>
      <c r="L13" s="34"/>
      <c r="M13" s="34"/>
      <c r="N13" s="34"/>
      <c r="O13" s="34"/>
      <c r="P13" s="34"/>
    </row>
    <row r="14" spans="1:16" ht="13" customHeight="1" x14ac:dyDescent="0.35">
      <c r="A14" s="34"/>
      <c r="B14" s="34"/>
      <c r="C14" s="34"/>
      <c r="D14" s="34"/>
      <c r="E14" s="34"/>
      <c r="F14" s="34"/>
      <c r="G14" s="34"/>
      <c r="H14" s="34"/>
      <c r="I14" s="34"/>
      <c r="J14" s="34"/>
      <c r="K14" s="34"/>
      <c r="L14" s="34"/>
      <c r="M14" s="34"/>
      <c r="N14" s="34"/>
      <c r="O14" s="34"/>
      <c r="P14" s="34"/>
    </row>
    <row r="15" spans="1:16" ht="13" customHeight="1" x14ac:dyDescent="0.35">
      <c r="A15" s="1"/>
      <c r="B15" s="1"/>
      <c r="C15" s="1"/>
      <c r="D15" s="1"/>
      <c r="E15" s="1"/>
      <c r="F15" s="1"/>
      <c r="G15" s="1"/>
      <c r="H15" s="1"/>
      <c r="I15" s="1"/>
      <c r="J15" s="1"/>
      <c r="K15" s="1"/>
      <c r="L15" s="1"/>
      <c r="M15" s="1"/>
      <c r="N15" s="1"/>
      <c r="O15" s="1"/>
      <c r="P15" s="1"/>
    </row>
    <row r="16" spans="1:16" ht="13" customHeight="1" x14ac:dyDescent="0.35">
      <c r="A16" s="44" t="s">
        <v>514</v>
      </c>
      <c r="B16" s="44"/>
      <c r="C16" s="44"/>
      <c r="D16" s="44"/>
      <c r="E16" s="44" t="s">
        <v>515</v>
      </c>
      <c r="F16" s="44"/>
      <c r="G16" s="44"/>
      <c r="H16" s="44"/>
      <c r="I16" s="44" t="s">
        <v>516</v>
      </c>
      <c r="J16" s="44"/>
      <c r="K16" s="44"/>
      <c r="L16" s="44"/>
      <c r="M16" s="44" t="s">
        <v>517</v>
      </c>
      <c r="N16" s="44"/>
      <c r="O16" s="44"/>
      <c r="P16" s="44"/>
    </row>
    <row r="17" spans="1:16" ht="13" customHeight="1" x14ac:dyDescent="0.35">
      <c r="A17" s="45"/>
      <c r="B17" s="45"/>
      <c r="C17" s="45"/>
      <c r="D17" s="45"/>
      <c r="E17" s="45"/>
      <c r="F17" s="45"/>
      <c r="G17" s="45"/>
      <c r="H17" s="45"/>
      <c r="I17" s="45"/>
      <c r="J17" s="45"/>
      <c r="K17" s="45"/>
      <c r="L17" s="45"/>
      <c r="M17" s="45"/>
      <c r="N17" s="45"/>
      <c r="O17" s="45"/>
      <c r="P17" s="45"/>
    </row>
    <row r="18" spans="1:16" ht="13" customHeight="1" x14ac:dyDescent="0.35">
      <c r="A18" s="1"/>
      <c r="B18" s="1"/>
      <c r="C18" s="1"/>
      <c r="D18" s="1"/>
      <c r="E18" s="1"/>
      <c r="F18" s="1"/>
      <c r="G18" s="1"/>
      <c r="H18" s="1"/>
      <c r="I18" s="1"/>
      <c r="J18" s="1"/>
      <c r="K18" s="1"/>
      <c r="L18" s="1"/>
      <c r="M18" s="1"/>
      <c r="N18" s="1"/>
      <c r="O18" s="1"/>
      <c r="P18" s="1"/>
    </row>
    <row r="19" spans="1:16" ht="13" customHeight="1" x14ac:dyDescent="0.35">
      <c r="A19" s="1"/>
      <c r="B19" s="1"/>
      <c r="C19" s="1"/>
      <c r="D19" s="1"/>
      <c r="E19" s="1"/>
      <c r="F19" s="1"/>
      <c r="G19" s="1"/>
      <c r="H19" s="1"/>
      <c r="I19" s="1"/>
      <c r="J19" s="1"/>
      <c r="K19" s="1"/>
      <c r="L19" s="1"/>
      <c r="M19" s="1"/>
      <c r="N19" s="1"/>
      <c r="O19" s="1"/>
      <c r="P19" s="1"/>
    </row>
    <row r="20" spans="1:16" ht="13" customHeight="1" x14ac:dyDescent="0.35">
      <c r="A20" s="46" t="s">
        <v>518</v>
      </c>
      <c r="B20" s="46"/>
      <c r="C20" s="46"/>
      <c r="D20" s="46"/>
      <c r="E20" s="46"/>
      <c r="F20" s="46"/>
      <c r="G20" s="46"/>
      <c r="H20" s="46"/>
      <c r="I20" s="46" t="s">
        <v>519</v>
      </c>
      <c r="J20" s="46"/>
      <c r="K20" s="46"/>
      <c r="L20" s="46"/>
      <c r="M20" s="46"/>
      <c r="N20" s="46"/>
      <c r="O20" s="46"/>
      <c r="P20" s="46"/>
    </row>
    <row r="21" spans="1:16" ht="13" customHeight="1" x14ac:dyDescent="0.35">
      <c r="A21" s="47" t="s">
        <v>520</v>
      </c>
      <c r="B21" s="47"/>
      <c r="C21" s="47" t="s">
        <v>521</v>
      </c>
      <c r="D21" s="47"/>
      <c r="E21" s="47" t="s">
        <v>522</v>
      </c>
      <c r="F21" s="47"/>
      <c r="G21" s="47" t="s">
        <v>523</v>
      </c>
      <c r="H21" s="47"/>
      <c r="I21" s="1"/>
      <c r="J21" s="1"/>
      <c r="K21" s="1"/>
      <c r="L21" s="1"/>
      <c r="M21" s="1"/>
      <c r="N21" s="1"/>
      <c r="O21" s="1"/>
      <c r="P21" s="1"/>
    </row>
    <row r="22" spans="1:16" ht="13" customHeight="1" x14ac:dyDescent="0.35">
      <c r="A22" s="48" t="s">
        <v>55</v>
      </c>
      <c r="B22" s="48"/>
      <c r="C22" s="49">
        <f>Settings!B7</f>
        <v>0.6</v>
      </c>
      <c r="D22" s="50"/>
      <c r="E22" s="51">
        <f>Settings!B10</f>
        <v>1.5299999999999998</v>
      </c>
      <c r="F22" s="52"/>
      <c r="G22" s="53">
        <f>SUMIF(Schedule!$C$2:$C$49,A22,Schedule!$K$2:$K$49)</f>
        <v>693.59999999999991</v>
      </c>
      <c r="H22" s="52"/>
      <c r="I22" s="54" t="s">
        <v>55</v>
      </c>
      <c r="J22" s="54"/>
      <c r="K22" s="55" t="str">
        <f>IFERROR(INDEX(Schedule!$B$2:$B$49,MATCH(1,INDEX((Schedule!$C$2:$C$49=I22)*(Schedule!$M$2:$M$49="Planned"),0),0)),"No planned module")</f>
        <v>FDE role and delivery orientation</v>
      </c>
      <c r="L22" s="55"/>
      <c r="M22" s="55"/>
      <c r="N22" s="55"/>
      <c r="O22" s="55"/>
      <c r="P22" s="55"/>
    </row>
    <row r="23" spans="1:16" ht="13" customHeight="1" x14ac:dyDescent="0.35">
      <c r="A23" s="48"/>
      <c r="B23" s="48"/>
      <c r="C23" s="50"/>
      <c r="D23" s="50"/>
      <c r="E23" s="52"/>
      <c r="F23" s="52"/>
      <c r="G23" s="52"/>
      <c r="H23" s="52"/>
      <c r="I23" s="54"/>
      <c r="J23" s="54"/>
      <c r="K23" s="55"/>
      <c r="L23" s="55"/>
      <c r="M23" s="55"/>
      <c r="N23" s="55"/>
      <c r="O23" s="55"/>
      <c r="P23" s="55"/>
    </row>
    <row r="24" spans="1:16" ht="13" customHeight="1" x14ac:dyDescent="0.35">
      <c r="A24" s="56" t="s">
        <v>152</v>
      </c>
      <c r="B24" s="56"/>
      <c r="C24" s="49">
        <f>Settings!B8</f>
        <v>0.2</v>
      </c>
      <c r="D24" s="50"/>
      <c r="E24" s="51">
        <f>Settings!B11</f>
        <v>0.51</v>
      </c>
      <c r="F24" s="52"/>
      <c r="G24" s="53">
        <f>SUMIF(Schedule!$C$2:$C$49,A24,Schedule!$K$2:$K$49)</f>
        <v>192</v>
      </c>
      <c r="H24" s="52"/>
      <c r="I24" s="57" t="s">
        <v>152</v>
      </c>
      <c r="J24" s="57"/>
      <c r="K24" s="55" t="str">
        <f>IFERROR(INDEX(Schedule!$B$2:$B$49,MATCH(1,INDEX((Schedule!$C$2:$C$49=I24)*(Schedule!$M$2:$M$49="Planned"),0),0)),"No planned module")</f>
        <v>DSA fundamentals and first pattern exercises</v>
      </c>
      <c r="L24" s="55"/>
      <c r="M24" s="55"/>
      <c r="N24" s="55"/>
      <c r="O24" s="55"/>
      <c r="P24" s="55"/>
    </row>
    <row r="25" spans="1:16" ht="13" customHeight="1" x14ac:dyDescent="0.35">
      <c r="A25" s="56"/>
      <c r="B25" s="56"/>
      <c r="C25" s="50"/>
      <c r="D25" s="50"/>
      <c r="E25" s="52"/>
      <c r="F25" s="52"/>
      <c r="G25" s="52"/>
      <c r="H25" s="52"/>
      <c r="I25" s="57"/>
      <c r="J25" s="57"/>
      <c r="K25" s="55"/>
      <c r="L25" s="55"/>
      <c r="M25" s="55"/>
      <c r="N25" s="55"/>
      <c r="O25" s="55"/>
      <c r="P25" s="55"/>
    </row>
    <row r="26" spans="1:16" ht="13" customHeight="1" x14ac:dyDescent="0.35">
      <c r="A26" s="59" t="s">
        <v>175</v>
      </c>
      <c r="B26" s="59"/>
      <c r="C26" s="49">
        <f>Settings!B9</f>
        <v>0.2</v>
      </c>
      <c r="D26" s="50"/>
      <c r="E26" s="51">
        <f>Settings!B12</f>
        <v>0.51</v>
      </c>
      <c r="F26" s="52"/>
      <c r="G26" s="53">
        <f>SUMIF(Schedule!$C$2:$C$49,A26,Schedule!$K$2:$K$49)</f>
        <v>194.4</v>
      </c>
      <c r="H26" s="52"/>
      <c r="I26" s="60" t="s">
        <v>175</v>
      </c>
      <c r="J26" s="60"/>
      <c r="K26" s="55" t="str">
        <f>IFERROR(INDEX(Schedule!$B$2:$B$49,MATCH(1,INDEX((Schedule!$C$2:$C$49=I26)*(Schedule!$M$2:$M$49="Planned"),0),0)),"No planned module")</f>
        <v>Discovery and business workflow framing</v>
      </c>
      <c r="L26" s="55"/>
      <c r="M26" s="55"/>
      <c r="N26" s="55"/>
      <c r="O26" s="55"/>
      <c r="P26" s="55"/>
    </row>
    <row r="27" spans="1:16" ht="13" customHeight="1" x14ac:dyDescent="0.35">
      <c r="A27" s="59"/>
      <c r="B27" s="59"/>
      <c r="C27" s="50"/>
      <c r="D27" s="50"/>
      <c r="E27" s="52"/>
      <c r="F27" s="52"/>
      <c r="G27" s="52"/>
      <c r="H27" s="52"/>
      <c r="I27" s="60"/>
      <c r="J27" s="60"/>
      <c r="K27" s="55"/>
      <c r="L27" s="55"/>
      <c r="M27" s="55"/>
      <c r="N27" s="55"/>
      <c r="O27" s="55"/>
      <c r="P27" s="55"/>
    </row>
    <row r="28" spans="1:16" ht="13" customHeight="1" x14ac:dyDescent="0.35">
      <c r="A28" s="1"/>
      <c r="B28" s="1"/>
      <c r="C28" s="1"/>
      <c r="D28" s="1"/>
      <c r="E28" s="1"/>
      <c r="F28" s="1"/>
      <c r="G28" s="1"/>
      <c r="H28" s="1"/>
      <c r="I28" s="1"/>
      <c r="J28" s="1"/>
      <c r="K28" s="1"/>
      <c r="L28" s="1"/>
      <c r="M28" s="1"/>
      <c r="N28" s="1"/>
      <c r="O28" s="1"/>
      <c r="P28" s="1"/>
    </row>
    <row r="29" spans="1:16" ht="13" customHeight="1" x14ac:dyDescent="0.35">
      <c r="A29" s="1"/>
      <c r="B29" s="1"/>
      <c r="C29" s="1"/>
      <c r="D29" s="1"/>
      <c r="E29" s="1"/>
      <c r="F29" s="1"/>
      <c r="G29" s="1"/>
      <c r="H29" s="1"/>
      <c r="I29" s="1"/>
      <c r="J29" s="1"/>
      <c r="K29" s="1"/>
      <c r="L29" s="1"/>
      <c r="M29" s="1"/>
      <c r="N29" s="1"/>
      <c r="O29" s="1"/>
      <c r="P29" s="1"/>
    </row>
    <row r="30" spans="1:16" ht="13" customHeight="1" x14ac:dyDescent="0.35">
      <c r="A30" s="1"/>
      <c r="B30" s="1"/>
      <c r="C30" s="1"/>
      <c r="D30" s="1"/>
      <c r="E30" s="1"/>
      <c r="F30" s="1"/>
      <c r="G30" s="1"/>
      <c r="H30" s="1"/>
      <c r="I30" s="1"/>
      <c r="J30" s="1"/>
      <c r="K30" s="1"/>
      <c r="L30" s="1"/>
      <c r="M30" s="1"/>
      <c r="N30" s="1"/>
      <c r="O30" s="1"/>
      <c r="P30" s="1"/>
    </row>
    <row r="31" spans="1:16" ht="13" customHeight="1" x14ac:dyDescent="0.35">
      <c r="A31" s="1"/>
      <c r="B31" s="1"/>
      <c r="C31" s="1"/>
      <c r="D31" s="1"/>
      <c r="E31" s="1"/>
      <c r="F31" s="1"/>
      <c r="G31" s="1"/>
      <c r="H31" s="1"/>
      <c r="I31" s="1"/>
      <c r="J31" s="1"/>
      <c r="K31" s="1"/>
      <c r="L31" s="1"/>
      <c r="M31" s="1"/>
      <c r="N31" s="1"/>
      <c r="O31" s="1"/>
      <c r="P31" s="1"/>
    </row>
    <row r="32" spans="1:16" ht="13" customHeight="1" x14ac:dyDescent="0.35">
      <c r="A32" s="1"/>
      <c r="B32" s="1"/>
      <c r="C32" s="1"/>
      <c r="D32" s="1"/>
      <c r="E32" s="1"/>
      <c r="F32" s="1"/>
      <c r="G32" s="1"/>
      <c r="H32" s="1"/>
      <c r="I32" s="1"/>
      <c r="J32" s="1"/>
      <c r="K32" s="1"/>
      <c r="L32" s="1"/>
      <c r="M32" s="1"/>
      <c r="N32" s="1"/>
      <c r="O32" s="1"/>
      <c r="P32" s="1"/>
    </row>
    <row r="33" spans="1:16" ht="13" customHeight="1" x14ac:dyDescent="0.35">
      <c r="A33" s="1"/>
      <c r="B33" s="1"/>
      <c r="C33" s="1"/>
      <c r="D33" s="1"/>
      <c r="E33" s="1"/>
      <c r="F33" s="1"/>
      <c r="G33" s="1"/>
      <c r="H33" s="1"/>
      <c r="I33" s="1"/>
      <c r="J33" s="1"/>
      <c r="K33" s="1"/>
      <c r="L33" s="1"/>
      <c r="M33" s="1"/>
      <c r="N33" s="1"/>
      <c r="O33" s="1"/>
      <c r="P33" s="1"/>
    </row>
    <row r="34" spans="1:16" ht="13" customHeight="1" x14ac:dyDescent="0.35">
      <c r="A34" s="1"/>
      <c r="B34" s="1"/>
      <c r="C34" s="1"/>
      <c r="D34" s="1"/>
      <c r="E34" s="1"/>
      <c r="F34" s="1"/>
      <c r="G34" s="1"/>
      <c r="H34" s="1"/>
      <c r="I34" s="1"/>
      <c r="J34" s="1"/>
      <c r="K34" s="1"/>
      <c r="L34" s="1"/>
      <c r="M34" s="1"/>
      <c r="N34" s="1"/>
      <c r="O34" s="1"/>
      <c r="P34" s="1"/>
    </row>
    <row r="35" spans="1:16" ht="13" customHeight="1" x14ac:dyDescent="0.35">
      <c r="A35" s="1"/>
      <c r="B35" s="1"/>
      <c r="C35" s="1"/>
      <c r="D35" s="1"/>
      <c r="E35" s="1"/>
      <c r="F35" s="1"/>
      <c r="G35" s="1"/>
      <c r="H35" s="1"/>
      <c r="I35" s="1"/>
      <c r="J35" s="1"/>
      <c r="K35" s="1"/>
      <c r="L35" s="1"/>
      <c r="M35" s="1"/>
      <c r="N35" s="1"/>
      <c r="O35" s="1"/>
      <c r="P35" s="1"/>
    </row>
    <row r="36" spans="1:16" ht="13" customHeight="1" x14ac:dyDescent="0.35">
      <c r="A36" s="1"/>
      <c r="B36" s="1"/>
      <c r="C36" s="1"/>
      <c r="D36" s="1"/>
      <c r="E36" s="1"/>
      <c r="F36" s="1"/>
      <c r="G36" s="1"/>
      <c r="H36" s="1"/>
      <c r="I36" s="1"/>
      <c r="J36" s="1"/>
      <c r="K36" s="1"/>
      <c r="L36" s="1"/>
      <c r="M36" s="1"/>
      <c r="N36" s="1"/>
      <c r="O36" s="1"/>
      <c r="P36" s="1"/>
    </row>
    <row r="37" spans="1:16" ht="13" customHeight="1" x14ac:dyDescent="0.35">
      <c r="A37" s="1"/>
      <c r="B37" s="1"/>
      <c r="C37" s="1"/>
      <c r="D37" s="1"/>
      <c r="E37" s="1"/>
      <c r="F37" s="1"/>
      <c r="G37" s="1"/>
      <c r="H37" s="1"/>
      <c r="I37" s="1"/>
      <c r="J37" s="1"/>
      <c r="K37" s="1"/>
      <c r="L37" s="1"/>
      <c r="M37" s="1"/>
      <c r="N37" s="1"/>
      <c r="O37" s="1"/>
      <c r="P37" s="1"/>
    </row>
    <row r="38" spans="1:16" ht="13" customHeight="1" x14ac:dyDescent="0.35">
      <c r="A38" s="1"/>
      <c r="B38" s="1"/>
      <c r="C38" s="1"/>
      <c r="D38" s="1"/>
      <c r="E38" s="1"/>
      <c r="F38" s="1"/>
      <c r="G38" s="1"/>
      <c r="H38" s="1"/>
      <c r="I38" s="1"/>
      <c r="J38" s="1"/>
      <c r="K38" s="1"/>
      <c r="L38" s="1"/>
      <c r="M38" s="1"/>
      <c r="N38" s="1"/>
      <c r="O38" s="1"/>
      <c r="P38" s="1"/>
    </row>
    <row r="39" spans="1:16" ht="13" customHeight="1" x14ac:dyDescent="0.35">
      <c r="A39" s="1"/>
      <c r="B39" s="1"/>
      <c r="C39" s="1"/>
      <c r="D39" s="1"/>
      <c r="E39" s="1"/>
      <c r="F39" s="1"/>
      <c r="G39" s="1"/>
      <c r="H39" s="1"/>
      <c r="I39" s="1"/>
      <c r="J39" s="1"/>
      <c r="K39" s="1"/>
      <c r="L39" s="1"/>
      <c r="M39" s="1"/>
      <c r="N39" s="1"/>
      <c r="O39" s="1"/>
      <c r="P39" s="1"/>
    </row>
    <row r="40" spans="1:16" ht="13" customHeight="1" x14ac:dyDescent="0.35">
      <c r="A40" s="1"/>
      <c r="B40" s="1"/>
      <c r="C40" s="1"/>
      <c r="D40" s="1"/>
      <c r="E40" s="1"/>
      <c r="F40" s="1"/>
      <c r="G40" s="1"/>
      <c r="H40" s="1"/>
      <c r="I40" s="1"/>
      <c r="J40" s="1"/>
      <c r="K40" s="1"/>
      <c r="L40" s="1"/>
      <c r="M40" s="1"/>
      <c r="N40" s="1"/>
      <c r="O40" s="1"/>
      <c r="P40" s="1"/>
    </row>
    <row r="41" spans="1:16" ht="13" customHeight="1" x14ac:dyDescent="0.35">
      <c r="A41" s="1"/>
      <c r="B41" s="1"/>
      <c r="C41" s="1"/>
      <c r="D41" s="1"/>
      <c r="E41" s="1"/>
      <c r="F41" s="1"/>
      <c r="G41" s="1"/>
      <c r="H41" s="1"/>
      <c r="I41" s="1"/>
      <c r="J41" s="1"/>
      <c r="K41" s="1"/>
      <c r="L41" s="1"/>
      <c r="M41" s="1"/>
      <c r="N41" s="1"/>
      <c r="O41" s="1"/>
      <c r="P41" s="1"/>
    </row>
    <row r="42" spans="1:16" ht="13" customHeight="1" x14ac:dyDescent="0.35">
      <c r="A42" s="1"/>
      <c r="B42" s="1"/>
      <c r="C42" s="1"/>
      <c r="D42" s="1"/>
      <c r="E42" s="1"/>
      <c r="F42" s="1"/>
      <c r="G42" s="1"/>
      <c r="H42" s="1"/>
      <c r="I42" s="1"/>
      <c r="J42" s="1"/>
      <c r="K42" s="1"/>
      <c r="L42" s="1"/>
      <c r="M42" s="1"/>
      <c r="N42" s="1"/>
      <c r="O42" s="1"/>
      <c r="P42" s="1"/>
    </row>
    <row r="43" spans="1:16" ht="13" customHeight="1" x14ac:dyDescent="0.35">
      <c r="A43" s="1"/>
      <c r="B43" s="1"/>
      <c r="C43" s="1"/>
      <c r="D43" s="1"/>
      <c r="E43" s="1"/>
      <c r="F43" s="1"/>
      <c r="G43" s="1"/>
      <c r="H43" s="1"/>
      <c r="I43" s="1"/>
      <c r="J43" s="1"/>
      <c r="K43" s="1"/>
      <c r="L43" s="1"/>
      <c r="M43" s="1"/>
      <c r="N43" s="1"/>
      <c r="O43" s="1"/>
      <c r="P43" s="1"/>
    </row>
    <row r="44" spans="1:16" ht="13" customHeight="1" x14ac:dyDescent="0.35">
      <c r="A44" s="40" t="s">
        <v>527</v>
      </c>
      <c r="B44" s="40"/>
      <c r="C44" s="40"/>
      <c r="D44" s="40"/>
      <c r="E44" s="40"/>
      <c r="F44" s="40"/>
      <c r="G44" s="40"/>
      <c r="H44" s="40"/>
      <c r="I44" s="40"/>
      <c r="J44" s="40"/>
      <c r="K44" s="40"/>
      <c r="L44" s="40"/>
      <c r="M44" s="40"/>
      <c r="N44" s="40"/>
      <c r="O44" s="40"/>
      <c r="P44" s="40"/>
    </row>
    <row r="45" spans="1:16" ht="13" customHeight="1" x14ac:dyDescent="0.35">
      <c r="A45" s="1"/>
      <c r="B45" s="1"/>
      <c r="C45" s="1"/>
      <c r="D45" s="1"/>
      <c r="E45" s="1"/>
      <c r="F45" s="1"/>
      <c r="G45" s="1"/>
      <c r="H45" s="1"/>
      <c r="I45" s="1"/>
      <c r="J45" s="1"/>
      <c r="K45" s="1"/>
      <c r="L45" s="1"/>
      <c r="M45" s="1"/>
      <c r="N45" s="1"/>
      <c r="O45" s="1"/>
      <c r="P45" s="1"/>
    </row>
    <row r="46" spans="1:16" ht="13" customHeight="1" x14ac:dyDescent="0.35">
      <c r="A46" s="61" t="s">
        <v>528</v>
      </c>
      <c r="B46" s="61"/>
      <c r="C46" s="61"/>
      <c r="D46" s="61"/>
      <c r="E46" s="61" t="s">
        <v>529</v>
      </c>
      <c r="F46" s="61"/>
      <c r="G46" s="61"/>
      <c r="H46" s="61"/>
      <c r="I46" s="61" t="s">
        <v>530</v>
      </c>
      <c r="J46" s="61"/>
      <c r="K46" s="61"/>
      <c r="L46" s="61"/>
      <c r="M46" s="61" t="s">
        <v>531</v>
      </c>
      <c r="N46" s="61"/>
      <c r="O46" s="61"/>
      <c r="P46" s="61"/>
    </row>
    <row r="47" spans="1:16" ht="13" customHeight="1" x14ac:dyDescent="0.35">
      <c r="A47" s="1"/>
      <c r="B47" s="1"/>
      <c r="C47" s="1"/>
      <c r="D47" s="1"/>
      <c r="E47" s="1"/>
      <c r="F47" s="1"/>
      <c r="G47" s="1"/>
      <c r="H47" s="1"/>
      <c r="I47" s="1"/>
      <c r="J47" s="1"/>
      <c r="K47" s="1"/>
      <c r="L47" s="1"/>
      <c r="M47" s="1"/>
      <c r="N47" s="1"/>
      <c r="O47" s="1"/>
      <c r="P47" s="1"/>
    </row>
    <row r="48" spans="1:16" ht="13" customHeight="1" x14ac:dyDescent="0.35">
      <c r="A48" s="58" t="s">
        <v>532</v>
      </c>
      <c r="B48" s="58"/>
      <c r="C48" s="58"/>
      <c r="D48" s="58"/>
      <c r="E48" s="58"/>
      <c r="F48" s="58"/>
      <c r="G48" s="58"/>
      <c r="H48" s="58"/>
      <c r="I48" s="58"/>
      <c r="J48" s="58"/>
      <c r="K48" s="58"/>
      <c r="L48" s="58"/>
      <c r="M48" s="58"/>
      <c r="N48" s="58"/>
      <c r="O48" s="58"/>
      <c r="P48" s="58"/>
    </row>
    <row r="49" spans="1:16" ht="13" customHeight="1" x14ac:dyDescent="0.35">
      <c r="A49" s="58"/>
      <c r="B49" s="58"/>
      <c r="C49" s="58"/>
      <c r="D49" s="58"/>
      <c r="E49" s="58"/>
      <c r="F49" s="58"/>
      <c r="G49" s="58"/>
      <c r="H49" s="58"/>
      <c r="I49" s="58"/>
      <c r="J49" s="58"/>
      <c r="K49" s="58"/>
      <c r="L49" s="58"/>
      <c r="M49" s="58"/>
      <c r="N49" s="58"/>
      <c r="O49" s="58"/>
      <c r="P49" s="58"/>
    </row>
    <row r="50" spans="1:16" ht="13" customHeight="1" x14ac:dyDescent="0.35">
      <c r="A50" s="1"/>
      <c r="B50" s="1"/>
      <c r="C50" s="1"/>
      <c r="D50" s="1"/>
      <c r="E50" s="1"/>
      <c r="F50" s="1"/>
      <c r="G50" s="1"/>
      <c r="H50" s="1"/>
      <c r="I50" s="1"/>
      <c r="J50" s="1"/>
      <c r="K50" s="1"/>
      <c r="L50" s="1"/>
      <c r="M50" s="1"/>
      <c r="N50" s="1"/>
      <c r="O50" s="1"/>
      <c r="P50" s="1"/>
    </row>
    <row r="51" spans="1:16" ht="13" customHeight="1" x14ac:dyDescent="0.35">
      <c r="A51" s="1"/>
      <c r="B51" s="1"/>
      <c r="C51" s="1"/>
      <c r="D51" s="1"/>
      <c r="E51" s="1"/>
      <c r="F51" s="1"/>
      <c r="G51" s="1"/>
      <c r="H51" s="1"/>
      <c r="I51" s="1"/>
      <c r="J51" s="1"/>
      <c r="K51" s="1"/>
      <c r="L51" s="1"/>
      <c r="M51" s="1"/>
      <c r="N51" s="1"/>
      <c r="O51" s="1"/>
      <c r="P51" s="1"/>
    </row>
    <row r="52" spans="1:16" ht="13" hidden="1" customHeight="1" x14ac:dyDescent="0.35">
      <c r="A52" s="1"/>
      <c r="B52" s="1"/>
      <c r="C52" s="1"/>
      <c r="D52" s="1"/>
      <c r="E52" s="1"/>
      <c r="F52" s="1"/>
      <c r="G52" s="1"/>
      <c r="H52" s="1"/>
      <c r="I52" s="1"/>
      <c r="J52" s="1"/>
      <c r="K52" s="1"/>
      <c r="L52" s="1"/>
      <c r="M52" s="1"/>
      <c r="N52" s="1"/>
      <c r="O52" s="1"/>
      <c r="P52" s="1"/>
    </row>
    <row r="53" spans="1:16" ht="13" hidden="1" customHeight="1" x14ac:dyDescent="0.35">
      <c r="A53" s="1"/>
      <c r="B53" s="1"/>
      <c r="C53" s="1"/>
      <c r="D53" s="1"/>
      <c r="E53" s="1"/>
      <c r="F53" s="1"/>
      <c r="G53" s="1"/>
      <c r="H53" s="1"/>
      <c r="I53" s="1"/>
      <c r="J53" s="1"/>
      <c r="K53" s="1"/>
      <c r="L53" s="1"/>
      <c r="M53" s="1"/>
      <c r="N53" s="1"/>
      <c r="O53" s="1"/>
      <c r="P53" s="1"/>
    </row>
    <row r="54" spans="1:16" ht="13" hidden="1" customHeight="1" x14ac:dyDescent="0.35">
      <c r="A54" s="1" t="s">
        <v>257</v>
      </c>
      <c r="B54" s="1" t="s">
        <v>524</v>
      </c>
      <c r="C54" s="1"/>
      <c r="D54" s="1" t="s">
        <v>257</v>
      </c>
      <c r="E54" s="1" t="s">
        <v>525</v>
      </c>
      <c r="F54" s="1" t="s">
        <v>526</v>
      </c>
      <c r="G54" s="1"/>
      <c r="H54" s="1"/>
      <c r="I54" s="1"/>
      <c r="J54" s="1"/>
      <c r="K54" s="1"/>
      <c r="L54" s="1"/>
      <c r="M54" s="1"/>
      <c r="N54" s="1"/>
      <c r="O54" s="1"/>
      <c r="P54" s="1"/>
    </row>
    <row r="55" spans="1:16" ht="13" hidden="1" customHeight="1" x14ac:dyDescent="0.35">
      <c r="A55" s="1" t="s">
        <v>55</v>
      </c>
      <c r="B55" s="31">
        <f>Settings!B10</f>
        <v>1.5299999999999998</v>
      </c>
      <c r="C55" s="1"/>
      <c r="D55" s="1" t="s">
        <v>55</v>
      </c>
      <c r="E55" s="1">
        <f>SUMPRODUCT((Schedule!$C$2:$C$49=D55)*Schedule!$D$2:$D$49*Schedule!$E$2:$E$49*Schedule!$F$2:$F$49)</f>
        <v>0</v>
      </c>
      <c r="F55" s="1">
        <f>SUMPRODUCT((Schedule!$C$2:$C$49=D55)*Schedule!$D$2:$D$49*Schedule!$E$2:$E$49*(1-Schedule!$F$2:$F$49))</f>
        <v>578</v>
      </c>
      <c r="G55" s="1"/>
      <c r="H55" s="1"/>
      <c r="I55" s="1"/>
      <c r="J55" s="1"/>
      <c r="K55" s="1"/>
      <c r="L55" s="1"/>
      <c r="M55" s="1"/>
      <c r="N55" s="1"/>
      <c r="O55" s="1"/>
      <c r="P55" s="1"/>
    </row>
    <row r="56" spans="1:16" ht="13" hidden="1" customHeight="1" x14ac:dyDescent="0.35">
      <c r="A56" s="1" t="s">
        <v>152</v>
      </c>
      <c r="B56" s="31">
        <f>Settings!B11</f>
        <v>0.51</v>
      </c>
      <c r="C56" s="1"/>
      <c r="D56" s="1" t="s">
        <v>152</v>
      </c>
      <c r="E56" s="1">
        <f>SUMPRODUCT((Schedule!$C$2:$C$49=D56)*Schedule!$D$2:$D$49*Schedule!$E$2:$E$49*Schedule!$F$2:$F$49)</f>
        <v>0</v>
      </c>
      <c r="F56" s="1">
        <f>SUMPRODUCT((Schedule!$C$2:$C$49=D56)*Schedule!$D$2:$D$49*Schedule!$E$2:$E$49*(1-Schedule!$F$2:$F$49))</f>
        <v>160</v>
      </c>
      <c r="G56" s="1"/>
      <c r="H56" s="1"/>
      <c r="I56" s="1"/>
      <c r="J56" s="1"/>
      <c r="K56" s="1"/>
      <c r="L56" s="1"/>
      <c r="M56" s="1"/>
      <c r="N56" s="1"/>
      <c r="O56" s="1"/>
      <c r="P56" s="1"/>
    </row>
    <row r="57" spans="1:16" ht="13" hidden="1" customHeight="1" x14ac:dyDescent="0.35">
      <c r="A57" s="1" t="s">
        <v>175</v>
      </c>
      <c r="B57" s="31">
        <f>Settings!B12</f>
        <v>0.51</v>
      </c>
      <c r="C57" s="1"/>
      <c r="D57" s="1" t="s">
        <v>175</v>
      </c>
      <c r="E57" s="1">
        <f>SUMPRODUCT((Schedule!$C$2:$C$49=D57)*Schedule!$D$2:$D$49*Schedule!$E$2:$E$49*Schedule!$F$2:$F$49)</f>
        <v>0</v>
      </c>
      <c r="F57" s="1">
        <f>SUMPRODUCT((Schedule!$C$2:$C$49=D57)*Schedule!$D$2:$D$49*Schedule!$E$2:$E$49*(1-Schedule!$F$2:$F$49))</f>
        <v>162</v>
      </c>
      <c r="G57" s="1"/>
      <c r="H57" s="1"/>
      <c r="I57" s="1"/>
      <c r="J57" s="1"/>
      <c r="K57" s="1"/>
      <c r="L57" s="1"/>
      <c r="M57" s="1"/>
      <c r="N57" s="1"/>
      <c r="O57" s="1"/>
      <c r="P57" s="1"/>
    </row>
    <row r="58" spans="1:16" ht="13" hidden="1" customHeight="1" x14ac:dyDescent="0.35">
      <c r="A58" s="1"/>
      <c r="B58" s="1"/>
      <c r="C58" s="1"/>
      <c r="D58" s="1"/>
      <c r="E58" s="1"/>
      <c r="F58" s="1"/>
      <c r="G58" s="1"/>
      <c r="H58" s="1"/>
      <c r="I58" s="1"/>
      <c r="J58" s="1"/>
      <c r="K58" s="1"/>
      <c r="L58" s="1"/>
      <c r="M58" s="1"/>
      <c r="N58" s="1"/>
      <c r="O58" s="1"/>
      <c r="P58" s="1"/>
    </row>
    <row r="59" spans="1:16" ht="13" hidden="1" customHeight="1" x14ac:dyDescent="0.35">
      <c r="A59" s="1"/>
      <c r="B59" s="1"/>
      <c r="C59" s="1"/>
      <c r="D59" s="1"/>
      <c r="E59" s="1"/>
      <c r="F59" s="1"/>
      <c r="G59" s="1"/>
      <c r="H59" s="1"/>
      <c r="I59" s="1"/>
      <c r="J59" s="1"/>
      <c r="K59" s="1"/>
      <c r="L59" s="1"/>
      <c r="M59" s="1"/>
      <c r="N59" s="1"/>
      <c r="O59" s="1"/>
      <c r="P59" s="1"/>
    </row>
    <row r="60" spans="1:16" ht="13" hidden="1" customHeight="1" x14ac:dyDescent="0.35">
      <c r="A60" s="1"/>
      <c r="B60" s="1"/>
      <c r="C60" s="1"/>
      <c r="D60" s="1"/>
      <c r="E60" s="1"/>
      <c r="F60" s="1"/>
      <c r="G60" s="1"/>
      <c r="H60" s="1"/>
      <c r="I60" s="1"/>
      <c r="J60" s="1"/>
      <c r="K60" s="1"/>
      <c r="L60" s="1"/>
      <c r="M60" s="1"/>
      <c r="N60" s="1"/>
      <c r="O60" s="1"/>
      <c r="P60" s="1"/>
    </row>
    <row r="61" spans="1:16" ht="13" hidden="1" customHeight="1" x14ac:dyDescent="0.35">
      <c r="A61" s="1"/>
      <c r="B61" s="1"/>
      <c r="C61" s="1"/>
      <c r="D61" s="1"/>
      <c r="E61" s="1"/>
      <c r="F61" s="1"/>
      <c r="G61" s="1"/>
      <c r="H61" s="1"/>
      <c r="I61" s="1"/>
      <c r="J61" s="1"/>
      <c r="K61" s="1"/>
      <c r="L61" s="1"/>
      <c r="M61" s="1"/>
      <c r="N61" s="1"/>
      <c r="O61" s="1"/>
      <c r="P61" s="1"/>
    </row>
    <row r="62" spans="1:16" ht="13" hidden="1" customHeight="1" x14ac:dyDescent="0.35">
      <c r="A62" s="1"/>
      <c r="B62" s="1"/>
      <c r="C62" s="1"/>
      <c r="D62" s="1"/>
      <c r="E62" s="1"/>
      <c r="F62" s="1"/>
      <c r="G62" s="1"/>
      <c r="H62" s="1"/>
      <c r="I62" s="1"/>
      <c r="J62" s="1"/>
      <c r="K62" s="1"/>
      <c r="L62" s="1"/>
      <c r="M62" s="1"/>
      <c r="N62" s="1"/>
      <c r="O62" s="1"/>
      <c r="P62" s="1"/>
    </row>
    <row r="63" spans="1:16" ht="13" hidden="1" customHeight="1" x14ac:dyDescent="0.35">
      <c r="A63" s="1"/>
      <c r="B63" s="1"/>
      <c r="C63" s="1"/>
      <c r="D63" s="1"/>
      <c r="E63" s="1"/>
      <c r="F63" s="1"/>
      <c r="G63" s="1"/>
      <c r="H63" s="1"/>
      <c r="I63" s="1"/>
      <c r="J63" s="1"/>
      <c r="K63" s="1"/>
      <c r="L63" s="1"/>
      <c r="M63" s="1"/>
      <c r="N63" s="1"/>
      <c r="O63" s="1"/>
      <c r="P63" s="1"/>
    </row>
    <row r="64" spans="1:16" ht="13" hidden="1" customHeight="1" x14ac:dyDescent="0.35">
      <c r="A64" s="1"/>
      <c r="B64" s="1"/>
      <c r="C64" s="1"/>
      <c r="D64" s="1"/>
      <c r="E64" s="1"/>
      <c r="F64" s="1"/>
      <c r="G64" s="1"/>
      <c r="H64" s="1"/>
      <c r="I64" s="1"/>
      <c r="J64" s="1"/>
      <c r="K64" s="1"/>
      <c r="L64" s="1"/>
      <c r="M64" s="1"/>
      <c r="N64" s="1"/>
      <c r="O64" s="1"/>
      <c r="P64" s="1"/>
    </row>
    <row r="65" spans="1:16" ht="13" hidden="1" customHeight="1" x14ac:dyDescent="0.35">
      <c r="A65" s="1"/>
      <c r="B65" s="1"/>
      <c r="C65" s="1"/>
      <c r="D65" s="1"/>
      <c r="E65" s="1"/>
      <c r="F65" s="1"/>
      <c r="G65" s="1"/>
      <c r="H65" s="1"/>
      <c r="I65" s="1"/>
      <c r="J65" s="1"/>
      <c r="K65" s="1"/>
      <c r="L65" s="1"/>
      <c r="M65" s="1"/>
      <c r="N65" s="1"/>
      <c r="O65" s="1"/>
      <c r="P65" s="1"/>
    </row>
  </sheetData>
  <mergeCells count="50">
    <mergeCell ref="A48:P49"/>
    <mergeCell ref="A26:B27"/>
    <mergeCell ref="C26:D27"/>
    <mergeCell ref="E26:F27"/>
    <mergeCell ref="G26:H27"/>
    <mergeCell ref="I26:J27"/>
    <mergeCell ref="K26:P27"/>
    <mergeCell ref="A44:P44"/>
    <mergeCell ref="A46:D46"/>
    <mergeCell ref="E46:H46"/>
    <mergeCell ref="I46:L46"/>
    <mergeCell ref="M46:P46"/>
    <mergeCell ref="I22:J23"/>
    <mergeCell ref="K22:P23"/>
    <mergeCell ref="A24:B25"/>
    <mergeCell ref="C24:D25"/>
    <mergeCell ref="E24:F25"/>
    <mergeCell ref="G24:H25"/>
    <mergeCell ref="I24:J25"/>
    <mergeCell ref="K24:P25"/>
    <mergeCell ref="A21:B21"/>
    <mergeCell ref="C21:D21"/>
    <mergeCell ref="E21:F21"/>
    <mergeCell ref="G21:H21"/>
    <mergeCell ref="A22:B23"/>
    <mergeCell ref="C22:D23"/>
    <mergeCell ref="E22:F23"/>
    <mergeCell ref="G22:H23"/>
    <mergeCell ref="A16:D17"/>
    <mergeCell ref="E16:H17"/>
    <mergeCell ref="I16:L17"/>
    <mergeCell ref="M16:P17"/>
    <mergeCell ref="A20:H20"/>
    <mergeCell ref="I20:P20"/>
    <mergeCell ref="A13:P14"/>
    <mergeCell ref="A1:P1"/>
    <mergeCell ref="A3:P4"/>
    <mergeCell ref="A5:P5"/>
    <mergeCell ref="A7:D7"/>
    <mergeCell ref="A8:D10"/>
    <mergeCell ref="A11:D11"/>
    <mergeCell ref="E7:H7"/>
    <mergeCell ref="E8:H10"/>
    <mergeCell ref="E11:H11"/>
    <mergeCell ref="I7:L7"/>
    <mergeCell ref="I8:L10"/>
    <mergeCell ref="I11:L11"/>
    <mergeCell ref="M7:P7"/>
    <mergeCell ref="M8:P10"/>
    <mergeCell ref="M11:P11"/>
  </mergeCells>
  <conditionalFormatting sqref="A13:P14">
    <cfRule type="expression" dxfId="24" priority="1" stopIfTrue="1">
      <formula>LEFT($A$13,5)="READY"</formula>
    </cfRule>
    <cfRule type="expression" dxfId="23" priority="2" stopIfTrue="1">
      <formula>LEFT($A$13,8)="COMPLETE"</formula>
    </cfRule>
    <cfRule type="expression" dxfId="22" priority="3" stopIfTrue="1">
      <formula>LEFT($A$13,15)="ACTION REQUIRED"</formula>
    </cfRule>
  </conditionalFormatting>
  <hyperlinks>
    <hyperlink ref="A16:D17" location="'Settings'!B3" tooltip="Set the total daily budget and the three allocation percentages." display="01  Configure hours" xr:uid="{CF4905DC-DDD3-4898-9039-751C28B383F9}"/>
    <hyperlink ref="E16:H17" location="'Schedule'!F2" tooltip="Update only the highlighted inputs; keep module order and formulas intact." display="02  Update progress" xr:uid="{7FF041EA-38AC-4310-8679-47D562BDF4DA}"/>
    <hyperlink ref="I16:L17" location="'Practice Log'!A2" tooltip="Record a problem, outcome, hint, and next review." display="03  Log practice" xr:uid="{4F682CE9-B872-4D7E-B92A-7C36D472E4EA}"/>
    <hyperlink ref="M16:P17" location="'Topic Map'!A1" tooltip="Find the scheduling module and evidence for each original roadmap topic." display="04  Review topics" xr:uid="{B1E6C0A6-997A-4FF5-91CA-4A7972DB2783}"/>
    <hyperlink ref="A46:D46" r:id="rId1" tooltip="Open the practice platform in your browser." display="NeetCode" xr:uid="{AA5F2DD6-7B4B-4F47-BC40-255538FBF3EB}"/>
    <hyperlink ref="E46:H46" r:id="rId2" tooltip="Open the practice platform in your browser." display="LeetCode" xr:uid="{E8C1E632-4FF9-4CA9-AE6D-D9A307505D49}"/>
    <hyperlink ref="I46:L46" r:id="rId3" tooltip="Open the practice platform in your browser." display="Deep-ML" xr:uid="{E9EE4BD3-EED4-480D-99E5-C86C0350F28D}"/>
    <hyperlink ref="M46:P46" r:id="rId4" tooltip="Open the practice platform in your browser." display="DataLemur" xr:uid="{0ADD5D12-350F-41C2-ABF0-817883AC3D62}"/>
  </hyperlinks>
  <printOptions horizontalCentered="1"/>
  <pageMargins left="0.25" right="0.25" top="0.25" bottom="0.25" header="0.3" footer="0.3"/>
  <pageSetup paperSize="9" scale="82"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D122-F3F3-4A56-80AE-4A134576B032}">
  <sheetPr>
    <tabColor rgb="FF647178"/>
    <pageSetUpPr fitToPage="1"/>
  </sheetPr>
  <dimension ref="A1:D31"/>
  <sheetViews>
    <sheetView showGridLines="0" zoomScale="95" zoomScaleNormal="95" workbookViewId="0">
      <pane ySplit="1" topLeftCell="A18" activePane="bottomLeft" state="frozenSplit"/>
      <selection pane="bottomLeft" activeCell="A23" sqref="A23"/>
    </sheetView>
  </sheetViews>
  <sheetFormatPr defaultRowHeight="14.5" x14ac:dyDescent="0.35"/>
  <cols>
    <col min="1" max="1" width="35.6328125" customWidth="1"/>
    <col min="2" max="2" width="115.6328125" customWidth="1"/>
    <col min="4" max="4" width="18.6328125" customWidth="1"/>
  </cols>
  <sheetData>
    <row r="1" spans="1:4" ht="40" customHeight="1" x14ac:dyDescent="0.35">
      <c r="A1" s="5" t="s">
        <v>467</v>
      </c>
      <c r="B1" s="5" t="s">
        <v>468</v>
      </c>
      <c r="D1" s="44" t="s">
        <v>533</v>
      </c>
    </row>
    <row r="2" spans="1:4" ht="65" customHeight="1" x14ac:dyDescent="0.35">
      <c r="A2" s="4" t="s">
        <v>469</v>
      </c>
      <c r="B2" s="4" t="s">
        <v>470</v>
      </c>
      <c r="D2" s="45"/>
    </row>
    <row r="3" spans="1:4" ht="65" customHeight="1" x14ac:dyDescent="0.35">
      <c r="A3" s="4" t="s">
        <v>471</v>
      </c>
      <c r="B3" s="4" t="s">
        <v>472</v>
      </c>
    </row>
    <row r="4" spans="1:4" ht="65" customHeight="1" x14ac:dyDescent="0.35">
      <c r="A4" s="4" t="s">
        <v>473</v>
      </c>
      <c r="B4" s="4" t="s">
        <v>474</v>
      </c>
    </row>
    <row r="5" spans="1:4" ht="65" customHeight="1" x14ac:dyDescent="0.35">
      <c r="A5" s="4" t="s">
        <v>475</v>
      </c>
      <c r="B5" s="4" t="s">
        <v>476</v>
      </c>
    </row>
    <row r="6" spans="1:4" ht="65" customHeight="1" x14ac:dyDescent="0.35">
      <c r="A6" s="4" t="s">
        <v>477</v>
      </c>
      <c r="B6" s="4" t="s">
        <v>478</v>
      </c>
    </row>
    <row r="7" spans="1:4" ht="65" customHeight="1" x14ac:dyDescent="0.35">
      <c r="A7" s="4" t="s">
        <v>479</v>
      </c>
      <c r="B7" s="4" t="s">
        <v>480</v>
      </c>
    </row>
    <row r="8" spans="1:4" ht="65" customHeight="1" x14ac:dyDescent="0.35">
      <c r="A8" s="4" t="s">
        <v>481</v>
      </c>
      <c r="B8" s="4" t="s">
        <v>482</v>
      </c>
    </row>
    <row r="9" spans="1:4" ht="65" customHeight="1" x14ac:dyDescent="0.35">
      <c r="A9" s="4" t="s">
        <v>483</v>
      </c>
      <c r="B9" s="4" t="s">
        <v>484</v>
      </c>
    </row>
    <row r="10" spans="1:4" ht="65" customHeight="1" x14ac:dyDescent="0.35">
      <c r="A10" s="4" t="s">
        <v>485</v>
      </c>
      <c r="B10" s="4" t="s">
        <v>486</v>
      </c>
    </row>
    <row r="11" spans="1:4" ht="65" customHeight="1" x14ac:dyDescent="0.35">
      <c r="A11" s="4" t="s">
        <v>487</v>
      </c>
      <c r="B11" s="4" t="s">
        <v>488</v>
      </c>
    </row>
    <row r="12" spans="1:4" ht="65" customHeight="1" x14ac:dyDescent="0.35">
      <c r="A12" s="4" t="s">
        <v>489</v>
      </c>
      <c r="B12" s="4" t="s">
        <v>490</v>
      </c>
    </row>
    <row r="13" spans="1:4" ht="65" customHeight="1" x14ac:dyDescent="0.35">
      <c r="A13" s="4" t="s">
        <v>491</v>
      </c>
      <c r="B13" s="4" t="s">
        <v>492</v>
      </c>
    </row>
    <row r="14" spans="1:4" ht="65" customHeight="1" x14ac:dyDescent="0.35">
      <c r="A14" s="4" t="s">
        <v>493</v>
      </c>
      <c r="B14" s="4" t="s">
        <v>494</v>
      </c>
    </row>
    <row r="15" spans="1:4" ht="65" customHeight="1" x14ac:dyDescent="0.35">
      <c r="A15" s="4" t="s">
        <v>495</v>
      </c>
      <c r="B15" s="4" t="s">
        <v>496</v>
      </c>
    </row>
    <row r="16" spans="1:4" ht="65" customHeight="1" x14ac:dyDescent="0.35">
      <c r="A16" s="4" t="s">
        <v>497</v>
      </c>
      <c r="B16" s="4" t="s">
        <v>162</v>
      </c>
    </row>
    <row r="17" spans="1:2" ht="65" customHeight="1" x14ac:dyDescent="0.35">
      <c r="A17" s="4" t="s">
        <v>498</v>
      </c>
      <c r="B17" s="4" t="s">
        <v>154</v>
      </c>
    </row>
    <row r="18" spans="1:2" ht="65" customHeight="1" x14ac:dyDescent="0.35">
      <c r="A18" s="4" t="s">
        <v>499</v>
      </c>
      <c r="B18" s="4" t="s">
        <v>61</v>
      </c>
    </row>
    <row r="19" spans="1:2" ht="65" customHeight="1" x14ac:dyDescent="0.35">
      <c r="A19" s="4" t="s">
        <v>500</v>
      </c>
      <c r="B19" s="4" t="s">
        <v>77</v>
      </c>
    </row>
    <row r="20" spans="1:2" ht="65" customHeight="1" x14ac:dyDescent="0.35">
      <c r="A20" s="4" t="s">
        <v>501</v>
      </c>
      <c r="B20" s="4" t="s">
        <v>502</v>
      </c>
    </row>
    <row r="21" spans="1:2" ht="65" customHeight="1" x14ac:dyDescent="0.35">
      <c r="A21" s="4" t="s">
        <v>503</v>
      </c>
      <c r="B21" s="4" t="s">
        <v>504</v>
      </c>
    </row>
    <row r="24" spans="1:2" ht="58" customHeight="1" x14ac:dyDescent="0.35">
      <c r="A24" s="33" t="s">
        <v>534</v>
      </c>
      <c r="B24" s="33" t="s">
        <v>535</v>
      </c>
    </row>
    <row r="25" spans="1:2" ht="58" customHeight="1" x14ac:dyDescent="0.35">
      <c r="A25" s="32" t="s">
        <v>536</v>
      </c>
      <c r="B25" s="32" t="s">
        <v>537</v>
      </c>
    </row>
    <row r="26" spans="1:2" ht="58" customHeight="1" x14ac:dyDescent="0.35">
      <c r="A26" s="32" t="s">
        <v>538</v>
      </c>
      <c r="B26" s="32" t="s">
        <v>539</v>
      </c>
    </row>
    <row r="27" spans="1:2" ht="58" customHeight="1" x14ac:dyDescent="0.35">
      <c r="A27" s="32" t="s">
        <v>540</v>
      </c>
      <c r="B27" s="32" t="s">
        <v>541</v>
      </c>
    </row>
    <row r="28" spans="1:2" ht="58" customHeight="1" x14ac:dyDescent="0.35">
      <c r="A28" s="32" t="s">
        <v>542</v>
      </c>
      <c r="B28" s="32" t="s">
        <v>543</v>
      </c>
    </row>
    <row r="29" spans="1:2" ht="58" customHeight="1" x14ac:dyDescent="0.35">
      <c r="A29" s="32" t="s">
        <v>544</v>
      </c>
      <c r="B29" s="32" t="s">
        <v>545</v>
      </c>
    </row>
    <row r="30" spans="1:2" ht="58" customHeight="1" x14ac:dyDescent="0.35">
      <c r="A30" s="32" t="s">
        <v>546</v>
      </c>
      <c r="B30" s="32" t="s">
        <v>547</v>
      </c>
    </row>
    <row r="31" spans="1:2" ht="58" customHeight="1" x14ac:dyDescent="0.35">
      <c r="A31" s="32" t="s">
        <v>548</v>
      </c>
      <c r="B31" s="32" t="s">
        <v>549</v>
      </c>
    </row>
  </sheetData>
  <sheetProtection sheet="1" objects="1" scenarios="1" formatColumns="0" formatRows="0" autoFilter="0"/>
  <mergeCells count="1">
    <mergeCell ref="D1:D2"/>
  </mergeCells>
  <conditionalFormatting sqref="A2:B21">
    <cfRule type="expression" dxfId="21" priority="1" stopIfTrue="1">
      <formula>MOD(ROW(),2)=0</formula>
    </cfRule>
  </conditionalFormatting>
  <hyperlinks>
    <hyperlink ref="D1:D2" location="'Overview'!A1" tooltip="Return to the executive overview." display="Overview" xr:uid="{F46C9759-9BFC-4F60-8BC2-7474540C89B6}"/>
  </hyperlinks>
  <pageMargins left="0.3" right="0.3" top="0.4" bottom="0.4" header="0.3" footer="0.3"/>
  <pageSetup paperSize="9" scale="93" fitToHeight="0" orientation="landscape" r:id="rId1"/>
  <headerFooter>
    <oddFooter>&amp;LFDE Study Planner | &amp;A&amp;R&amp;P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6063-F3F3-4933-9A2C-020D0A7082F4}">
  <sheetPr>
    <tabColor rgb="FFC28A28"/>
    <pageSetUpPr fitToPage="1"/>
  </sheetPr>
  <dimension ref="A1:E15"/>
  <sheetViews>
    <sheetView showGridLines="0" zoomScale="95" zoomScaleNormal="95" workbookViewId="0">
      <pane ySplit="1" topLeftCell="A10" activePane="bottomLeft" state="frozenSplit"/>
      <selection pane="bottomLeft" activeCell="B15" sqref="B15"/>
    </sheetView>
  </sheetViews>
  <sheetFormatPr defaultRowHeight="14.5" x14ac:dyDescent="0.35"/>
  <cols>
    <col min="1" max="1" width="37.6328125" customWidth="1"/>
    <col min="2" max="2" width="25.6328125" customWidth="1"/>
    <col min="3" max="3" width="81.6328125" customWidth="1"/>
    <col min="5" max="5" width="18.6328125" customWidth="1"/>
  </cols>
  <sheetData>
    <row r="1" spans="1:5" ht="40" customHeight="1" x14ac:dyDescent="0.35">
      <c r="A1" s="5" t="s">
        <v>0</v>
      </c>
      <c r="B1" s="5" t="s">
        <v>1</v>
      </c>
      <c r="C1" s="5" t="s">
        <v>2</v>
      </c>
      <c r="E1" s="44" t="s">
        <v>533</v>
      </c>
    </row>
    <row r="2" spans="1:5" ht="44" customHeight="1" x14ac:dyDescent="0.35">
      <c r="A2" s="4" t="s">
        <v>3</v>
      </c>
      <c r="B2" s="11">
        <f>46319</f>
        <v>46319</v>
      </c>
      <c r="C2" s="4" t="s">
        <v>4</v>
      </c>
      <c r="E2" s="45"/>
    </row>
    <row r="3" spans="1:5" ht="44" customHeight="1" x14ac:dyDescent="0.35">
      <c r="A3" s="4" t="s">
        <v>5</v>
      </c>
      <c r="B3" s="12">
        <f>3</f>
        <v>3</v>
      </c>
      <c r="C3" s="4" t="s">
        <v>6</v>
      </c>
    </row>
    <row r="4" spans="1:5" ht="44" customHeight="1" x14ac:dyDescent="0.35">
      <c r="A4" s="4" t="s">
        <v>7</v>
      </c>
      <c r="B4" s="13" t="s">
        <v>9</v>
      </c>
      <c r="C4" s="4" t="s">
        <v>8</v>
      </c>
    </row>
    <row r="5" spans="1:5" ht="44" customHeight="1" x14ac:dyDescent="0.35">
      <c r="A5" s="4" t="s">
        <v>10</v>
      </c>
      <c r="B5" s="14">
        <f>0.2</f>
        <v>0.2</v>
      </c>
      <c r="C5" s="4" t="s">
        <v>11</v>
      </c>
    </row>
    <row r="6" spans="1:5" ht="44" customHeight="1" x14ac:dyDescent="0.35">
      <c r="A6" s="4" t="s">
        <v>12</v>
      </c>
      <c r="B6" s="14">
        <f>0.85</f>
        <v>0.85</v>
      </c>
      <c r="C6" s="4" t="s">
        <v>13</v>
      </c>
    </row>
    <row r="7" spans="1:5" ht="44" customHeight="1" x14ac:dyDescent="0.35">
      <c r="A7" s="4" t="s">
        <v>14</v>
      </c>
      <c r="B7" s="14">
        <f>0.6</f>
        <v>0.6</v>
      </c>
      <c r="C7" s="4" t="s">
        <v>15</v>
      </c>
    </row>
    <row r="8" spans="1:5" ht="44" customHeight="1" x14ac:dyDescent="0.35">
      <c r="A8" s="4" t="s">
        <v>16</v>
      </c>
      <c r="B8" s="14">
        <f>0.2</f>
        <v>0.2</v>
      </c>
      <c r="C8" s="4" t="s">
        <v>17</v>
      </c>
    </row>
    <row r="9" spans="1:5" ht="44" customHeight="1" x14ac:dyDescent="0.35">
      <c r="A9" s="4" t="s">
        <v>18</v>
      </c>
      <c r="B9" s="15">
        <f>0.2</f>
        <v>0.2</v>
      </c>
      <c r="C9" s="4" t="s">
        <v>19</v>
      </c>
    </row>
    <row r="10" spans="1:5" ht="44" customHeight="1" x14ac:dyDescent="0.35">
      <c r="A10" s="4" t="s">
        <v>20</v>
      </c>
      <c r="B10" s="8">
        <f>IF(B15="Ready",B3*B6*B7,0)</f>
        <v>1.5299999999999998</v>
      </c>
      <c r="C10" s="4" t="s">
        <v>21</v>
      </c>
    </row>
    <row r="11" spans="1:5" ht="44" customHeight="1" x14ac:dyDescent="0.35">
      <c r="A11" s="4" t="s">
        <v>22</v>
      </c>
      <c r="B11" s="8">
        <f>IF(B15="Ready",B3*B6*B8,0)</f>
        <v>0.51</v>
      </c>
      <c r="C11" s="4" t="s">
        <v>23</v>
      </c>
    </row>
    <row r="12" spans="1:5" ht="44" customHeight="1" x14ac:dyDescent="0.35">
      <c r="A12" s="4" t="s">
        <v>24</v>
      </c>
      <c r="B12" s="8">
        <f>IF(B15="Ready",B3*B6*B9,0)</f>
        <v>0.51</v>
      </c>
      <c r="C12" s="4" t="s">
        <v>23</v>
      </c>
    </row>
    <row r="13" spans="1:5" ht="44" customHeight="1" x14ac:dyDescent="0.35">
      <c r="A13" s="4" t="s">
        <v>25</v>
      </c>
      <c r="B13" s="4">
        <f>LEN(B4)-LEN(SUBSTITUTE(B4,"0",""))</f>
        <v>6</v>
      </c>
      <c r="C13" s="4" t="s">
        <v>26</v>
      </c>
    </row>
    <row r="14" spans="1:5" ht="44" customHeight="1" x14ac:dyDescent="0.35">
      <c r="A14" s="4" t="s">
        <v>27</v>
      </c>
      <c r="B14" s="7">
        <f>SUM(B7:B9)</f>
        <v>1</v>
      </c>
      <c r="C14" s="4" t="s">
        <v>28</v>
      </c>
    </row>
    <row r="15" spans="1:5" ht="44" customHeight="1" x14ac:dyDescent="0.35">
      <c r="A15" s="4" t="s">
        <v>29</v>
      </c>
      <c r="B15" s="4" t="str">
        <f>IF(AND(ISNUMBER(B2),B2&gt;0,ISNUMBER(B3),B3&gt;0,B3&lt;=16,LEN(B4)=7,LEN(SUBSTITUTE(SUBSTITUTE(B4,"0",""),"1",""))=0,B13&gt;0,ISNUMBER(B5),B5&gt;=0,B5&lt;=1,ISNUMBER(B6),B6&gt;0,B6&lt;=1,COUNT(B7:B9)=3,MIN(B7:B9)&gt;=0,MAX(B7:B9)&lt;=1,ABS(B14-1)&lt;0.000001),"Ready","Invalid settings")</f>
        <v>Ready</v>
      </c>
      <c r="C15" s="4" t="s">
        <v>30</v>
      </c>
    </row>
  </sheetData>
  <sheetProtection sheet="1" objects="1" scenarios="1" formatColumns="0" formatRows="0" autoFilter="0"/>
  <mergeCells count="1">
    <mergeCell ref="E1:E2"/>
  </mergeCells>
  <conditionalFormatting sqref="A2:C14 A15 C15">
    <cfRule type="expression" dxfId="20" priority="1" stopIfTrue="1">
      <formula>AND(MOD(ROW(),2)=0,COLUMN()&lt;&gt;2)</formula>
    </cfRule>
  </conditionalFormatting>
  <conditionalFormatting sqref="B15">
    <cfRule type="expression" dxfId="19" priority="2" stopIfTrue="1">
      <formula>B15="Ready"</formula>
    </cfRule>
    <cfRule type="expression" dxfId="18" priority="3" stopIfTrue="1">
      <formula>B15&lt;&gt;"Ready"</formula>
    </cfRule>
  </conditionalFormatting>
  <dataValidations count="2">
    <dataValidation type="decimal" allowBlank="1" showInputMessage="1" showErrorMessage="1" sqref="B3" xr:uid="{02A0BACF-C69F-4FE1-B81A-E49F21BDF6E7}">
      <formula1>0.25</formula1>
      <formula2>16</formula2>
    </dataValidation>
    <dataValidation type="decimal" allowBlank="1" showInputMessage="1" showErrorMessage="1" sqref="B5:B9" xr:uid="{58BF72CE-257A-4179-AFC8-AE2D9C2B420D}">
      <formula1>0</formula1>
      <formula2>1</formula2>
    </dataValidation>
  </dataValidations>
  <hyperlinks>
    <hyperlink ref="E1:E2" location="'Overview'!A1" tooltip="Return to the executive overview." display="Overview" xr:uid="{1AC4CBB1-5DB0-45F2-9FCA-870B4AE41180}"/>
  </hyperlinks>
  <pageMargins left="0.3" right="0.3" top="0.4" bottom="0.4" header="0.3" footer="0.3"/>
  <pageSetup paperSize="9" scale="97" fitToHeight="0" orientation="landscape" r:id="rId1"/>
  <headerFooter>
    <oddFooter>&amp;LFDE Study Planner | &amp;A&amp;R&amp;P /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0635-8E7D-4045-A4BF-E6B1D148C34E}">
  <sheetPr>
    <tabColor rgb="FF647178"/>
    <pageSetUpPr fitToPage="1"/>
  </sheetPr>
  <dimension ref="A1:E21"/>
  <sheetViews>
    <sheetView showGridLines="0" zoomScale="95" zoomScaleNormal="95" workbookViewId="0">
      <pane ySplit="1" topLeftCell="A8" activePane="bottomLeft" state="frozenSplit"/>
      <selection pane="bottomLeft"/>
    </sheetView>
  </sheetViews>
  <sheetFormatPr defaultRowHeight="14.5" x14ac:dyDescent="0.35"/>
  <cols>
    <col min="1" max="1" width="34.6328125" customWidth="1"/>
    <col min="2" max="2" width="48.6328125" customWidth="1"/>
    <col min="3" max="3" width="90.6328125" customWidth="1"/>
    <col min="5" max="5" width="18.6328125" customWidth="1"/>
  </cols>
  <sheetData>
    <row r="1" spans="1:5" ht="40" customHeight="1" x14ac:dyDescent="0.35">
      <c r="A1" s="5" t="s">
        <v>229</v>
      </c>
      <c r="B1" s="5" t="s">
        <v>230</v>
      </c>
      <c r="C1" s="5" t="s">
        <v>231</v>
      </c>
      <c r="E1" s="44" t="s">
        <v>533</v>
      </c>
    </row>
    <row r="2" spans="1:5" ht="42" customHeight="1" x14ac:dyDescent="0.35">
      <c r="A2" s="4" t="s">
        <v>232</v>
      </c>
      <c r="B2" s="27" t="str">
        <f>IF(Settings!$B$15&lt;&gt;"Ready","Invalid settings",IF(COUNTIF(Schedule!$M$2:$M$49,"Blocked*")+COUNTIF(Schedule!$M$2:$M$49,"Invalid*")&gt;0,"Blocked schedule",IF(SUM(Schedule!$K$2:$K$49)=0,"No remaining work","Ready")))</f>
        <v>Ready</v>
      </c>
      <c r="C2" s="4" t="s">
        <v>243</v>
      </c>
      <c r="E2" s="45"/>
    </row>
    <row r="3" spans="1:5" ht="42" customHeight="1" x14ac:dyDescent="0.35">
      <c r="A3" s="4" t="s">
        <v>233</v>
      </c>
      <c r="B3" s="27">
        <f>SUMIF(Schedule!$D$2:$D$49,1,Schedule!$E$2:$E$49)</f>
        <v>900</v>
      </c>
      <c r="C3" s="4" t="s">
        <v>244</v>
      </c>
    </row>
    <row r="4" spans="1:5" ht="42" customHeight="1" x14ac:dyDescent="0.35">
      <c r="A4" s="4" t="s">
        <v>43</v>
      </c>
      <c r="B4" s="28">
        <f>SUM(Schedule!$K$2:$K$49)</f>
        <v>1079.9999999999998</v>
      </c>
      <c r="C4" s="4" t="s">
        <v>245</v>
      </c>
    </row>
    <row r="5" spans="1:5" ht="42" customHeight="1" x14ac:dyDescent="0.35">
      <c r="A5" s="4" t="s">
        <v>234</v>
      </c>
      <c r="B5" s="29">
        <f>IFERROR(SUMPRODUCT(Schedule!$D$2:$D$49,Schedule!$E$2:$E$49,Schedule!$F$2:$F$49)/SUMPRODUCT(Schedule!$D$2:$D$49,Schedule!$E$2:$E$49),0)</f>
        <v>0</v>
      </c>
      <c r="C5" s="4" t="s">
        <v>246</v>
      </c>
    </row>
    <row r="6" spans="1:5" ht="42" customHeight="1" x14ac:dyDescent="0.35">
      <c r="A6" s="4" t="s">
        <v>235</v>
      </c>
      <c r="B6" s="30">
        <f>IF(B2="Ready",MAX(Schedule!$Q$2:$Q$49),"")</f>
        <v>46974</v>
      </c>
      <c r="C6" s="4" t="s">
        <v>247</v>
      </c>
    </row>
    <row r="7" spans="1:5" ht="42" customHeight="1" x14ac:dyDescent="0.35">
      <c r="A7" s="4" t="s">
        <v>236</v>
      </c>
      <c r="B7" s="27">
        <f>IF(B2="Ready",ROUNDUP(MAX(Schedule!$O$2:$O$49),0),0)</f>
        <v>562</v>
      </c>
      <c r="C7" s="4" t="s">
        <v>248</v>
      </c>
    </row>
    <row r="8" spans="1:5" ht="42" customHeight="1" x14ac:dyDescent="0.35">
      <c r="A8" s="4" t="s">
        <v>237</v>
      </c>
      <c r="B8" s="27">
        <f>IF(B2="Ready",B6-Settings!$B$2+1,0)</f>
        <v>656</v>
      </c>
      <c r="C8" s="4"/>
    </row>
    <row r="9" spans="1:5" ht="42" customHeight="1" x14ac:dyDescent="0.35">
      <c r="A9" s="4" t="s">
        <v>238</v>
      </c>
      <c r="B9" s="28">
        <f>IF(B2="Ready",B7/Settings!$B$13,0)</f>
        <v>93.666666666666671</v>
      </c>
      <c r="C9" s="4" t="s">
        <v>249</v>
      </c>
    </row>
    <row r="10" spans="1:5" ht="42" customHeight="1" x14ac:dyDescent="0.35">
      <c r="A10" s="4" t="s">
        <v>239</v>
      </c>
      <c r="B10" s="28">
        <f>Settings!B10</f>
        <v>1.5299999999999998</v>
      </c>
      <c r="C10" s="4"/>
    </row>
    <row r="11" spans="1:5" ht="42" customHeight="1" x14ac:dyDescent="0.35">
      <c r="A11" s="4" t="s">
        <v>240</v>
      </c>
      <c r="B11" s="28">
        <f>Settings!B11</f>
        <v>0.51</v>
      </c>
      <c r="C11" s="4"/>
    </row>
    <row r="12" spans="1:5" ht="42" customHeight="1" x14ac:dyDescent="0.35">
      <c r="A12" s="4" t="s">
        <v>241</v>
      </c>
      <c r="B12" s="28">
        <f>Settings!B12</f>
        <v>0.51</v>
      </c>
      <c r="C12" s="4"/>
    </row>
    <row r="13" spans="1:5" ht="42" customHeight="1" x14ac:dyDescent="0.35">
      <c r="A13" s="4" t="s">
        <v>242</v>
      </c>
      <c r="B13" s="27" t="str">
        <f>IF(B9&gt;104,"Forecast exceeds 104-week chart; dates remain complete","Within 104-week chart")</f>
        <v>Within 104-week chart</v>
      </c>
      <c r="C13" s="4"/>
    </row>
    <row r="14" spans="1:5" ht="42" customHeight="1" x14ac:dyDescent="0.35">
      <c r="A14" s="4"/>
      <c r="B14" s="4"/>
      <c r="C14" s="4"/>
    </row>
    <row r="15" spans="1:5" ht="42" customHeight="1" x14ac:dyDescent="0.35">
      <c r="A15" s="4"/>
      <c r="B15" s="4"/>
      <c r="C15" s="4"/>
    </row>
    <row r="16" spans="1:5" ht="42" customHeight="1" x14ac:dyDescent="0.35">
      <c r="A16" s="4" t="s">
        <v>250</v>
      </c>
      <c r="B16" s="4" t="s">
        <v>251</v>
      </c>
      <c r="C16" s="4" t="s">
        <v>252</v>
      </c>
    </row>
    <row r="17" spans="1:3" ht="42" customHeight="1" x14ac:dyDescent="0.35">
      <c r="A17" s="4">
        <f>1</f>
        <v>1</v>
      </c>
      <c r="B17" s="3">
        <f>IF($B$2="Ready",WORKDAY.INTL(Settings!$B$2-1,MAX(1,ROUNDUP(MAX(Schedule!$O$2:$O$49)*Settings!$B$3/A17,0)),Settings!$B$4,Holidays!$A$2:$A$101),"")</f>
        <v>48284</v>
      </c>
      <c r="C17" s="4"/>
    </row>
    <row r="18" spans="1:3" ht="42" customHeight="1" x14ac:dyDescent="0.35">
      <c r="A18" s="4">
        <f>2</f>
        <v>2</v>
      </c>
      <c r="B18" s="3">
        <f>IF($B$2="Ready",WORKDAY.INTL(Settings!$B$2-1,MAX(1,ROUNDUP(MAX(Schedule!$O$2:$O$49)*Settings!$B$3/A18,0)),Settings!$B$4,Holidays!$A$2:$A$101),"")</f>
        <v>47302</v>
      </c>
      <c r="C18" s="4"/>
    </row>
    <row r="19" spans="1:3" ht="42" customHeight="1" x14ac:dyDescent="0.35">
      <c r="A19" s="4">
        <f>3</f>
        <v>3</v>
      </c>
      <c r="B19" s="3">
        <f>IF($B$2="Ready",WORKDAY.INTL(Settings!$B$2-1,MAX(1,ROUNDUP(MAX(Schedule!$O$2:$O$49)*Settings!$B$3/A19,0)),Settings!$B$4,Holidays!$A$2:$A$101),"")</f>
        <v>46974</v>
      </c>
      <c r="C19" s="4"/>
    </row>
    <row r="20" spans="1:3" ht="42" customHeight="1" x14ac:dyDescent="0.35">
      <c r="A20" s="4">
        <f>4</f>
        <v>4</v>
      </c>
      <c r="B20" s="3">
        <f>IF($B$2="Ready",WORKDAY.INTL(Settings!$B$2-1,MAX(1,ROUNDUP(MAX(Schedule!$O$2:$O$49)*Settings!$B$3/A20,0)),Settings!$B$4,Holidays!$A$2:$A$101),"")</f>
        <v>46811</v>
      </c>
      <c r="C20" s="4"/>
    </row>
    <row r="21" spans="1:3" ht="42" customHeight="1" x14ac:dyDescent="0.35">
      <c r="A21" s="4">
        <f>6</f>
        <v>6</v>
      </c>
      <c r="B21" s="3">
        <f>IF($B$2="Ready",WORKDAY.INTL(Settings!$B$2-1,MAX(1,ROUNDUP(MAX(Schedule!$O$2:$O$49)*Settings!$B$3/A21,0)),Settings!$B$4,Holidays!$A$2:$A$101),"")</f>
        <v>46646</v>
      </c>
      <c r="C21" s="4"/>
    </row>
  </sheetData>
  <sheetProtection sheet="1" objects="1" scenarios="1" formatColumns="0" formatRows="0" autoFilter="0"/>
  <mergeCells count="1">
    <mergeCell ref="E1:E2"/>
  </mergeCells>
  <conditionalFormatting sqref="A2:C21">
    <cfRule type="expression" dxfId="17" priority="1" stopIfTrue="1">
      <formula>MOD(ROW(),2)=0</formula>
    </cfRule>
  </conditionalFormatting>
  <hyperlinks>
    <hyperlink ref="E1:E2" location="'Overview'!A1" tooltip="Return to the executive overview." display="Overview" xr:uid="{5D21B5F3-E46E-457A-92B6-326E4B53887F}"/>
  </hyperlinks>
  <pageMargins left="0.3" right="0.3" top="0.4" bottom="0.4" header="0.3" footer="0.3"/>
  <pageSetup paperSize="9" scale="81" fitToHeight="0" orientation="landscape" r:id="rId1"/>
  <headerFooter>
    <oddFooter>&amp;LFDE Study Planner | &amp;A&amp;R&amp;P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013C-E1D0-46FB-9436-8F747FD0B304}">
  <sheetPr>
    <tabColor rgb="FF18735C"/>
    <pageSetUpPr fitToPage="1"/>
  </sheetPr>
  <dimension ref="A1:V49"/>
  <sheetViews>
    <sheetView showGridLines="0" zoomScale="85" zoomScaleNormal="85" workbookViewId="0">
      <pane xSplit="3" ySplit="1" topLeftCell="D2" activePane="bottomRight" state="frozenSplit"/>
      <selection pane="topRight" activeCell="D1" sqref="D1"/>
      <selection pane="bottomLeft" activeCell="A2" sqref="A2"/>
      <selection pane="bottomRight" activeCell="G2" sqref="G2"/>
    </sheetView>
  </sheetViews>
  <sheetFormatPr defaultRowHeight="14.5" x14ac:dyDescent="0.35"/>
  <cols>
    <col min="1" max="1" width="9.6328125" customWidth="1"/>
    <col min="2" max="2" width="43.6328125" customWidth="1"/>
    <col min="3" max="3" width="13.6328125" customWidth="1"/>
    <col min="4" max="10" width="15.6328125" customWidth="1"/>
    <col min="11" max="13" width="19.6328125" customWidth="1"/>
    <col min="14" max="15" width="19.6328125" hidden="1" customWidth="1"/>
    <col min="16" max="17" width="15.6328125" customWidth="1"/>
    <col min="18" max="18" width="18.6328125" customWidth="1"/>
    <col min="19" max="19" width="65.6328125" customWidth="1"/>
    <col min="20" max="20" width="45.6328125" customWidth="1"/>
    <col min="22" max="22" width="18.6328125" customWidth="1"/>
  </cols>
  <sheetData>
    <row r="1" spans="1:22" ht="40" customHeight="1" x14ac:dyDescent="0.35">
      <c r="A1" s="5" t="s">
        <v>33</v>
      </c>
      <c r="B1" s="5" t="s">
        <v>34</v>
      </c>
      <c r="C1" s="5" t="s">
        <v>35</v>
      </c>
      <c r="D1" s="5" t="s">
        <v>36</v>
      </c>
      <c r="E1" s="5" t="s">
        <v>37</v>
      </c>
      <c r="F1" s="5" t="s">
        <v>38</v>
      </c>
      <c r="G1" s="5" t="s">
        <v>39</v>
      </c>
      <c r="H1" s="5" t="s">
        <v>40</v>
      </c>
      <c r="I1" s="5" t="s">
        <v>41</v>
      </c>
      <c r="J1" s="5" t="s">
        <v>42</v>
      </c>
      <c r="K1" s="5" t="s">
        <v>43</v>
      </c>
      <c r="L1" s="5" t="s">
        <v>44</v>
      </c>
      <c r="M1" s="5" t="s">
        <v>45</v>
      </c>
      <c r="N1" s="5" t="s">
        <v>46</v>
      </c>
      <c r="O1" s="5" t="s">
        <v>47</v>
      </c>
      <c r="P1" s="5" t="s">
        <v>48</v>
      </c>
      <c r="Q1" s="5" t="s">
        <v>49</v>
      </c>
      <c r="R1" s="5" t="s">
        <v>50</v>
      </c>
      <c r="S1" s="5" t="s">
        <v>51</v>
      </c>
      <c r="T1" s="5" t="s">
        <v>52</v>
      </c>
      <c r="V1" s="44" t="s">
        <v>533</v>
      </c>
    </row>
    <row r="2" spans="1:22" ht="56" customHeight="1" x14ac:dyDescent="0.35">
      <c r="A2" s="4" t="s">
        <v>53</v>
      </c>
      <c r="B2" s="4" t="s">
        <v>54</v>
      </c>
      <c r="C2" s="2" t="s">
        <v>55</v>
      </c>
      <c r="D2" s="19">
        <f>1</f>
        <v>1</v>
      </c>
      <c r="E2" s="19">
        <f>4</f>
        <v>4</v>
      </c>
      <c r="F2" s="20">
        <f>0</f>
        <v>0</v>
      </c>
      <c r="G2" s="19"/>
      <c r="H2" s="19"/>
      <c r="I2" s="19"/>
      <c r="J2" s="19"/>
      <c r="K2" s="17">
        <f>IF(D2=0,0,IF(AND(ISNUMBER(E2),E2&gt;=0,ISNUMBER(F2),F2&gt;=0,F2&lt;=1),E2*(1-F2)*(1+Settings!$B$5),0))</f>
        <v>4.8</v>
      </c>
      <c r="L2" s="17">
        <f>IFERROR(INDEX(Settings!$B$10:$B$12,MATCH(C2,{"Core","Practice","Delivery"},0)),0)</f>
        <v>1.5299999999999998</v>
      </c>
      <c r="M2" s="16" t="str">
        <f>IF(D2=0,"Skipped",IF(Settings!$B$15&lt;&gt;"Ready","Invalid settings",IF(OR(D2&lt;&gt;1,COUNTIF($A$2:$A$49,A2)&lt;&gt;1,NOT(ISNUMBER(E2)),E2&lt;0,NOT(ISNUMBER(F2)),F2&lt;0,F2&gt;1),"Invalid input",IF(F2=1,"Complete",IF(OR(L2&lt;=0,FALSE,G2&lt;&gt;"",H2&lt;&gt;"",I2&lt;&gt;"",J2&lt;&gt;""),"Blocked","Planned")))))</f>
        <v>Planned</v>
      </c>
      <c r="N2" s="17">
        <f>IF(M2="Skipped",0,IF(OR(M2="Planned",M2="Complete"),MAX(0,0,0,0,0),""))</f>
        <v>0</v>
      </c>
      <c r="O2" s="17">
        <f t="shared" ref="O2:O49" si="0">IF(M2="Skipped",N2,IF(OR(M2="Planned",M2="Complete"),N2+IF(K2=0,0,K2/L2),""))</f>
        <v>3.1372549019607847</v>
      </c>
      <c r="P2" s="18">
        <f>IF(AND(M2="Planned",K2&gt;0),WORKDAY.INTL(Settings!$B$2-1,INT(N2+0.000000001)+1,Settings!$B$4,Holidays!$A$2:$A$101),"")</f>
        <v>46319</v>
      </c>
      <c r="Q2" s="18">
        <f>IF(AND(M2="Planned",K2&gt;0),WORKDAY.INTL(Settings!$B$2-1,MAX(1,ROUNDUP(O2-0.000000001,0)),Settings!$B$4,Holidays!$A$2:$A$101),"")</f>
        <v>46323</v>
      </c>
      <c r="R2" s="17">
        <f t="shared" ref="R2:R49" si="1">IF(OR(M2="Planned",M2="Complete"),O2-N2,0)</f>
        <v>3.1372549019607847</v>
      </c>
      <c r="S2" s="4" t="s">
        <v>56</v>
      </c>
      <c r="T2" s="4" t="s">
        <v>57</v>
      </c>
      <c r="V2" s="45"/>
    </row>
    <row r="3" spans="1:22" ht="56" customHeight="1" x14ac:dyDescent="0.35">
      <c r="A3" s="4" t="s">
        <v>58</v>
      </c>
      <c r="B3" s="4" t="s">
        <v>59</v>
      </c>
      <c r="C3" s="2" t="s">
        <v>55</v>
      </c>
      <c r="D3" s="19">
        <f>1</f>
        <v>1</v>
      </c>
      <c r="E3" s="19">
        <f>32</f>
        <v>32</v>
      </c>
      <c r="F3" s="20">
        <f>0</f>
        <v>0</v>
      </c>
      <c r="G3" s="19" t="s">
        <v>53</v>
      </c>
      <c r="H3" s="19"/>
      <c r="I3" s="19"/>
      <c r="J3" s="19"/>
      <c r="K3" s="17">
        <f>IF(D3=0,0,IF(AND(ISNUMBER(E3),E3&gt;=0,ISNUMBER(F3),F3&gt;=0,F3&lt;=1),E3*(1-F3)*(1+Settings!$B$5),0))</f>
        <v>38.4</v>
      </c>
      <c r="L3" s="17">
        <f>IFERROR(INDEX(Settings!$B$10:$B$12,MATCH(C3,{"Core","Practice","Delivery"},0)),0)</f>
        <v>1.5299999999999998</v>
      </c>
      <c r="M3" s="16" t="str">
        <f>IF(D3=0,"Skipped",IF(Settings!$B$15&lt;&gt;"Ready","Invalid settings",IF(OR(D3&lt;&gt;1,COUNTIF($A$2:$A$49,A3)&lt;&gt;1,NOT(ISNUMBER(E3)),E3&lt;0,NOT(ISNUMBER(F3)),F3&lt;0,F3&gt;1),"Invalid input",IF(F3=1,"Complete",IF(OR(L3&lt;=0,COUNTIFS($C$2:C2,C3,$M$2:M2,"Blocked*")+COUNTIFS($C$2:C2,C3,$M$2:M2,"Invalid*")&gt;0,AND(G3&lt;&gt;"",OR(IFERROR(INDEX($D$2:$D$2,MATCH(G3,$A$2:$A$2,0)),0)&lt;&gt;1,IFERROR(INDEX($M$2:$M$2,MATCH(G3,$A$2:$A$2,0)),"Blocked")="Blocked",LEFT(IFERROR(INDEX($M$2:$M$2,MATCH(G3,$A$2:$A$2,0)),"Invalid"),7)="Invalid")),AND(H3&lt;&gt;"",OR(IFERROR(INDEX($D$2:$D$2,MATCH(H3,$A$2:$A$2,0)),0)&lt;&gt;1,IFERROR(INDEX($M$2:$M$2,MATCH(H3,$A$2:$A$2,0)),"Blocked")="Blocked",LEFT(IFERROR(INDEX($M$2:$M$2,MATCH(H3,$A$2:$A$2,0)),"Invalid"),7)="Invalid")),AND(I3&lt;&gt;"",OR(IFERROR(INDEX($D$2:$D$2,MATCH(I3,$A$2:$A$2,0)),0)&lt;&gt;1,IFERROR(INDEX($M$2:$M$2,MATCH(I3,$A$2:$A$2,0)),"Blocked")="Blocked",LEFT(IFERROR(INDEX($M$2:$M$2,MATCH(I3,$A$2:$A$2,0)),"Invalid"),7)="Invalid")),AND(J3&lt;&gt;"",OR(IFERROR(INDEX($D$2:$D$2,MATCH(J3,$A$2:$A$2,0)),0)&lt;&gt;1,IFERROR(INDEX($M$2:$M$2,MATCH(J3,$A$2:$A$2,0)),"Blocked")="Blocked",LEFT(IFERROR(INDEX($M$2:$M$2,MATCH(J3,$A$2:$A$2,0)),"Invalid"),7)="Invalid"))),"Blocked","Planned")))))</f>
        <v>Planned</v>
      </c>
      <c r="N3" s="17">
        <f>IF(M3="Skipped",O2,IF(OR(M3="Planned",M3="Complete"),MAX(O2,IF(G3="",0,IFERROR(INDEX($O$2:$O$2,MATCH(G3,$A$2:$A$2,0)),0)),IF(H3="",0,IFERROR(INDEX($O$2:$O$2,MATCH(H3,$A$2:$A$2,0)),0)),IF(I3="",0,IFERROR(INDEX($O$2:$O$2,MATCH(I3,$A$2:$A$2,0)),0)),IF(J3="",0,IFERROR(INDEX($O$2:$O$2,MATCH(J3,$A$2:$A$2,0)),0))),""))</f>
        <v>3.1372549019607847</v>
      </c>
      <c r="O3" s="17">
        <f t="shared" si="0"/>
        <v>28.235294117647062</v>
      </c>
      <c r="P3" s="18">
        <f>IF(AND(M3="Planned",K3&gt;0),WORKDAY.INTL(Settings!$B$2-1,INT(N3+0.000000001)+1,Settings!$B$4,Holidays!$A$2:$A$101),"")</f>
        <v>46323</v>
      </c>
      <c r="Q3" s="18">
        <f>IF(AND(M3="Planned",K3&gt;0),WORKDAY.INTL(Settings!$B$2-1,MAX(1,ROUNDUP(O3-0.000000001,0)),Settings!$B$4,Holidays!$A$2:$A$101),"")</f>
        <v>46352</v>
      </c>
      <c r="R3" s="17">
        <f t="shared" si="1"/>
        <v>25.098039215686278</v>
      </c>
      <c r="S3" s="4" t="s">
        <v>60</v>
      </c>
      <c r="T3" s="4" t="s">
        <v>61</v>
      </c>
    </row>
    <row r="4" spans="1:22" ht="56" customHeight="1" x14ac:dyDescent="0.35">
      <c r="A4" s="4" t="s">
        <v>62</v>
      </c>
      <c r="B4" s="4" t="s">
        <v>63</v>
      </c>
      <c r="C4" s="2" t="s">
        <v>55</v>
      </c>
      <c r="D4" s="19">
        <f>1</f>
        <v>1</v>
      </c>
      <c r="E4" s="19">
        <f>18</f>
        <v>18</v>
      </c>
      <c r="F4" s="20">
        <f>0</f>
        <v>0</v>
      </c>
      <c r="G4" s="19" t="s">
        <v>58</v>
      </c>
      <c r="H4" s="19"/>
      <c r="I4" s="19"/>
      <c r="J4" s="19"/>
      <c r="K4" s="17">
        <f>IF(D4=0,0,IF(AND(ISNUMBER(E4),E4&gt;=0,ISNUMBER(F4),F4&gt;=0,F4&lt;=1),E4*(1-F4)*(1+Settings!$B$5),0))</f>
        <v>21.599999999999998</v>
      </c>
      <c r="L4" s="17">
        <f>IFERROR(INDEX(Settings!$B$10:$B$12,MATCH(C4,{"Core","Practice","Delivery"},0)),0)</f>
        <v>1.5299999999999998</v>
      </c>
      <c r="M4" s="16" t="str">
        <f>IF(D4=0,"Skipped",IF(Settings!$B$15&lt;&gt;"Ready","Invalid settings",IF(OR(D4&lt;&gt;1,COUNTIF($A$2:$A$49,A4)&lt;&gt;1,NOT(ISNUMBER(E4)),E4&lt;0,NOT(ISNUMBER(F4)),F4&lt;0,F4&gt;1),"Invalid input",IF(F4=1,"Complete",IF(OR(L4&lt;=0,COUNTIFS($C$2:C3,C4,$M$2:M3,"Blocked*")+COUNTIFS($C$2:C3,C4,$M$2:M3,"Invalid*")&gt;0,AND(G4&lt;&gt;"",OR(IFERROR(INDEX($D$2:$D$3,MATCH(G4,$A$2:$A$3,0)),0)&lt;&gt;1,IFERROR(INDEX($M$2:$M$3,MATCH(G4,$A$2:$A$3,0)),"Blocked")="Blocked",LEFT(IFERROR(INDEX($M$2:$M$3,MATCH(G4,$A$2:$A$3,0)),"Invalid"),7)="Invalid")),AND(H4&lt;&gt;"",OR(IFERROR(INDEX($D$2:$D$3,MATCH(H4,$A$2:$A$3,0)),0)&lt;&gt;1,IFERROR(INDEX($M$2:$M$3,MATCH(H4,$A$2:$A$3,0)),"Blocked")="Blocked",LEFT(IFERROR(INDEX($M$2:$M$3,MATCH(H4,$A$2:$A$3,0)),"Invalid"),7)="Invalid")),AND(I4&lt;&gt;"",OR(IFERROR(INDEX($D$2:$D$3,MATCH(I4,$A$2:$A$3,0)),0)&lt;&gt;1,IFERROR(INDEX($M$2:$M$3,MATCH(I4,$A$2:$A$3,0)),"Blocked")="Blocked",LEFT(IFERROR(INDEX($M$2:$M$3,MATCH(I4,$A$2:$A$3,0)),"Invalid"),7)="Invalid")),AND(J4&lt;&gt;"",OR(IFERROR(INDEX($D$2:$D$3,MATCH(J4,$A$2:$A$3,0)),0)&lt;&gt;1,IFERROR(INDEX($M$2:$M$3,MATCH(J4,$A$2:$A$3,0)),"Blocked")="Blocked",LEFT(IFERROR(INDEX($M$2:$M$3,MATCH(J4,$A$2:$A$3,0)),"Invalid"),7)="Invalid"))),"Blocked","Planned")))))</f>
        <v>Planned</v>
      </c>
      <c r="N4" s="17">
        <f>IF(M4="Skipped",O3,IF(OR(M4="Planned",M4="Complete"),MAX(O3,IF(G4="",0,IFERROR(INDEX($O$2:$O$3,MATCH(G4,$A$2:$A$3,0)),0)),IF(H4="",0,IFERROR(INDEX($O$2:$O$3,MATCH(H4,$A$2:$A$3,0)),0)),IF(I4="",0,IFERROR(INDEX($O$2:$O$3,MATCH(I4,$A$2:$A$3,0)),0)),IF(J4="",0,IFERROR(INDEX($O$2:$O$3,MATCH(J4,$A$2:$A$3,0)),0))),""))</f>
        <v>28.235294117647062</v>
      </c>
      <c r="O4" s="17">
        <f t="shared" si="0"/>
        <v>42.352941176470594</v>
      </c>
      <c r="P4" s="18">
        <f>IF(AND(M4="Planned",K4&gt;0),WORKDAY.INTL(Settings!$B$2-1,INT(N4+0.000000001)+1,Settings!$B$4,Holidays!$A$2:$A$101),"")</f>
        <v>46352</v>
      </c>
      <c r="Q4" s="18">
        <f>IF(AND(M4="Planned",K4&gt;0),WORKDAY.INTL(Settings!$B$2-1,MAX(1,ROUNDUP(O4-0.000000001,0)),Settings!$B$4,Holidays!$A$2:$A$101),"")</f>
        <v>46368</v>
      </c>
      <c r="R4" s="17">
        <f t="shared" si="1"/>
        <v>14.117647058823533</v>
      </c>
      <c r="S4" s="4" t="s">
        <v>64</v>
      </c>
      <c r="T4" s="4" t="s">
        <v>65</v>
      </c>
    </row>
    <row r="5" spans="1:22" ht="56" customHeight="1" x14ac:dyDescent="0.35">
      <c r="A5" s="4" t="s">
        <v>66</v>
      </c>
      <c r="B5" s="4" t="s">
        <v>67</v>
      </c>
      <c r="C5" s="2" t="s">
        <v>55</v>
      </c>
      <c r="D5" s="19">
        <f>1</f>
        <v>1</v>
      </c>
      <c r="E5" s="19">
        <f>20</f>
        <v>20</v>
      </c>
      <c r="F5" s="20">
        <f>0</f>
        <v>0</v>
      </c>
      <c r="G5" s="19" t="s">
        <v>62</v>
      </c>
      <c r="H5" s="19"/>
      <c r="I5" s="19"/>
      <c r="J5" s="19"/>
      <c r="K5" s="17">
        <f>IF(D5=0,0,IF(AND(ISNUMBER(E5),E5&gt;=0,ISNUMBER(F5),F5&gt;=0,F5&lt;=1),E5*(1-F5)*(1+Settings!$B$5),0))</f>
        <v>24</v>
      </c>
      <c r="L5" s="17">
        <f>IFERROR(INDEX(Settings!$B$10:$B$12,MATCH(C5,{"Core","Practice","Delivery"},0)),0)</f>
        <v>1.5299999999999998</v>
      </c>
      <c r="M5" s="16" t="str">
        <f>IF(D5=0,"Skipped",IF(Settings!$B$15&lt;&gt;"Ready","Invalid settings",IF(OR(D5&lt;&gt;1,COUNTIF($A$2:$A$49,A5)&lt;&gt;1,NOT(ISNUMBER(E5)),E5&lt;0,NOT(ISNUMBER(F5)),F5&lt;0,F5&gt;1),"Invalid input",IF(F5=1,"Complete",IF(OR(L5&lt;=0,COUNTIFS($C$2:C4,C5,$M$2:M4,"Blocked*")+COUNTIFS($C$2:C4,C5,$M$2:M4,"Invalid*")&gt;0,AND(G5&lt;&gt;"",OR(IFERROR(INDEX($D$2:$D$4,MATCH(G5,$A$2:$A$4,0)),0)&lt;&gt;1,IFERROR(INDEX($M$2:$M$4,MATCH(G5,$A$2:$A$4,0)),"Blocked")="Blocked",LEFT(IFERROR(INDEX($M$2:$M$4,MATCH(G5,$A$2:$A$4,0)),"Invalid"),7)="Invalid")),AND(H5&lt;&gt;"",OR(IFERROR(INDEX($D$2:$D$4,MATCH(H5,$A$2:$A$4,0)),0)&lt;&gt;1,IFERROR(INDEX($M$2:$M$4,MATCH(H5,$A$2:$A$4,0)),"Blocked")="Blocked",LEFT(IFERROR(INDEX($M$2:$M$4,MATCH(H5,$A$2:$A$4,0)),"Invalid"),7)="Invalid")),AND(I5&lt;&gt;"",OR(IFERROR(INDEX($D$2:$D$4,MATCH(I5,$A$2:$A$4,0)),0)&lt;&gt;1,IFERROR(INDEX($M$2:$M$4,MATCH(I5,$A$2:$A$4,0)),"Blocked")="Blocked",LEFT(IFERROR(INDEX($M$2:$M$4,MATCH(I5,$A$2:$A$4,0)),"Invalid"),7)="Invalid")),AND(J5&lt;&gt;"",OR(IFERROR(INDEX($D$2:$D$4,MATCH(J5,$A$2:$A$4,0)),0)&lt;&gt;1,IFERROR(INDEX($M$2:$M$4,MATCH(J5,$A$2:$A$4,0)),"Blocked")="Blocked",LEFT(IFERROR(INDEX($M$2:$M$4,MATCH(J5,$A$2:$A$4,0)),"Invalid"),7)="Invalid"))),"Blocked","Planned")))))</f>
        <v>Planned</v>
      </c>
      <c r="N5" s="17">
        <f>IF(M5="Skipped",O4,IF(OR(M5="Planned",M5="Complete"),MAX(O4,IF(G5="",0,IFERROR(INDEX($O$2:$O$4,MATCH(G5,$A$2:$A$4,0)),0)),IF(H5="",0,IFERROR(INDEX($O$2:$O$4,MATCH(H5,$A$2:$A$4,0)),0)),IF(I5="",0,IFERROR(INDEX($O$2:$O$4,MATCH(I5,$A$2:$A$4,0)),0)),IF(J5="",0,IFERROR(INDEX($O$2:$O$4,MATCH(J5,$A$2:$A$4,0)),0))),""))</f>
        <v>42.352941176470594</v>
      </c>
      <c r="O5" s="17">
        <f t="shared" si="0"/>
        <v>58.039215686274517</v>
      </c>
      <c r="P5" s="18">
        <f>IF(AND(M5="Planned",K5&gt;0),WORKDAY.INTL(Settings!$B$2-1,INT(N5+0.000000001)+1,Settings!$B$4,Holidays!$A$2:$A$101),"")</f>
        <v>46368</v>
      </c>
      <c r="Q5" s="18">
        <f>IF(AND(M5="Planned",K5&gt;0),WORKDAY.INTL(Settings!$B$2-1,MAX(1,ROUNDUP(O5-0.000000001,0)),Settings!$B$4,Holidays!$A$2:$A$101),"")</f>
        <v>46387</v>
      </c>
      <c r="R5" s="17">
        <f t="shared" si="1"/>
        <v>15.686274509803923</v>
      </c>
      <c r="S5" s="4" t="s">
        <v>68</v>
      </c>
      <c r="T5" s="4" t="s">
        <v>69</v>
      </c>
    </row>
    <row r="6" spans="1:22" ht="56" customHeight="1" x14ac:dyDescent="0.35">
      <c r="A6" s="4" t="s">
        <v>70</v>
      </c>
      <c r="B6" s="4" t="s">
        <v>71</v>
      </c>
      <c r="C6" s="2" t="s">
        <v>55</v>
      </c>
      <c r="D6" s="19">
        <f>1</f>
        <v>1</v>
      </c>
      <c r="E6" s="19">
        <f>30</f>
        <v>30</v>
      </c>
      <c r="F6" s="20">
        <f>0</f>
        <v>0</v>
      </c>
      <c r="G6" s="19" t="s">
        <v>66</v>
      </c>
      <c r="H6" s="19"/>
      <c r="I6" s="19"/>
      <c r="J6" s="19"/>
      <c r="K6" s="17">
        <f>IF(D6=0,0,IF(AND(ISNUMBER(E6),E6&gt;=0,ISNUMBER(F6),F6&gt;=0,F6&lt;=1),E6*(1-F6)*(1+Settings!$B$5),0))</f>
        <v>36</v>
      </c>
      <c r="L6" s="17">
        <f>IFERROR(INDEX(Settings!$B$10:$B$12,MATCH(C6,{"Core","Practice","Delivery"},0)),0)</f>
        <v>1.5299999999999998</v>
      </c>
      <c r="M6" s="16" t="str">
        <f>IF(D6=0,"Skipped",IF(Settings!$B$15&lt;&gt;"Ready","Invalid settings",IF(OR(D6&lt;&gt;1,COUNTIF($A$2:$A$49,A6)&lt;&gt;1,NOT(ISNUMBER(E6)),E6&lt;0,NOT(ISNUMBER(F6)),F6&lt;0,F6&gt;1),"Invalid input",IF(F6=1,"Complete",IF(OR(L6&lt;=0,COUNTIFS($C$2:C5,C6,$M$2:M5,"Blocked*")+COUNTIFS($C$2:C5,C6,$M$2:M5,"Invalid*")&gt;0,AND(G6&lt;&gt;"",OR(IFERROR(INDEX($D$2:$D$5,MATCH(G6,$A$2:$A$5,0)),0)&lt;&gt;1,IFERROR(INDEX($M$2:$M$5,MATCH(G6,$A$2:$A$5,0)),"Blocked")="Blocked",LEFT(IFERROR(INDEX($M$2:$M$5,MATCH(G6,$A$2:$A$5,0)),"Invalid"),7)="Invalid")),AND(H6&lt;&gt;"",OR(IFERROR(INDEX($D$2:$D$5,MATCH(H6,$A$2:$A$5,0)),0)&lt;&gt;1,IFERROR(INDEX($M$2:$M$5,MATCH(H6,$A$2:$A$5,0)),"Blocked")="Blocked",LEFT(IFERROR(INDEX($M$2:$M$5,MATCH(H6,$A$2:$A$5,0)),"Invalid"),7)="Invalid")),AND(I6&lt;&gt;"",OR(IFERROR(INDEX($D$2:$D$5,MATCH(I6,$A$2:$A$5,0)),0)&lt;&gt;1,IFERROR(INDEX($M$2:$M$5,MATCH(I6,$A$2:$A$5,0)),"Blocked")="Blocked",LEFT(IFERROR(INDEX($M$2:$M$5,MATCH(I6,$A$2:$A$5,0)),"Invalid"),7)="Invalid")),AND(J6&lt;&gt;"",OR(IFERROR(INDEX($D$2:$D$5,MATCH(J6,$A$2:$A$5,0)),0)&lt;&gt;1,IFERROR(INDEX($M$2:$M$5,MATCH(J6,$A$2:$A$5,0)),"Blocked")="Blocked",LEFT(IFERROR(INDEX($M$2:$M$5,MATCH(J6,$A$2:$A$5,0)),"Invalid"),7)="Invalid"))),"Blocked","Planned")))))</f>
        <v>Planned</v>
      </c>
      <c r="N6" s="17">
        <f>IF(M6="Skipped",O5,IF(OR(M6="Planned",M6="Complete"),MAX(O5,IF(G6="",0,IFERROR(INDEX($O$2:$O$5,MATCH(G6,$A$2:$A$5,0)),0)),IF(H6="",0,IFERROR(INDEX($O$2:$O$5,MATCH(H6,$A$2:$A$5,0)),0)),IF(I6="",0,IFERROR(INDEX($O$2:$O$5,MATCH(I6,$A$2:$A$5,0)),0)),IF(J6="",0,IFERROR(INDEX($O$2:$O$5,MATCH(J6,$A$2:$A$5,0)),0))),""))</f>
        <v>58.039215686274517</v>
      </c>
      <c r="O6" s="17">
        <f t="shared" si="0"/>
        <v>81.568627450980401</v>
      </c>
      <c r="P6" s="18">
        <f>IF(AND(M6="Planned",K6&gt;0),WORKDAY.INTL(Settings!$B$2-1,INT(N6+0.000000001)+1,Settings!$B$4,Holidays!$A$2:$A$101),"")</f>
        <v>46387</v>
      </c>
      <c r="Q6" s="18">
        <f>IF(AND(M6="Planned",K6&gt;0),WORKDAY.INTL(Settings!$B$2-1,MAX(1,ROUNDUP(O6-0.000000001,0)),Settings!$B$4,Holidays!$A$2:$A$101),"")</f>
        <v>46414</v>
      </c>
      <c r="R6" s="17">
        <f t="shared" si="1"/>
        <v>23.529411764705884</v>
      </c>
      <c r="S6" s="4" t="s">
        <v>72</v>
      </c>
      <c r="T6" s="4" t="s">
        <v>73</v>
      </c>
    </row>
    <row r="7" spans="1:22" ht="56" customHeight="1" x14ac:dyDescent="0.35">
      <c r="A7" s="4" t="s">
        <v>74</v>
      </c>
      <c r="B7" s="4" t="s">
        <v>75</v>
      </c>
      <c r="C7" s="2" t="s">
        <v>55</v>
      </c>
      <c r="D7" s="19">
        <f>1</f>
        <v>1</v>
      </c>
      <c r="E7" s="19">
        <f>32</f>
        <v>32</v>
      </c>
      <c r="F7" s="20">
        <f>0</f>
        <v>0</v>
      </c>
      <c r="G7" s="19" t="s">
        <v>62</v>
      </c>
      <c r="H7" s="19"/>
      <c r="I7" s="19"/>
      <c r="J7" s="19"/>
      <c r="K7" s="17">
        <f>IF(D7=0,0,IF(AND(ISNUMBER(E7),E7&gt;=0,ISNUMBER(F7),F7&gt;=0,F7&lt;=1),E7*(1-F7)*(1+Settings!$B$5),0))</f>
        <v>38.4</v>
      </c>
      <c r="L7" s="17">
        <f>IFERROR(INDEX(Settings!$B$10:$B$12,MATCH(C7,{"Core","Practice","Delivery"},0)),0)</f>
        <v>1.5299999999999998</v>
      </c>
      <c r="M7" s="16" t="str">
        <f>IF(D7=0,"Skipped",IF(Settings!$B$15&lt;&gt;"Ready","Invalid settings",IF(OR(D7&lt;&gt;1,COUNTIF($A$2:$A$49,A7)&lt;&gt;1,NOT(ISNUMBER(E7)),E7&lt;0,NOT(ISNUMBER(F7)),F7&lt;0,F7&gt;1),"Invalid input",IF(F7=1,"Complete",IF(OR(L7&lt;=0,COUNTIFS($C$2:C6,C7,$M$2:M6,"Blocked*")+COUNTIFS($C$2:C6,C7,$M$2:M6,"Invalid*")&gt;0,AND(G7&lt;&gt;"",OR(IFERROR(INDEX($D$2:$D$6,MATCH(G7,$A$2:$A$6,0)),0)&lt;&gt;1,IFERROR(INDEX($M$2:$M$6,MATCH(G7,$A$2:$A$6,0)),"Blocked")="Blocked",LEFT(IFERROR(INDEX($M$2:$M$6,MATCH(G7,$A$2:$A$6,0)),"Invalid"),7)="Invalid")),AND(H7&lt;&gt;"",OR(IFERROR(INDEX($D$2:$D$6,MATCH(H7,$A$2:$A$6,0)),0)&lt;&gt;1,IFERROR(INDEX($M$2:$M$6,MATCH(H7,$A$2:$A$6,0)),"Blocked")="Blocked",LEFT(IFERROR(INDEX($M$2:$M$6,MATCH(H7,$A$2:$A$6,0)),"Invalid"),7)="Invalid")),AND(I7&lt;&gt;"",OR(IFERROR(INDEX($D$2:$D$6,MATCH(I7,$A$2:$A$6,0)),0)&lt;&gt;1,IFERROR(INDEX($M$2:$M$6,MATCH(I7,$A$2:$A$6,0)),"Blocked")="Blocked",LEFT(IFERROR(INDEX($M$2:$M$6,MATCH(I7,$A$2:$A$6,0)),"Invalid"),7)="Invalid")),AND(J7&lt;&gt;"",OR(IFERROR(INDEX($D$2:$D$6,MATCH(J7,$A$2:$A$6,0)),0)&lt;&gt;1,IFERROR(INDEX($M$2:$M$6,MATCH(J7,$A$2:$A$6,0)),"Blocked")="Blocked",LEFT(IFERROR(INDEX($M$2:$M$6,MATCH(J7,$A$2:$A$6,0)),"Invalid"),7)="Invalid"))),"Blocked","Planned")))))</f>
        <v>Planned</v>
      </c>
      <c r="N7" s="17">
        <f>IF(M7="Skipped",O6,IF(OR(M7="Planned",M7="Complete"),MAX(O6,IF(G7="",0,IFERROR(INDEX($O$2:$O$6,MATCH(G7,$A$2:$A$6,0)),0)),IF(H7="",0,IFERROR(INDEX($O$2:$O$6,MATCH(H7,$A$2:$A$6,0)),0)),IF(I7="",0,IFERROR(INDEX($O$2:$O$6,MATCH(I7,$A$2:$A$6,0)),0)),IF(J7="",0,IFERROR(INDEX($O$2:$O$6,MATCH(J7,$A$2:$A$6,0)),0))),""))</f>
        <v>81.568627450980401</v>
      </c>
      <c r="O7" s="17">
        <f t="shared" si="0"/>
        <v>106.66666666666669</v>
      </c>
      <c r="P7" s="18">
        <f>IF(AND(M7="Planned",K7&gt;0),WORKDAY.INTL(Settings!$B$2-1,INT(N7+0.000000001)+1,Settings!$B$4,Holidays!$A$2:$A$101),"")</f>
        <v>46414</v>
      </c>
      <c r="Q7" s="18">
        <f>IF(AND(M7="Planned",K7&gt;0),WORKDAY.INTL(Settings!$B$2-1,MAX(1,ROUNDUP(O7-0.000000001,0)),Settings!$B$4,Holidays!$A$2:$A$101),"")</f>
        <v>46443</v>
      </c>
      <c r="R7" s="17">
        <f t="shared" si="1"/>
        <v>25.098039215686285</v>
      </c>
      <c r="S7" s="4" t="s">
        <v>76</v>
      </c>
      <c r="T7" s="4" t="s">
        <v>77</v>
      </c>
    </row>
    <row r="8" spans="1:22" ht="56" customHeight="1" x14ac:dyDescent="0.35">
      <c r="A8" s="4" t="s">
        <v>78</v>
      </c>
      <c r="B8" s="4" t="s">
        <v>79</v>
      </c>
      <c r="C8" s="2" t="s">
        <v>55</v>
      </c>
      <c r="D8" s="19">
        <f>1</f>
        <v>1</v>
      </c>
      <c r="E8" s="19">
        <f>32</f>
        <v>32</v>
      </c>
      <c r="F8" s="20">
        <f>0</f>
        <v>0</v>
      </c>
      <c r="G8" s="19" t="s">
        <v>70</v>
      </c>
      <c r="H8" s="19"/>
      <c r="I8" s="19"/>
      <c r="J8" s="19"/>
      <c r="K8" s="17">
        <f>IF(D8=0,0,IF(AND(ISNUMBER(E8),E8&gt;=0,ISNUMBER(F8),F8&gt;=0,F8&lt;=1),E8*(1-F8)*(1+Settings!$B$5),0))</f>
        <v>38.4</v>
      </c>
      <c r="L8" s="17">
        <f>IFERROR(INDEX(Settings!$B$10:$B$12,MATCH(C8,{"Core","Practice","Delivery"},0)),0)</f>
        <v>1.5299999999999998</v>
      </c>
      <c r="M8" s="16" t="str">
        <f>IF(D8=0,"Skipped",IF(Settings!$B$15&lt;&gt;"Ready","Invalid settings",IF(OR(D8&lt;&gt;1,COUNTIF($A$2:$A$49,A8)&lt;&gt;1,NOT(ISNUMBER(E8)),E8&lt;0,NOT(ISNUMBER(F8)),F8&lt;0,F8&gt;1),"Invalid input",IF(F8=1,"Complete",IF(OR(L8&lt;=0,COUNTIFS($C$2:C7,C8,$M$2:M7,"Blocked*")+COUNTIFS($C$2:C7,C8,$M$2:M7,"Invalid*")&gt;0,AND(G8&lt;&gt;"",OR(IFERROR(INDEX($D$2:$D$7,MATCH(G8,$A$2:$A$7,0)),0)&lt;&gt;1,IFERROR(INDEX($M$2:$M$7,MATCH(G8,$A$2:$A$7,0)),"Blocked")="Blocked",LEFT(IFERROR(INDEX($M$2:$M$7,MATCH(G8,$A$2:$A$7,0)),"Invalid"),7)="Invalid")),AND(H8&lt;&gt;"",OR(IFERROR(INDEX($D$2:$D$7,MATCH(H8,$A$2:$A$7,0)),0)&lt;&gt;1,IFERROR(INDEX($M$2:$M$7,MATCH(H8,$A$2:$A$7,0)),"Blocked")="Blocked",LEFT(IFERROR(INDEX($M$2:$M$7,MATCH(H8,$A$2:$A$7,0)),"Invalid"),7)="Invalid")),AND(I8&lt;&gt;"",OR(IFERROR(INDEX($D$2:$D$7,MATCH(I8,$A$2:$A$7,0)),0)&lt;&gt;1,IFERROR(INDEX($M$2:$M$7,MATCH(I8,$A$2:$A$7,0)),"Blocked")="Blocked",LEFT(IFERROR(INDEX($M$2:$M$7,MATCH(I8,$A$2:$A$7,0)),"Invalid"),7)="Invalid")),AND(J8&lt;&gt;"",OR(IFERROR(INDEX($D$2:$D$7,MATCH(J8,$A$2:$A$7,0)),0)&lt;&gt;1,IFERROR(INDEX($M$2:$M$7,MATCH(J8,$A$2:$A$7,0)),"Blocked")="Blocked",LEFT(IFERROR(INDEX($M$2:$M$7,MATCH(J8,$A$2:$A$7,0)),"Invalid"),7)="Invalid"))),"Blocked","Planned")))))</f>
        <v>Planned</v>
      </c>
      <c r="N8" s="17">
        <f>IF(M8="Skipped",O7,IF(OR(M8="Planned",M8="Complete"),MAX(O7,IF(G8="",0,IFERROR(INDEX($O$2:$O$7,MATCH(G8,$A$2:$A$7,0)),0)),IF(H8="",0,IFERROR(INDEX($O$2:$O$7,MATCH(H8,$A$2:$A$7,0)),0)),IF(I8="",0,IFERROR(INDEX($O$2:$O$7,MATCH(I8,$A$2:$A$7,0)),0)),IF(J8="",0,IFERROR(INDEX($O$2:$O$7,MATCH(J8,$A$2:$A$7,0)),0))),""))</f>
        <v>106.66666666666669</v>
      </c>
      <c r="O8" s="17">
        <f t="shared" si="0"/>
        <v>131.76470588235296</v>
      </c>
      <c r="P8" s="18">
        <f>IF(AND(M8="Planned",K8&gt;0),WORKDAY.INTL(Settings!$B$2-1,INT(N8+0.000000001)+1,Settings!$B$4,Holidays!$A$2:$A$101),"")</f>
        <v>46443</v>
      </c>
      <c r="Q8" s="18">
        <f>IF(AND(M8="Planned",K8&gt;0),WORKDAY.INTL(Settings!$B$2-1,MAX(1,ROUNDUP(O8-0.000000001,0)),Settings!$B$4,Holidays!$A$2:$A$101),"")</f>
        <v>46472</v>
      </c>
      <c r="R8" s="17">
        <f t="shared" si="1"/>
        <v>25.098039215686271</v>
      </c>
      <c r="S8" s="4" t="s">
        <v>80</v>
      </c>
      <c r="T8" s="4" t="s">
        <v>81</v>
      </c>
    </row>
    <row r="9" spans="1:22" ht="56" customHeight="1" x14ac:dyDescent="0.35">
      <c r="A9" s="4" t="s">
        <v>82</v>
      </c>
      <c r="B9" s="4" t="s">
        <v>83</v>
      </c>
      <c r="C9" s="2" t="s">
        <v>55</v>
      </c>
      <c r="D9" s="19">
        <f>1</f>
        <v>1</v>
      </c>
      <c r="E9" s="19">
        <f>28</f>
        <v>28</v>
      </c>
      <c r="F9" s="20">
        <f>0</f>
        <v>0</v>
      </c>
      <c r="G9" s="19" t="s">
        <v>74</v>
      </c>
      <c r="H9" s="19" t="s">
        <v>66</v>
      </c>
      <c r="I9" s="19"/>
      <c r="J9" s="19"/>
      <c r="K9" s="17">
        <f>IF(D9=0,0,IF(AND(ISNUMBER(E9),E9&gt;=0,ISNUMBER(F9),F9&gt;=0,F9&lt;=1),E9*(1-F9)*(1+Settings!$B$5),0))</f>
        <v>33.6</v>
      </c>
      <c r="L9" s="17">
        <f>IFERROR(INDEX(Settings!$B$10:$B$12,MATCH(C9,{"Core","Practice","Delivery"},0)),0)</f>
        <v>1.5299999999999998</v>
      </c>
      <c r="M9" s="16" t="str">
        <f>IF(D9=0,"Skipped",IF(Settings!$B$15&lt;&gt;"Ready","Invalid settings",IF(OR(D9&lt;&gt;1,COUNTIF($A$2:$A$49,A9)&lt;&gt;1,NOT(ISNUMBER(E9)),E9&lt;0,NOT(ISNUMBER(F9)),F9&lt;0,F9&gt;1),"Invalid input",IF(F9=1,"Complete",IF(OR(L9&lt;=0,COUNTIFS($C$2:C8,C9,$M$2:M8,"Blocked*")+COUNTIFS($C$2:C8,C9,$M$2:M8,"Invalid*")&gt;0,AND(G9&lt;&gt;"",OR(IFERROR(INDEX($D$2:$D$8,MATCH(G9,$A$2:$A$8,0)),0)&lt;&gt;1,IFERROR(INDEX($M$2:$M$8,MATCH(G9,$A$2:$A$8,0)),"Blocked")="Blocked",LEFT(IFERROR(INDEX($M$2:$M$8,MATCH(G9,$A$2:$A$8,0)),"Invalid"),7)="Invalid")),AND(H9&lt;&gt;"",OR(IFERROR(INDEX($D$2:$D$8,MATCH(H9,$A$2:$A$8,0)),0)&lt;&gt;1,IFERROR(INDEX($M$2:$M$8,MATCH(H9,$A$2:$A$8,0)),"Blocked")="Blocked",LEFT(IFERROR(INDEX($M$2:$M$8,MATCH(H9,$A$2:$A$8,0)),"Invalid"),7)="Invalid")),AND(I9&lt;&gt;"",OR(IFERROR(INDEX($D$2:$D$8,MATCH(I9,$A$2:$A$8,0)),0)&lt;&gt;1,IFERROR(INDEX($M$2:$M$8,MATCH(I9,$A$2:$A$8,0)),"Blocked")="Blocked",LEFT(IFERROR(INDEX($M$2:$M$8,MATCH(I9,$A$2:$A$8,0)),"Invalid"),7)="Invalid")),AND(J9&lt;&gt;"",OR(IFERROR(INDEX($D$2:$D$8,MATCH(J9,$A$2:$A$8,0)),0)&lt;&gt;1,IFERROR(INDEX($M$2:$M$8,MATCH(J9,$A$2:$A$8,0)),"Blocked")="Blocked",LEFT(IFERROR(INDEX($M$2:$M$8,MATCH(J9,$A$2:$A$8,0)),"Invalid"),7)="Invalid"))),"Blocked","Planned")))))</f>
        <v>Planned</v>
      </c>
      <c r="N9" s="17">
        <f>IF(M9="Skipped",O8,IF(OR(M9="Planned",M9="Complete"),MAX(O8,IF(G9="",0,IFERROR(INDEX($O$2:$O$8,MATCH(G9,$A$2:$A$8,0)),0)),IF(H9="",0,IFERROR(INDEX($O$2:$O$8,MATCH(H9,$A$2:$A$8,0)),0)),IF(I9="",0,IFERROR(INDEX($O$2:$O$8,MATCH(I9,$A$2:$A$8,0)),0)),IF(J9="",0,IFERROR(INDEX($O$2:$O$8,MATCH(J9,$A$2:$A$8,0)),0))),""))</f>
        <v>131.76470588235296</v>
      </c>
      <c r="O9" s="17">
        <f t="shared" si="0"/>
        <v>153.72549019607845</v>
      </c>
      <c r="P9" s="18">
        <f>IF(AND(M9="Planned",K9&gt;0),WORKDAY.INTL(Settings!$B$2-1,INT(N9+0.000000001)+1,Settings!$B$4,Holidays!$A$2:$A$101),"")</f>
        <v>46472</v>
      </c>
      <c r="Q9" s="18">
        <f>IF(AND(M9="Planned",K9&gt;0),WORKDAY.INTL(Settings!$B$2-1,MAX(1,ROUNDUP(O9-0.000000001,0)),Settings!$B$4,Holidays!$A$2:$A$101),"")</f>
        <v>46498</v>
      </c>
      <c r="R9" s="17">
        <f t="shared" si="1"/>
        <v>21.960784313725497</v>
      </c>
      <c r="S9" s="4" t="s">
        <v>84</v>
      </c>
      <c r="T9" s="4" t="s">
        <v>85</v>
      </c>
    </row>
    <row r="10" spans="1:22" ht="56" customHeight="1" x14ac:dyDescent="0.35">
      <c r="A10" s="4" t="s">
        <v>86</v>
      </c>
      <c r="B10" s="4" t="s">
        <v>87</v>
      </c>
      <c r="C10" s="2" t="s">
        <v>55</v>
      </c>
      <c r="D10" s="19">
        <f>1</f>
        <v>1</v>
      </c>
      <c r="E10" s="19">
        <f>18</f>
        <v>18</v>
      </c>
      <c r="F10" s="20">
        <f>0</f>
        <v>0</v>
      </c>
      <c r="G10" s="19" t="s">
        <v>58</v>
      </c>
      <c r="H10" s="19"/>
      <c r="I10" s="19"/>
      <c r="J10" s="19"/>
      <c r="K10" s="17">
        <f>IF(D10=0,0,IF(AND(ISNUMBER(E10),E10&gt;=0,ISNUMBER(F10),F10&gt;=0,F10&lt;=1),E10*(1-F10)*(1+Settings!$B$5),0))</f>
        <v>21.599999999999998</v>
      </c>
      <c r="L10" s="17">
        <f>IFERROR(INDEX(Settings!$B$10:$B$12,MATCH(C10,{"Core","Practice","Delivery"},0)),0)</f>
        <v>1.5299999999999998</v>
      </c>
      <c r="M10" s="16" t="str">
        <f>IF(D10=0,"Skipped",IF(Settings!$B$15&lt;&gt;"Ready","Invalid settings",IF(OR(D10&lt;&gt;1,COUNTIF($A$2:$A$49,A10)&lt;&gt;1,NOT(ISNUMBER(E10)),E10&lt;0,NOT(ISNUMBER(F10)),F10&lt;0,F10&gt;1),"Invalid input",IF(F10=1,"Complete",IF(OR(L10&lt;=0,COUNTIFS($C$2:C9,C10,$M$2:M9,"Blocked*")+COUNTIFS($C$2:C9,C10,$M$2:M9,"Invalid*")&gt;0,AND(G10&lt;&gt;"",OR(IFERROR(INDEX($D$2:$D$9,MATCH(G10,$A$2:$A$9,0)),0)&lt;&gt;1,IFERROR(INDEX($M$2:$M$9,MATCH(G10,$A$2:$A$9,0)),"Blocked")="Blocked",LEFT(IFERROR(INDEX($M$2:$M$9,MATCH(G10,$A$2:$A$9,0)),"Invalid"),7)="Invalid")),AND(H10&lt;&gt;"",OR(IFERROR(INDEX($D$2:$D$9,MATCH(H10,$A$2:$A$9,0)),0)&lt;&gt;1,IFERROR(INDEX($M$2:$M$9,MATCH(H10,$A$2:$A$9,0)),"Blocked")="Blocked",LEFT(IFERROR(INDEX($M$2:$M$9,MATCH(H10,$A$2:$A$9,0)),"Invalid"),7)="Invalid")),AND(I10&lt;&gt;"",OR(IFERROR(INDEX($D$2:$D$9,MATCH(I10,$A$2:$A$9,0)),0)&lt;&gt;1,IFERROR(INDEX($M$2:$M$9,MATCH(I10,$A$2:$A$9,0)),"Blocked")="Blocked",LEFT(IFERROR(INDEX($M$2:$M$9,MATCH(I10,$A$2:$A$9,0)),"Invalid"),7)="Invalid")),AND(J10&lt;&gt;"",OR(IFERROR(INDEX($D$2:$D$9,MATCH(J10,$A$2:$A$9,0)),0)&lt;&gt;1,IFERROR(INDEX($M$2:$M$9,MATCH(J10,$A$2:$A$9,0)),"Blocked")="Blocked",LEFT(IFERROR(INDEX($M$2:$M$9,MATCH(J10,$A$2:$A$9,0)),"Invalid"),7)="Invalid"))),"Blocked","Planned")))))</f>
        <v>Planned</v>
      </c>
      <c r="N10" s="17">
        <f>IF(M10="Skipped",O9,IF(OR(M10="Planned",M10="Complete"),MAX(O9,IF(G10="",0,IFERROR(INDEX($O$2:$O$9,MATCH(G10,$A$2:$A$9,0)),0)),IF(H10="",0,IFERROR(INDEX($O$2:$O$9,MATCH(H10,$A$2:$A$9,0)),0)),IF(I10="",0,IFERROR(INDEX($O$2:$O$9,MATCH(I10,$A$2:$A$9,0)),0)),IF(J10="",0,IFERROR(INDEX($O$2:$O$9,MATCH(J10,$A$2:$A$9,0)),0))),""))</f>
        <v>153.72549019607845</v>
      </c>
      <c r="O10" s="17">
        <f t="shared" si="0"/>
        <v>167.84313725490199</v>
      </c>
      <c r="P10" s="18">
        <f>IF(AND(M10="Planned",K10&gt;0),WORKDAY.INTL(Settings!$B$2-1,INT(N10+0.000000001)+1,Settings!$B$4,Holidays!$A$2:$A$101),"")</f>
        <v>46498</v>
      </c>
      <c r="Q10" s="18">
        <f>IF(AND(M10="Planned",K10&gt;0),WORKDAY.INTL(Settings!$B$2-1,MAX(1,ROUNDUP(O10-0.000000001,0)),Settings!$B$4,Holidays!$A$2:$A$101),"")</f>
        <v>46514</v>
      </c>
      <c r="R10" s="17">
        <f t="shared" si="1"/>
        <v>14.117647058823536</v>
      </c>
      <c r="S10" s="4" t="s">
        <v>88</v>
      </c>
      <c r="T10" s="4" t="s">
        <v>61</v>
      </c>
    </row>
    <row r="11" spans="1:22" ht="56" customHeight="1" x14ac:dyDescent="0.35">
      <c r="A11" s="4" t="s">
        <v>89</v>
      </c>
      <c r="B11" s="4" t="s">
        <v>90</v>
      </c>
      <c r="C11" s="2" t="s">
        <v>55</v>
      </c>
      <c r="D11" s="19">
        <f>1</f>
        <v>1</v>
      </c>
      <c r="E11" s="19">
        <f>20</f>
        <v>20</v>
      </c>
      <c r="F11" s="20">
        <f>0</f>
        <v>0</v>
      </c>
      <c r="G11" s="19" t="s">
        <v>86</v>
      </c>
      <c r="H11" s="19"/>
      <c r="I11" s="19"/>
      <c r="J11" s="19"/>
      <c r="K11" s="17">
        <f>IF(D11=0,0,IF(AND(ISNUMBER(E11),E11&gt;=0,ISNUMBER(F11),F11&gt;=0,F11&lt;=1),E11*(1-F11)*(1+Settings!$B$5),0))</f>
        <v>24</v>
      </c>
      <c r="L11" s="17">
        <f>IFERROR(INDEX(Settings!$B$10:$B$12,MATCH(C11,{"Core","Practice","Delivery"},0)),0)</f>
        <v>1.5299999999999998</v>
      </c>
      <c r="M11" s="16" t="str">
        <f>IF(D11=0,"Skipped",IF(Settings!$B$15&lt;&gt;"Ready","Invalid settings",IF(OR(D11&lt;&gt;1,COUNTIF($A$2:$A$49,A11)&lt;&gt;1,NOT(ISNUMBER(E11)),E11&lt;0,NOT(ISNUMBER(F11)),F11&lt;0,F11&gt;1),"Invalid input",IF(F11=1,"Complete",IF(OR(L11&lt;=0,COUNTIFS($C$2:C10,C11,$M$2:M10,"Blocked*")+COUNTIFS($C$2:C10,C11,$M$2:M10,"Invalid*")&gt;0,AND(G11&lt;&gt;"",OR(IFERROR(INDEX($D$2:$D$10,MATCH(G11,$A$2:$A$10,0)),0)&lt;&gt;1,IFERROR(INDEX($M$2:$M$10,MATCH(G11,$A$2:$A$10,0)),"Blocked")="Blocked",LEFT(IFERROR(INDEX($M$2:$M$10,MATCH(G11,$A$2:$A$10,0)),"Invalid"),7)="Invalid")),AND(H11&lt;&gt;"",OR(IFERROR(INDEX($D$2:$D$10,MATCH(H11,$A$2:$A$10,0)),0)&lt;&gt;1,IFERROR(INDEX($M$2:$M$10,MATCH(H11,$A$2:$A$10,0)),"Blocked")="Blocked",LEFT(IFERROR(INDEX($M$2:$M$10,MATCH(H11,$A$2:$A$10,0)),"Invalid"),7)="Invalid")),AND(I11&lt;&gt;"",OR(IFERROR(INDEX($D$2:$D$10,MATCH(I11,$A$2:$A$10,0)),0)&lt;&gt;1,IFERROR(INDEX($M$2:$M$10,MATCH(I11,$A$2:$A$10,0)),"Blocked")="Blocked",LEFT(IFERROR(INDEX($M$2:$M$10,MATCH(I11,$A$2:$A$10,0)),"Invalid"),7)="Invalid")),AND(J11&lt;&gt;"",OR(IFERROR(INDEX($D$2:$D$10,MATCH(J11,$A$2:$A$10,0)),0)&lt;&gt;1,IFERROR(INDEX($M$2:$M$10,MATCH(J11,$A$2:$A$10,0)),"Blocked")="Blocked",LEFT(IFERROR(INDEX($M$2:$M$10,MATCH(J11,$A$2:$A$10,0)),"Invalid"),7)="Invalid"))),"Blocked","Planned")))))</f>
        <v>Planned</v>
      </c>
      <c r="N11" s="17">
        <f>IF(M11="Skipped",O10,IF(OR(M11="Planned",M11="Complete"),MAX(O10,IF(G11="",0,IFERROR(INDEX($O$2:$O$10,MATCH(G11,$A$2:$A$10,0)),0)),IF(H11="",0,IFERROR(INDEX($O$2:$O$10,MATCH(H11,$A$2:$A$10,0)),0)),IF(I11="",0,IFERROR(INDEX($O$2:$O$10,MATCH(I11,$A$2:$A$10,0)),0)),IF(J11="",0,IFERROR(INDEX($O$2:$O$10,MATCH(J11,$A$2:$A$10,0)),0))),""))</f>
        <v>167.84313725490199</v>
      </c>
      <c r="O11" s="17">
        <f t="shared" si="0"/>
        <v>183.52941176470591</v>
      </c>
      <c r="P11" s="18">
        <f>IF(AND(M11="Planned",K11&gt;0),WORKDAY.INTL(Settings!$B$2-1,INT(N11+0.000000001)+1,Settings!$B$4,Holidays!$A$2:$A$101),"")</f>
        <v>46514</v>
      </c>
      <c r="Q11" s="18">
        <f>IF(AND(M11="Planned",K11&gt;0),WORKDAY.INTL(Settings!$B$2-1,MAX(1,ROUNDUP(O11-0.000000001,0)),Settings!$B$4,Holidays!$A$2:$A$101),"")</f>
        <v>46533</v>
      </c>
      <c r="R11" s="17">
        <f t="shared" si="1"/>
        <v>15.686274509803923</v>
      </c>
      <c r="S11" s="4" t="s">
        <v>91</v>
      </c>
      <c r="T11" s="4" t="s">
        <v>61</v>
      </c>
    </row>
    <row r="12" spans="1:22" ht="56" customHeight="1" x14ac:dyDescent="0.35">
      <c r="A12" s="4" t="s">
        <v>92</v>
      </c>
      <c r="B12" s="4" t="s">
        <v>93</v>
      </c>
      <c r="C12" s="2" t="s">
        <v>55</v>
      </c>
      <c r="D12" s="19">
        <f>1</f>
        <v>1</v>
      </c>
      <c r="E12" s="19">
        <f>18</f>
        <v>18</v>
      </c>
      <c r="F12" s="20">
        <f>0</f>
        <v>0</v>
      </c>
      <c r="G12" s="19" t="s">
        <v>86</v>
      </c>
      <c r="H12" s="19" t="s">
        <v>74</v>
      </c>
      <c r="I12" s="19"/>
      <c r="J12" s="19"/>
      <c r="K12" s="17">
        <f>IF(D12=0,0,IF(AND(ISNUMBER(E12),E12&gt;=0,ISNUMBER(F12),F12&gt;=0,F12&lt;=1),E12*(1-F12)*(1+Settings!$B$5),0))</f>
        <v>21.599999999999998</v>
      </c>
      <c r="L12" s="17">
        <f>IFERROR(INDEX(Settings!$B$10:$B$12,MATCH(C12,{"Core","Practice","Delivery"},0)),0)</f>
        <v>1.5299999999999998</v>
      </c>
      <c r="M12" s="16" t="str">
        <f>IF(D12=0,"Skipped",IF(Settings!$B$15&lt;&gt;"Ready","Invalid settings",IF(OR(D12&lt;&gt;1,COUNTIF($A$2:$A$49,A12)&lt;&gt;1,NOT(ISNUMBER(E12)),E12&lt;0,NOT(ISNUMBER(F12)),F12&lt;0,F12&gt;1),"Invalid input",IF(F12=1,"Complete",IF(OR(L12&lt;=0,COUNTIFS($C$2:C11,C12,$M$2:M11,"Blocked*")+COUNTIFS($C$2:C11,C12,$M$2:M11,"Invalid*")&gt;0,AND(G12&lt;&gt;"",OR(IFERROR(INDEX($D$2:$D$11,MATCH(G12,$A$2:$A$11,0)),0)&lt;&gt;1,IFERROR(INDEX($M$2:$M$11,MATCH(G12,$A$2:$A$11,0)),"Blocked")="Blocked",LEFT(IFERROR(INDEX($M$2:$M$11,MATCH(G12,$A$2:$A$11,0)),"Invalid"),7)="Invalid")),AND(H12&lt;&gt;"",OR(IFERROR(INDEX($D$2:$D$11,MATCH(H12,$A$2:$A$11,0)),0)&lt;&gt;1,IFERROR(INDEX($M$2:$M$11,MATCH(H12,$A$2:$A$11,0)),"Blocked")="Blocked",LEFT(IFERROR(INDEX($M$2:$M$11,MATCH(H12,$A$2:$A$11,0)),"Invalid"),7)="Invalid")),AND(I12&lt;&gt;"",OR(IFERROR(INDEX($D$2:$D$11,MATCH(I12,$A$2:$A$11,0)),0)&lt;&gt;1,IFERROR(INDEX($M$2:$M$11,MATCH(I12,$A$2:$A$11,0)),"Blocked")="Blocked",LEFT(IFERROR(INDEX($M$2:$M$11,MATCH(I12,$A$2:$A$11,0)),"Invalid"),7)="Invalid")),AND(J12&lt;&gt;"",OR(IFERROR(INDEX($D$2:$D$11,MATCH(J12,$A$2:$A$11,0)),0)&lt;&gt;1,IFERROR(INDEX($M$2:$M$11,MATCH(J12,$A$2:$A$11,0)),"Blocked")="Blocked",LEFT(IFERROR(INDEX($M$2:$M$11,MATCH(J12,$A$2:$A$11,0)),"Invalid"),7)="Invalid"))),"Blocked","Planned")))))</f>
        <v>Planned</v>
      </c>
      <c r="N12" s="17">
        <f>IF(M12="Skipped",O11,IF(OR(M12="Planned",M12="Complete"),MAX(O11,IF(G12="",0,IFERROR(INDEX($O$2:$O$11,MATCH(G12,$A$2:$A$11,0)),0)),IF(H12="",0,IFERROR(INDEX($O$2:$O$11,MATCH(H12,$A$2:$A$11,0)),0)),IF(I12="",0,IFERROR(INDEX($O$2:$O$11,MATCH(I12,$A$2:$A$11,0)),0)),IF(J12="",0,IFERROR(INDEX($O$2:$O$11,MATCH(J12,$A$2:$A$11,0)),0))),""))</f>
        <v>183.52941176470591</v>
      </c>
      <c r="O12" s="17">
        <f t="shared" si="0"/>
        <v>197.64705882352945</v>
      </c>
      <c r="P12" s="18">
        <f>IF(AND(M12="Planned",K12&gt;0),WORKDAY.INTL(Settings!$B$2-1,INT(N12+0.000000001)+1,Settings!$B$4,Holidays!$A$2:$A$101),"")</f>
        <v>46533</v>
      </c>
      <c r="Q12" s="18">
        <f>IF(AND(M12="Planned",K12&gt;0),WORKDAY.INTL(Settings!$B$2-1,MAX(1,ROUNDUP(O12-0.000000001,0)),Settings!$B$4,Holidays!$A$2:$A$101),"")</f>
        <v>46549</v>
      </c>
      <c r="R12" s="17">
        <f t="shared" si="1"/>
        <v>14.117647058823536</v>
      </c>
      <c r="S12" s="4" t="s">
        <v>94</v>
      </c>
      <c r="T12" s="4" t="s">
        <v>61</v>
      </c>
    </row>
    <row r="13" spans="1:22" ht="56" customHeight="1" x14ac:dyDescent="0.35">
      <c r="A13" s="4" t="s">
        <v>95</v>
      </c>
      <c r="B13" s="4" t="s">
        <v>96</v>
      </c>
      <c r="C13" s="2" t="s">
        <v>55</v>
      </c>
      <c r="D13" s="19">
        <f>1</f>
        <v>1</v>
      </c>
      <c r="E13" s="19">
        <f>12</f>
        <v>12</v>
      </c>
      <c r="F13" s="20">
        <f>0</f>
        <v>0</v>
      </c>
      <c r="G13" s="19" t="s">
        <v>86</v>
      </c>
      <c r="H13" s="19"/>
      <c r="I13" s="19"/>
      <c r="J13" s="19"/>
      <c r="K13" s="17">
        <f>IF(D13=0,0,IF(AND(ISNUMBER(E13),E13&gt;=0,ISNUMBER(F13),F13&gt;=0,F13&lt;=1),E13*(1-F13)*(1+Settings!$B$5),0))</f>
        <v>14.399999999999999</v>
      </c>
      <c r="L13" s="17">
        <f>IFERROR(INDEX(Settings!$B$10:$B$12,MATCH(C13,{"Core","Practice","Delivery"},0)),0)</f>
        <v>1.5299999999999998</v>
      </c>
      <c r="M13" s="16" t="str">
        <f>IF(D13=0,"Skipped",IF(Settings!$B$15&lt;&gt;"Ready","Invalid settings",IF(OR(D13&lt;&gt;1,COUNTIF($A$2:$A$49,A13)&lt;&gt;1,NOT(ISNUMBER(E13)),E13&lt;0,NOT(ISNUMBER(F13)),F13&lt;0,F13&gt;1),"Invalid input",IF(F13=1,"Complete",IF(OR(L13&lt;=0,COUNTIFS($C$2:C12,C13,$M$2:M12,"Blocked*")+COUNTIFS($C$2:C12,C13,$M$2:M12,"Invalid*")&gt;0,AND(G13&lt;&gt;"",OR(IFERROR(INDEX($D$2:$D$12,MATCH(G13,$A$2:$A$12,0)),0)&lt;&gt;1,IFERROR(INDEX($M$2:$M$12,MATCH(G13,$A$2:$A$12,0)),"Blocked")="Blocked",LEFT(IFERROR(INDEX($M$2:$M$12,MATCH(G13,$A$2:$A$12,0)),"Invalid"),7)="Invalid")),AND(H13&lt;&gt;"",OR(IFERROR(INDEX($D$2:$D$12,MATCH(H13,$A$2:$A$12,0)),0)&lt;&gt;1,IFERROR(INDEX($M$2:$M$12,MATCH(H13,$A$2:$A$12,0)),"Blocked")="Blocked",LEFT(IFERROR(INDEX($M$2:$M$12,MATCH(H13,$A$2:$A$12,0)),"Invalid"),7)="Invalid")),AND(I13&lt;&gt;"",OR(IFERROR(INDEX($D$2:$D$12,MATCH(I13,$A$2:$A$12,0)),0)&lt;&gt;1,IFERROR(INDEX($M$2:$M$12,MATCH(I13,$A$2:$A$12,0)),"Blocked")="Blocked",LEFT(IFERROR(INDEX($M$2:$M$12,MATCH(I13,$A$2:$A$12,0)),"Invalid"),7)="Invalid")),AND(J13&lt;&gt;"",OR(IFERROR(INDEX($D$2:$D$12,MATCH(J13,$A$2:$A$12,0)),0)&lt;&gt;1,IFERROR(INDEX($M$2:$M$12,MATCH(J13,$A$2:$A$12,0)),"Blocked")="Blocked",LEFT(IFERROR(INDEX($M$2:$M$12,MATCH(J13,$A$2:$A$12,0)),"Invalid"),7)="Invalid"))),"Blocked","Planned")))))</f>
        <v>Planned</v>
      </c>
      <c r="N13" s="17">
        <f>IF(M13="Skipped",O12,IF(OR(M13="Planned",M13="Complete"),MAX(O12,IF(G13="",0,IFERROR(INDEX($O$2:$O$12,MATCH(G13,$A$2:$A$12,0)),0)),IF(H13="",0,IFERROR(INDEX($O$2:$O$12,MATCH(H13,$A$2:$A$12,0)),0)),IF(I13="",0,IFERROR(INDEX($O$2:$O$12,MATCH(I13,$A$2:$A$12,0)),0)),IF(J13="",0,IFERROR(INDEX($O$2:$O$12,MATCH(J13,$A$2:$A$12,0)),0))),""))</f>
        <v>197.64705882352945</v>
      </c>
      <c r="O13" s="17">
        <f t="shared" si="0"/>
        <v>207.0588235294118</v>
      </c>
      <c r="P13" s="18">
        <f>IF(AND(M13="Planned",K13&gt;0),WORKDAY.INTL(Settings!$B$2-1,INT(N13+0.000000001)+1,Settings!$B$4,Holidays!$A$2:$A$101),"")</f>
        <v>46549</v>
      </c>
      <c r="Q13" s="18">
        <f>IF(AND(M13="Planned",K13&gt;0),WORKDAY.INTL(Settings!$B$2-1,MAX(1,ROUNDUP(O13-0.000000001,0)),Settings!$B$4,Holidays!$A$2:$A$101),"")</f>
        <v>46561</v>
      </c>
      <c r="R13" s="17">
        <f t="shared" si="1"/>
        <v>9.4117647058823479</v>
      </c>
      <c r="S13" s="4" t="s">
        <v>97</v>
      </c>
      <c r="T13" s="4" t="s">
        <v>61</v>
      </c>
    </row>
    <row r="14" spans="1:22" ht="56" customHeight="1" x14ac:dyDescent="0.35">
      <c r="A14" s="4" t="s">
        <v>98</v>
      </c>
      <c r="B14" s="4" t="s">
        <v>99</v>
      </c>
      <c r="C14" s="2" t="s">
        <v>55</v>
      </c>
      <c r="D14" s="19">
        <f>1</f>
        <v>1</v>
      </c>
      <c r="E14" s="19">
        <f>26</f>
        <v>26</v>
      </c>
      <c r="F14" s="20">
        <f>0</f>
        <v>0</v>
      </c>
      <c r="G14" s="19" t="s">
        <v>89</v>
      </c>
      <c r="H14" s="19" t="s">
        <v>92</v>
      </c>
      <c r="I14" s="19" t="s">
        <v>95</v>
      </c>
      <c r="J14" s="19"/>
      <c r="K14" s="17">
        <f>IF(D14=0,0,IF(AND(ISNUMBER(E14),E14&gt;=0,ISNUMBER(F14),F14&gt;=0,F14&lt;=1),E14*(1-F14)*(1+Settings!$B$5),0))</f>
        <v>31.2</v>
      </c>
      <c r="L14" s="17">
        <f>IFERROR(INDEX(Settings!$B$10:$B$12,MATCH(C14,{"Core","Practice","Delivery"},0)),0)</f>
        <v>1.5299999999999998</v>
      </c>
      <c r="M14" s="16" t="str">
        <f>IF(D14=0,"Skipped",IF(Settings!$B$15&lt;&gt;"Ready","Invalid settings",IF(OR(D14&lt;&gt;1,COUNTIF($A$2:$A$49,A14)&lt;&gt;1,NOT(ISNUMBER(E14)),E14&lt;0,NOT(ISNUMBER(F14)),F14&lt;0,F14&gt;1),"Invalid input",IF(F14=1,"Complete",IF(OR(L14&lt;=0,COUNTIFS($C$2:C13,C14,$M$2:M13,"Blocked*")+COUNTIFS($C$2:C13,C14,$M$2:M13,"Invalid*")&gt;0,AND(G14&lt;&gt;"",OR(IFERROR(INDEX($D$2:$D$13,MATCH(G14,$A$2:$A$13,0)),0)&lt;&gt;1,IFERROR(INDEX($M$2:$M$13,MATCH(G14,$A$2:$A$13,0)),"Blocked")="Blocked",LEFT(IFERROR(INDEX($M$2:$M$13,MATCH(G14,$A$2:$A$13,0)),"Invalid"),7)="Invalid")),AND(H14&lt;&gt;"",OR(IFERROR(INDEX($D$2:$D$13,MATCH(H14,$A$2:$A$13,0)),0)&lt;&gt;1,IFERROR(INDEX($M$2:$M$13,MATCH(H14,$A$2:$A$13,0)),"Blocked")="Blocked",LEFT(IFERROR(INDEX($M$2:$M$13,MATCH(H14,$A$2:$A$13,0)),"Invalid"),7)="Invalid")),AND(I14&lt;&gt;"",OR(IFERROR(INDEX($D$2:$D$13,MATCH(I14,$A$2:$A$13,0)),0)&lt;&gt;1,IFERROR(INDEX($M$2:$M$13,MATCH(I14,$A$2:$A$13,0)),"Blocked")="Blocked",LEFT(IFERROR(INDEX($M$2:$M$13,MATCH(I14,$A$2:$A$13,0)),"Invalid"),7)="Invalid")),AND(J14&lt;&gt;"",OR(IFERROR(INDEX($D$2:$D$13,MATCH(J14,$A$2:$A$13,0)),0)&lt;&gt;1,IFERROR(INDEX($M$2:$M$13,MATCH(J14,$A$2:$A$13,0)),"Blocked")="Blocked",LEFT(IFERROR(INDEX($M$2:$M$13,MATCH(J14,$A$2:$A$13,0)),"Invalid"),7)="Invalid"))),"Blocked","Planned")))))</f>
        <v>Planned</v>
      </c>
      <c r="N14" s="17">
        <f>IF(M14="Skipped",O13,IF(OR(M14="Planned",M14="Complete"),MAX(O13,IF(G14="",0,IFERROR(INDEX($O$2:$O$13,MATCH(G14,$A$2:$A$13,0)),0)),IF(H14="",0,IFERROR(INDEX($O$2:$O$13,MATCH(H14,$A$2:$A$13,0)),0)),IF(I14="",0,IFERROR(INDEX($O$2:$O$13,MATCH(I14,$A$2:$A$13,0)),0)),IF(J14="",0,IFERROR(INDEX($O$2:$O$13,MATCH(J14,$A$2:$A$13,0)),0))),""))</f>
        <v>207.0588235294118</v>
      </c>
      <c r="O14" s="17">
        <f t="shared" si="0"/>
        <v>227.45098039215691</v>
      </c>
      <c r="P14" s="18">
        <f>IF(AND(M14="Planned",K14&gt;0),WORKDAY.INTL(Settings!$B$2-1,INT(N14+0.000000001)+1,Settings!$B$4,Holidays!$A$2:$A$101),"")</f>
        <v>46561</v>
      </c>
      <c r="Q14" s="18">
        <f>IF(AND(M14="Planned",K14&gt;0),WORKDAY.INTL(Settings!$B$2-1,MAX(1,ROUNDUP(O14-0.000000001,0)),Settings!$B$4,Holidays!$A$2:$A$101),"")</f>
        <v>46584</v>
      </c>
      <c r="R14" s="17">
        <f t="shared" si="1"/>
        <v>20.392156862745111</v>
      </c>
      <c r="S14" s="4" t="s">
        <v>100</v>
      </c>
      <c r="T14" s="4" t="s">
        <v>61</v>
      </c>
    </row>
    <row r="15" spans="1:22" ht="56" customHeight="1" x14ac:dyDescent="0.35">
      <c r="A15" s="4" t="s">
        <v>101</v>
      </c>
      <c r="B15" s="4" t="s">
        <v>102</v>
      </c>
      <c r="C15" s="2" t="s">
        <v>55</v>
      </c>
      <c r="D15" s="19">
        <f>1</f>
        <v>1</v>
      </c>
      <c r="E15" s="19">
        <f>20</f>
        <v>20</v>
      </c>
      <c r="F15" s="20">
        <f>0</f>
        <v>0</v>
      </c>
      <c r="G15" s="19" t="s">
        <v>98</v>
      </c>
      <c r="H15" s="19"/>
      <c r="I15" s="19"/>
      <c r="J15" s="19"/>
      <c r="K15" s="17">
        <f>IF(D15=0,0,IF(AND(ISNUMBER(E15),E15&gt;=0,ISNUMBER(F15),F15&gt;=0,F15&lt;=1),E15*(1-F15)*(1+Settings!$B$5),0))</f>
        <v>24</v>
      </c>
      <c r="L15" s="17">
        <f>IFERROR(INDEX(Settings!$B$10:$B$12,MATCH(C15,{"Core","Practice","Delivery"},0)),0)</f>
        <v>1.5299999999999998</v>
      </c>
      <c r="M15" s="16" t="str">
        <f>IF(D15=0,"Skipped",IF(Settings!$B$15&lt;&gt;"Ready","Invalid settings",IF(OR(D15&lt;&gt;1,COUNTIF($A$2:$A$49,A15)&lt;&gt;1,NOT(ISNUMBER(E15)),E15&lt;0,NOT(ISNUMBER(F15)),F15&lt;0,F15&gt;1),"Invalid input",IF(F15=1,"Complete",IF(OR(L15&lt;=0,COUNTIFS($C$2:C14,C15,$M$2:M14,"Blocked*")+COUNTIFS($C$2:C14,C15,$M$2:M14,"Invalid*")&gt;0,AND(G15&lt;&gt;"",OR(IFERROR(INDEX($D$2:$D$14,MATCH(G15,$A$2:$A$14,0)),0)&lt;&gt;1,IFERROR(INDEX($M$2:$M$14,MATCH(G15,$A$2:$A$14,0)),"Blocked")="Blocked",LEFT(IFERROR(INDEX($M$2:$M$14,MATCH(G15,$A$2:$A$14,0)),"Invalid"),7)="Invalid")),AND(H15&lt;&gt;"",OR(IFERROR(INDEX($D$2:$D$14,MATCH(H15,$A$2:$A$14,0)),0)&lt;&gt;1,IFERROR(INDEX($M$2:$M$14,MATCH(H15,$A$2:$A$14,0)),"Blocked")="Blocked",LEFT(IFERROR(INDEX($M$2:$M$14,MATCH(H15,$A$2:$A$14,0)),"Invalid"),7)="Invalid")),AND(I15&lt;&gt;"",OR(IFERROR(INDEX($D$2:$D$14,MATCH(I15,$A$2:$A$14,0)),0)&lt;&gt;1,IFERROR(INDEX($M$2:$M$14,MATCH(I15,$A$2:$A$14,0)),"Blocked")="Blocked",LEFT(IFERROR(INDEX($M$2:$M$14,MATCH(I15,$A$2:$A$14,0)),"Invalid"),7)="Invalid")),AND(J15&lt;&gt;"",OR(IFERROR(INDEX($D$2:$D$14,MATCH(J15,$A$2:$A$14,0)),0)&lt;&gt;1,IFERROR(INDEX($M$2:$M$14,MATCH(J15,$A$2:$A$14,0)),"Blocked")="Blocked",LEFT(IFERROR(INDEX($M$2:$M$14,MATCH(J15,$A$2:$A$14,0)),"Invalid"),7)="Invalid"))),"Blocked","Planned")))))</f>
        <v>Planned</v>
      </c>
      <c r="N15" s="17">
        <f>IF(M15="Skipped",O14,IF(OR(M15="Planned",M15="Complete"),MAX(O14,IF(G15="",0,IFERROR(INDEX($O$2:$O$14,MATCH(G15,$A$2:$A$14,0)),0)),IF(H15="",0,IFERROR(INDEX($O$2:$O$14,MATCH(H15,$A$2:$A$14,0)),0)),IF(I15="",0,IFERROR(INDEX($O$2:$O$14,MATCH(I15,$A$2:$A$14,0)),0)),IF(J15="",0,IFERROR(INDEX($O$2:$O$14,MATCH(J15,$A$2:$A$14,0)),0))),""))</f>
        <v>227.45098039215691</v>
      </c>
      <c r="O15" s="17">
        <f t="shared" si="0"/>
        <v>243.13725490196083</v>
      </c>
      <c r="P15" s="18">
        <f>IF(AND(M15="Planned",K15&gt;0),WORKDAY.INTL(Settings!$B$2-1,INT(N15+0.000000001)+1,Settings!$B$4,Holidays!$A$2:$A$101),"")</f>
        <v>46584</v>
      </c>
      <c r="Q15" s="18">
        <f>IF(AND(M15="Planned",K15&gt;0),WORKDAY.INTL(Settings!$B$2-1,MAX(1,ROUNDUP(O15-0.000000001,0)),Settings!$B$4,Holidays!$A$2:$A$101),"")</f>
        <v>46603</v>
      </c>
      <c r="R15" s="17">
        <f t="shared" si="1"/>
        <v>15.686274509803923</v>
      </c>
      <c r="S15" s="4" t="s">
        <v>103</v>
      </c>
      <c r="T15" s="4" t="s">
        <v>77</v>
      </c>
    </row>
    <row r="16" spans="1:22" ht="56" customHeight="1" x14ac:dyDescent="0.35">
      <c r="A16" s="4" t="s">
        <v>104</v>
      </c>
      <c r="B16" s="4" t="s">
        <v>105</v>
      </c>
      <c r="C16" s="2" t="s">
        <v>55</v>
      </c>
      <c r="D16" s="19">
        <f>1</f>
        <v>1</v>
      </c>
      <c r="E16" s="19">
        <f>20</f>
        <v>20</v>
      </c>
      <c r="F16" s="20">
        <f>0</f>
        <v>0</v>
      </c>
      <c r="G16" s="19" t="s">
        <v>98</v>
      </c>
      <c r="H16" s="19"/>
      <c r="I16" s="19"/>
      <c r="J16" s="19"/>
      <c r="K16" s="17">
        <f>IF(D16=0,0,IF(AND(ISNUMBER(E16),E16&gt;=0,ISNUMBER(F16),F16&gt;=0,F16&lt;=1),E16*(1-F16)*(1+Settings!$B$5),0))</f>
        <v>24</v>
      </c>
      <c r="L16" s="17">
        <f>IFERROR(INDEX(Settings!$B$10:$B$12,MATCH(C16,{"Core","Practice","Delivery"},0)),0)</f>
        <v>1.5299999999999998</v>
      </c>
      <c r="M16" s="16" t="str">
        <f>IF(D16=0,"Skipped",IF(Settings!$B$15&lt;&gt;"Ready","Invalid settings",IF(OR(D16&lt;&gt;1,COUNTIF($A$2:$A$49,A16)&lt;&gt;1,NOT(ISNUMBER(E16)),E16&lt;0,NOT(ISNUMBER(F16)),F16&lt;0,F16&gt;1),"Invalid input",IF(F16=1,"Complete",IF(OR(L16&lt;=0,COUNTIFS($C$2:C15,C16,$M$2:M15,"Blocked*")+COUNTIFS($C$2:C15,C16,$M$2:M15,"Invalid*")&gt;0,AND(G16&lt;&gt;"",OR(IFERROR(INDEX($D$2:$D$15,MATCH(G16,$A$2:$A$15,0)),0)&lt;&gt;1,IFERROR(INDEX($M$2:$M$15,MATCH(G16,$A$2:$A$15,0)),"Blocked")="Blocked",LEFT(IFERROR(INDEX($M$2:$M$15,MATCH(G16,$A$2:$A$15,0)),"Invalid"),7)="Invalid")),AND(H16&lt;&gt;"",OR(IFERROR(INDEX($D$2:$D$15,MATCH(H16,$A$2:$A$15,0)),0)&lt;&gt;1,IFERROR(INDEX($M$2:$M$15,MATCH(H16,$A$2:$A$15,0)),"Blocked")="Blocked",LEFT(IFERROR(INDEX($M$2:$M$15,MATCH(H16,$A$2:$A$15,0)),"Invalid"),7)="Invalid")),AND(I16&lt;&gt;"",OR(IFERROR(INDEX($D$2:$D$15,MATCH(I16,$A$2:$A$15,0)),0)&lt;&gt;1,IFERROR(INDEX($M$2:$M$15,MATCH(I16,$A$2:$A$15,0)),"Blocked")="Blocked",LEFT(IFERROR(INDEX($M$2:$M$15,MATCH(I16,$A$2:$A$15,0)),"Invalid"),7)="Invalid")),AND(J16&lt;&gt;"",OR(IFERROR(INDEX($D$2:$D$15,MATCH(J16,$A$2:$A$15,0)),0)&lt;&gt;1,IFERROR(INDEX($M$2:$M$15,MATCH(J16,$A$2:$A$15,0)),"Blocked")="Blocked",LEFT(IFERROR(INDEX($M$2:$M$15,MATCH(J16,$A$2:$A$15,0)),"Invalid"),7)="Invalid"))),"Blocked","Planned")))))</f>
        <v>Planned</v>
      </c>
      <c r="N16" s="17">
        <f>IF(M16="Skipped",O15,IF(OR(M16="Planned",M16="Complete"),MAX(O15,IF(G16="",0,IFERROR(INDEX($O$2:$O$15,MATCH(G16,$A$2:$A$15,0)),0)),IF(H16="",0,IFERROR(INDEX($O$2:$O$15,MATCH(H16,$A$2:$A$15,0)),0)),IF(I16="",0,IFERROR(INDEX($O$2:$O$15,MATCH(I16,$A$2:$A$15,0)),0)),IF(J16="",0,IFERROR(INDEX($O$2:$O$15,MATCH(J16,$A$2:$A$15,0)),0))),""))</f>
        <v>243.13725490196083</v>
      </c>
      <c r="O16" s="17">
        <f t="shared" si="0"/>
        <v>258.82352941176475</v>
      </c>
      <c r="P16" s="18">
        <f>IF(AND(M16="Planned",K16&gt;0),WORKDAY.INTL(Settings!$B$2-1,INT(N16+0.000000001)+1,Settings!$B$4,Holidays!$A$2:$A$101),"")</f>
        <v>46603</v>
      </c>
      <c r="Q16" s="18">
        <f>IF(AND(M16="Planned",K16&gt;0),WORKDAY.INTL(Settings!$B$2-1,MAX(1,ROUNDUP(O16-0.000000001,0)),Settings!$B$4,Holidays!$A$2:$A$101),"")</f>
        <v>46620</v>
      </c>
      <c r="R16" s="17">
        <f t="shared" si="1"/>
        <v>15.686274509803923</v>
      </c>
      <c r="S16" s="4" t="s">
        <v>106</v>
      </c>
      <c r="T16" s="4" t="s">
        <v>107</v>
      </c>
    </row>
    <row r="17" spans="1:20" ht="56" customHeight="1" x14ac:dyDescent="0.35">
      <c r="A17" s="4" t="s">
        <v>108</v>
      </c>
      <c r="B17" s="4" t="s">
        <v>109</v>
      </c>
      <c r="C17" s="2" t="s">
        <v>55</v>
      </c>
      <c r="D17" s="19">
        <f>1</f>
        <v>1</v>
      </c>
      <c r="E17" s="19">
        <f>22</f>
        <v>22</v>
      </c>
      <c r="F17" s="20">
        <f>0</f>
        <v>0</v>
      </c>
      <c r="G17" s="19" t="s">
        <v>104</v>
      </c>
      <c r="H17" s="19"/>
      <c r="I17" s="19"/>
      <c r="J17" s="19"/>
      <c r="K17" s="17">
        <f>IF(D17=0,0,IF(AND(ISNUMBER(E17),E17&gt;=0,ISNUMBER(F17),F17&gt;=0,F17&lt;=1),E17*(1-F17)*(1+Settings!$B$5),0))</f>
        <v>26.4</v>
      </c>
      <c r="L17" s="17">
        <f>IFERROR(INDEX(Settings!$B$10:$B$12,MATCH(C17,{"Core","Practice","Delivery"},0)),0)</f>
        <v>1.5299999999999998</v>
      </c>
      <c r="M17" s="16" t="str">
        <f>IF(D17=0,"Skipped",IF(Settings!$B$15&lt;&gt;"Ready","Invalid settings",IF(OR(D17&lt;&gt;1,COUNTIF($A$2:$A$49,A17)&lt;&gt;1,NOT(ISNUMBER(E17)),E17&lt;0,NOT(ISNUMBER(F17)),F17&lt;0,F17&gt;1),"Invalid input",IF(F17=1,"Complete",IF(OR(L17&lt;=0,COUNTIFS($C$2:C16,C17,$M$2:M16,"Blocked*")+COUNTIFS($C$2:C16,C17,$M$2:M16,"Invalid*")&gt;0,AND(G17&lt;&gt;"",OR(IFERROR(INDEX($D$2:$D$16,MATCH(G17,$A$2:$A$16,0)),0)&lt;&gt;1,IFERROR(INDEX($M$2:$M$16,MATCH(G17,$A$2:$A$16,0)),"Blocked")="Blocked",LEFT(IFERROR(INDEX($M$2:$M$16,MATCH(G17,$A$2:$A$16,0)),"Invalid"),7)="Invalid")),AND(H17&lt;&gt;"",OR(IFERROR(INDEX($D$2:$D$16,MATCH(H17,$A$2:$A$16,0)),0)&lt;&gt;1,IFERROR(INDEX($M$2:$M$16,MATCH(H17,$A$2:$A$16,0)),"Blocked")="Blocked",LEFT(IFERROR(INDEX($M$2:$M$16,MATCH(H17,$A$2:$A$16,0)),"Invalid"),7)="Invalid")),AND(I17&lt;&gt;"",OR(IFERROR(INDEX($D$2:$D$16,MATCH(I17,$A$2:$A$16,0)),0)&lt;&gt;1,IFERROR(INDEX($M$2:$M$16,MATCH(I17,$A$2:$A$16,0)),"Blocked")="Blocked",LEFT(IFERROR(INDEX($M$2:$M$16,MATCH(I17,$A$2:$A$16,0)),"Invalid"),7)="Invalid")),AND(J17&lt;&gt;"",OR(IFERROR(INDEX($D$2:$D$16,MATCH(J17,$A$2:$A$16,0)),0)&lt;&gt;1,IFERROR(INDEX($M$2:$M$16,MATCH(J17,$A$2:$A$16,0)),"Blocked")="Blocked",LEFT(IFERROR(INDEX($M$2:$M$16,MATCH(J17,$A$2:$A$16,0)),"Invalid"),7)="Invalid"))),"Blocked","Planned")))))</f>
        <v>Planned</v>
      </c>
      <c r="N17" s="17">
        <f>IF(M17="Skipped",O16,IF(OR(M17="Planned",M17="Complete"),MAX(O16,IF(G17="",0,IFERROR(INDEX($O$2:$O$16,MATCH(G17,$A$2:$A$16,0)),0)),IF(H17="",0,IFERROR(INDEX($O$2:$O$16,MATCH(H17,$A$2:$A$16,0)),0)),IF(I17="",0,IFERROR(INDEX($O$2:$O$16,MATCH(I17,$A$2:$A$16,0)),0)),IF(J17="",0,IFERROR(INDEX($O$2:$O$16,MATCH(J17,$A$2:$A$16,0)),0))),""))</f>
        <v>258.82352941176475</v>
      </c>
      <c r="O17" s="17">
        <f t="shared" si="0"/>
        <v>276.07843137254906</v>
      </c>
      <c r="P17" s="18">
        <f>IF(AND(M17="Planned",K17&gt;0),WORKDAY.INTL(Settings!$B$2-1,INT(N17+0.000000001)+1,Settings!$B$4,Holidays!$A$2:$A$101),"")</f>
        <v>46620</v>
      </c>
      <c r="Q17" s="18">
        <f>IF(AND(M17="Planned",K17&gt;0),WORKDAY.INTL(Settings!$B$2-1,MAX(1,ROUNDUP(O17-0.000000001,0)),Settings!$B$4,Holidays!$A$2:$A$101),"")</f>
        <v>46641</v>
      </c>
      <c r="R17" s="17">
        <f t="shared" si="1"/>
        <v>17.254901960784309</v>
      </c>
      <c r="S17" s="4" t="s">
        <v>110</v>
      </c>
      <c r="T17" s="4" t="s">
        <v>111</v>
      </c>
    </row>
    <row r="18" spans="1:20" ht="56" customHeight="1" x14ac:dyDescent="0.35">
      <c r="A18" s="4" t="s">
        <v>112</v>
      </c>
      <c r="B18" s="4" t="s">
        <v>113</v>
      </c>
      <c r="C18" s="2" t="s">
        <v>55</v>
      </c>
      <c r="D18" s="19">
        <f>1</f>
        <v>1</v>
      </c>
      <c r="E18" s="19">
        <f>30</f>
        <v>30</v>
      </c>
      <c r="F18" s="20">
        <f>0</f>
        <v>0</v>
      </c>
      <c r="G18" s="19" t="s">
        <v>108</v>
      </c>
      <c r="H18" s="19" t="s">
        <v>82</v>
      </c>
      <c r="I18" s="19"/>
      <c r="J18" s="19"/>
      <c r="K18" s="17">
        <f>IF(D18=0,0,IF(AND(ISNUMBER(E18),E18&gt;=0,ISNUMBER(F18),F18&gt;=0,F18&lt;=1),E18*(1-F18)*(1+Settings!$B$5),0))</f>
        <v>36</v>
      </c>
      <c r="L18" s="17">
        <f>IFERROR(INDEX(Settings!$B$10:$B$12,MATCH(C18,{"Core","Practice","Delivery"},0)),0)</f>
        <v>1.5299999999999998</v>
      </c>
      <c r="M18" s="16" t="str">
        <f>IF(D18=0,"Skipped",IF(Settings!$B$15&lt;&gt;"Ready","Invalid settings",IF(OR(D18&lt;&gt;1,COUNTIF($A$2:$A$49,A18)&lt;&gt;1,NOT(ISNUMBER(E18)),E18&lt;0,NOT(ISNUMBER(F18)),F18&lt;0,F18&gt;1),"Invalid input",IF(F18=1,"Complete",IF(OR(L18&lt;=0,COUNTIFS($C$2:C17,C18,$M$2:M17,"Blocked*")+COUNTIFS($C$2:C17,C18,$M$2:M17,"Invalid*")&gt;0,AND(G18&lt;&gt;"",OR(IFERROR(INDEX($D$2:$D$17,MATCH(G18,$A$2:$A$17,0)),0)&lt;&gt;1,IFERROR(INDEX($M$2:$M$17,MATCH(G18,$A$2:$A$17,0)),"Blocked")="Blocked",LEFT(IFERROR(INDEX($M$2:$M$17,MATCH(G18,$A$2:$A$17,0)),"Invalid"),7)="Invalid")),AND(H18&lt;&gt;"",OR(IFERROR(INDEX($D$2:$D$17,MATCH(H18,$A$2:$A$17,0)),0)&lt;&gt;1,IFERROR(INDEX($M$2:$M$17,MATCH(H18,$A$2:$A$17,0)),"Blocked")="Blocked",LEFT(IFERROR(INDEX($M$2:$M$17,MATCH(H18,$A$2:$A$17,0)),"Invalid"),7)="Invalid")),AND(I18&lt;&gt;"",OR(IFERROR(INDEX($D$2:$D$17,MATCH(I18,$A$2:$A$17,0)),0)&lt;&gt;1,IFERROR(INDEX($M$2:$M$17,MATCH(I18,$A$2:$A$17,0)),"Blocked")="Blocked",LEFT(IFERROR(INDEX($M$2:$M$17,MATCH(I18,$A$2:$A$17,0)),"Invalid"),7)="Invalid")),AND(J18&lt;&gt;"",OR(IFERROR(INDEX($D$2:$D$17,MATCH(J18,$A$2:$A$17,0)),0)&lt;&gt;1,IFERROR(INDEX($M$2:$M$17,MATCH(J18,$A$2:$A$17,0)),"Blocked")="Blocked",LEFT(IFERROR(INDEX($M$2:$M$17,MATCH(J18,$A$2:$A$17,0)),"Invalid"),7)="Invalid"))),"Blocked","Planned")))))</f>
        <v>Planned</v>
      </c>
      <c r="N18" s="17">
        <f>IF(M18="Skipped",O17,IF(OR(M18="Planned",M18="Complete"),MAX(O17,IF(G18="",0,IFERROR(INDEX($O$2:$O$17,MATCH(G18,$A$2:$A$17,0)),0)),IF(H18="",0,IFERROR(INDEX($O$2:$O$17,MATCH(H18,$A$2:$A$17,0)),0)),IF(I18="",0,IFERROR(INDEX($O$2:$O$17,MATCH(I18,$A$2:$A$17,0)),0)),IF(J18="",0,IFERROR(INDEX($O$2:$O$17,MATCH(J18,$A$2:$A$17,0)),0))),""))</f>
        <v>276.07843137254906</v>
      </c>
      <c r="O18" s="17">
        <f t="shared" si="0"/>
        <v>299.60784313725492</v>
      </c>
      <c r="P18" s="18">
        <f>IF(AND(M18="Planned",K18&gt;0),WORKDAY.INTL(Settings!$B$2-1,INT(N18+0.000000001)+1,Settings!$B$4,Holidays!$A$2:$A$101),"")</f>
        <v>46641</v>
      </c>
      <c r="Q18" s="18">
        <f>IF(AND(M18="Planned",K18&gt;0),WORKDAY.INTL(Settings!$B$2-1,MAX(1,ROUNDUP(O18-0.000000001,0)),Settings!$B$4,Holidays!$A$2:$A$101),"")</f>
        <v>46668</v>
      </c>
      <c r="R18" s="17">
        <f t="shared" si="1"/>
        <v>23.529411764705856</v>
      </c>
      <c r="S18" s="4" t="s">
        <v>114</v>
      </c>
      <c r="T18" s="4" t="s">
        <v>107</v>
      </c>
    </row>
    <row r="19" spans="1:20" ht="56" customHeight="1" x14ac:dyDescent="0.35">
      <c r="A19" s="4" t="s">
        <v>115</v>
      </c>
      <c r="B19" s="4" t="s">
        <v>116</v>
      </c>
      <c r="C19" s="2" t="s">
        <v>55</v>
      </c>
      <c r="D19" s="19">
        <f>1</f>
        <v>1</v>
      </c>
      <c r="E19" s="19">
        <f>26</f>
        <v>26</v>
      </c>
      <c r="F19" s="20">
        <f>0</f>
        <v>0</v>
      </c>
      <c r="G19" s="19" t="s">
        <v>112</v>
      </c>
      <c r="H19" s="19" t="s">
        <v>101</v>
      </c>
      <c r="I19" s="19"/>
      <c r="J19" s="19"/>
      <c r="K19" s="17">
        <f>IF(D19=0,0,IF(AND(ISNUMBER(E19),E19&gt;=0,ISNUMBER(F19),F19&gt;=0,F19&lt;=1),E19*(1-F19)*(1+Settings!$B$5),0))</f>
        <v>31.2</v>
      </c>
      <c r="L19" s="17">
        <f>IFERROR(INDEX(Settings!$B$10:$B$12,MATCH(C19,{"Core","Practice","Delivery"},0)),0)</f>
        <v>1.5299999999999998</v>
      </c>
      <c r="M19" s="16" t="str">
        <f>IF(D19=0,"Skipped",IF(Settings!$B$15&lt;&gt;"Ready","Invalid settings",IF(OR(D19&lt;&gt;1,COUNTIF($A$2:$A$49,A19)&lt;&gt;1,NOT(ISNUMBER(E19)),E19&lt;0,NOT(ISNUMBER(F19)),F19&lt;0,F19&gt;1),"Invalid input",IF(F19=1,"Complete",IF(OR(L19&lt;=0,COUNTIFS($C$2:C18,C19,$M$2:M18,"Blocked*")+COUNTIFS($C$2:C18,C19,$M$2:M18,"Invalid*")&gt;0,AND(G19&lt;&gt;"",OR(IFERROR(INDEX($D$2:$D$18,MATCH(G19,$A$2:$A$18,0)),0)&lt;&gt;1,IFERROR(INDEX($M$2:$M$18,MATCH(G19,$A$2:$A$18,0)),"Blocked")="Blocked",LEFT(IFERROR(INDEX($M$2:$M$18,MATCH(G19,$A$2:$A$18,0)),"Invalid"),7)="Invalid")),AND(H19&lt;&gt;"",OR(IFERROR(INDEX($D$2:$D$18,MATCH(H19,$A$2:$A$18,0)),0)&lt;&gt;1,IFERROR(INDEX($M$2:$M$18,MATCH(H19,$A$2:$A$18,0)),"Blocked")="Blocked",LEFT(IFERROR(INDEX($M$2:$M$18,MATCH(H19,$A$2:$A$18,0)),"Invalid"),7)="Invalid")),AND(I19&lt;&gt;"",OR(IFERROR(INDEX($D$2:$D$18,MATCH(I19,$A$2:$A$18,0)),0)&lt;&gt;1,IFERROR(INDEX($M$2:$M$18,MATCH(I19,$A$2:$A$18,0)),"Blocked")="Blocked",LEFT(IFERROR(INDEX($M$2:$M$18,MATCH(I19,$A$2:$A$18,0)),"Invalid"),7)="Invalid")),AND(J19&lt;&gt;"",OR(IFERROR(INDEX($D$2:$D$18,MATCH(J19,$A$2:$A$18,0)),0)&lt;&gt;1,IFERROR(INDEX($M$2:$M$18,MATCH(J19,$A$2:$A$18,0)),"Blocked")="Blocked",LEFT(IFERROR(INDEX($M$2:$M$18,MATCH(J19,$A$2:$A$18,0)),"Invalid"),7)="Invalid"))),"Blocked","Planned")))))</f>
        <v>Planned</v>
      </c>
      <c r="N19" s="17">
        <f>IF(M19="Skipped",O18,IF(OR(M19="Planned",M19="Complete"),MAX(O18,IF(G19="",0,IFERROR(INDEX($O$2:$O$18,MATCH(G19,$A$2:$A$18,0)),0)),IF(H19="",0,IFERROR(INDEX($O$2:$O$18,MATCH(H19,$A$2:$A$18,0)),0)),IF(I19="",0,IFERROR(INDEX($O$2:$O$18,MATCH(I19,$A$2:$A$18,0)),0)),IF(J19="",0,IFERROR(INDEX($O$2:$O$18,MATCH(J19,$A$2:$A$18,0)),0))),""))</f>
        <v>299.60784313725492</v>
      </c>
      <c r="O19" s="17">
        <f t="shared" si="0"/>
        <v>320</v>
      </c>
      <c r="P19" s="18">
        <f>IF(AND(M19="Planned",K19&gt;0),WORKDAY.INTL(Settings!$B$2-1,INT(N19+0.000000001)+1,Settings!$B$4,Holidays!$A$2:$A$101),"")</f>
        <v>46668</v>
      </c>
      <c r="Q19" s="18">
        <f>IF(AND(M19="Planned",K19&gt;0),WORKDAY.INTL(Settings!$B$2-1,MAX(1,ROUNDUP(O19-0.000000001,0)),Settings!$B$4,Holidays!$A$2:$A$101),"")</f>
        <v>46692</v>
      </c>
      <c r="R19" s="17">
        <f t="shared" si="1"/>
        <v>20.392156862745082</v>
      </c>
      <c r="S19" s="4" t="s">
        <v>117</v>
      </c>
      <c r="T19" s="4" t="s">
        <v>118</v>
      </c>
    </row>
    <row r="20" spans="1:20" ht="56" customHeight="1" x14ac:dyDescent="0.35">
      <c r="A20" s="4" t="s">
        <v>119</v>
      </c>
      <c r="B20" s="4" t="s">
        <v>120</v>
      </c>
      <c r="C20" s="2" t="s">
        <v>55</v>
      </c>
      <c r="D20" s="19">
        <f>1</f>
        <v>1</v>
      </c>
      <c r="E20" s="19">
        <f>24</f>
        <v>24</v>
      </c>
      <c r="F20" s="20">
        <f>0</f>
        <v>0</v>
      </c>
      <c r="G20" s="19" t="s">
        <v>70</v>
      </c>
      <c r="H20" s="19"/>
      <c r="I20" s="19"/>
      <c r="J20" s="19"/>
      <c r="K20" s="17">
        <f>IF(D20=0,0,IF(AND(ISNUMBER(E20),E20&gt;=0,ISNUMBER(F20),F20&gt;=0,F20&lt;=1),E20*(1-F20)*(1+Settings!$B$5),0))</f>
        <v>28.799999999999997</v>
      </c>
      <c r="L20" s="17">
        <f>IFERROR(INDEX(Settings!$B$10:$B$12,MATCH(C20,{"Core","Practice","Delivery"},0)),0)</f>
        <v>1.5299999999999998</v>
      </c>
      <c r="M20" s="16" t="str">
        <f>IF(D20=0,"Skipped",IF(Settings!$B$15&lt;&gt;"Ready","Invalid settings",IF(OR(D20&lt;&gt;1,COUNTIF($A$2:$A$49,A20)&lt;&gt;1,NOT(ISNUMBER(E20)),E20&lt;0,NOT(ISNUMBER(F20)),F20&lt;0,F20&gt;1),"Invalid input",IF(F20=1,"Complete",IF(OR(L20&lt;=0,COUNTIFS($C$2:C19,C20,$M$2:M19,"Blocked*")+COUNTIFS($C$2:C19,C20,$M$2:M19,"Invalid*")&gt;0,AND(G20&lt;&gt;"",OR(IFERROR(INDEX($D$2:$D$19,MATCH(G20,$A$2:$A$19,0)),0)&lt;&gt;1,IFERROR(INDEX($M$2:$M$19,MATCH(G20,$A$2:$A$19,0)),"Blocked")="Blocked",LEFT(IFERROR(INDEX($M$2:$M$19,MATCH(G20,$A$2:$A$19,0)),"Invalid"),7)="Invalid")),AND(H20&lt;&gt;"",OR(IFERROR(INDEX($D$2:$D$19,MATCH(H20,$A$2:$A$19,0)),0)&lt;&gt;1,IFERROR(INDEX($M$2:$M$19,MATCH(H20,$A$2:$A$19,0)),"Blocked")="Blocked",LEFT(IFERROR(INDEX($M$2:$M$19,MATCH(H20,$A$2:$A$19,0)),"Invalid"),7)="Invalid")),AND(I20&lt;&gt;"",OR(IFERROR(INDEX($D$2:$D$19,MATCH(I20,$A$2:$A$19,0)),0)&lt;&gt;1,IFERROR(INDEX($M$2:$M$19,MATCH(I20,$A$2:$A$19,0)),"Blocked")="Blocked",LEFT(IFERROR(INDEX($M$2:$M$19,MATCH(I20,$A$2:$A$19,0)),"Invalid"),7)="Invalid")),AND(J20&lt;&gt;"",OR(IFERROR(INDEX($D$2:$D$19,MATCH(J20,$A$2:$A$19,0)),0)&lt;&gt;1,IFERROR(INDEX($M$2:$M$19,MATCH(J20,$A$2:$A$19,0)),"Blocked")="Blocked",LEFT(IFERROR(INDEX($M$2:$M$19,MATCH(J20,$A$2:$A$19,0)),"Invalid"),7)="Invalid"))),"Blocked","Planned")))))</f>
        <v>Planned</v>
      </c>
      <c r="N20" s="17">
        <f>IF(M20="Skipped",O19,IF(OR(M20="Planned",M20="Complete"),MAX(O19,IF(G20="",0,IFERROR(INDEX($O$2:$O$19,MATCH(G20,$A$2:$A$19,0)),0)),IF(H20="",0,IFERROR(INDEX($O$2:$O$19,MATCH(H20,$A$2:$A$19,0)),0)),IF(I20="",0,IFERROR(INDEX($O$2:$O$19,MATCH(I20,$A$2:$A$19,0)),0)),IF(J20="",0,IFERROR(INDEX($O$2:$O$19,MATCH(J20,$A$2:$A$19,0)),0))),""))</f>
        <v>320</v>
      </c>
      <c r="O20" s="17">
        <f t="shared" si="0"/>
        <v>338.8235294117647</v>
      </c>
      <c r="P20" s="18">
        <f>IF(AND(M20="Planned",K20&gt;0),WORKDAY.INTL(Settings!$B$2-1,INT(N20+0.000000001)+1,Settings!$B$4,Holidays!$A$2:$A$101),"")</f>
        <v>46693</v>
      </c>
      <c r="Q20" s="18">
        <f>IF(AND(M20="Planned",K20&gt;0),WORKDAY.INTL(Settings!$B$2-1,MAX(1,ROUNDUP(O20-0.000000001,0)),Settings!$B$4,Holidays!$A$2:$A$101),"")</f>
        <v>46714</v>
      </c>
      <c r="R20" s="17">
        <f t="shared" si="1"/>
        <v>18.823529411764696</v>
      </c>
      <c r="S20" s="4" t="s">
        <v>121</v>
      </c>
      <c r="T20" s="4" t="s">
        <v>122</v>
      </c>
    </row>
    <row r="21" spans="1:20" ht="56" customHeight="1" x14ac:dyDescent="0.35">
      <c r="A21" s="4" t="s">
        <v>123</v>
      </c>
      <c r="B21" s="4" t="s">
        <v>124</v>
      </c>
      <c r="C21" s="2" t="s">
        <v>55</v>
      </c>
      <c r="D21" s="19">
        <f>1</f>
        <v>1</v>
      </c>
      <c r="E21" s="19">
        <f>26</f>
        <v>26</v>
      </c>
      <c r="F21" s="20">
        <f>0</f>
        <v>0</v>
      </c>
      <c r="G21" s="19" t="s">
        <v>115</v>
      </c>
      <c r="H21" s="19" t="s">
        <v>119</v>
      </c>
      <c r="I21" s="19"/>
      <c r="J21" s="19"/>
      <c r="K21" s="17">
        <f>IF(D21=0,0,IF(AND(ISNUMBER(E21),E21&gt;=0,ISNUMBER(F21),F21&gt;=0,F21&lt;=1),E21*(1-F21)*(1+Settings!$B$5),0))</f>
        <v>31.2</v>
      </c>
      <c r="L21" s="17">
        <f>IFERROR(INDEX(Settings!$B$10:$B$12,MATCH(C21,{"Core","Practice","Delivery"},0)),0)</f>
        <v>1.5299999999999998</v>
      </c>
      <c r="M21" s="16" t="str">
        <f>IF(D21=0,"Skipped",IF(Settings!$B$15&lt;&gt;"Ready","Invalid settings",IF(OR(D21&lt;&gt;1,COUNTIF($A$2:$A$49,A21)&lt;&gt;1,NOT(ISNUMBER(E21)),E21&lt;0,NOT(ISNUMBER(F21)),F21&lt;0,F21&gt;1),"Invalid input",IF(F21=1,"Complete",IF(OR(L21&lt;=0,COUNTIFS($C$2:C20,C21,$M$2:M20,"Blocked*")+COUNTIFS($C$2:C20,C21,$M$2:M20,"Invalid*")&gt;0,AND(G21&lt;&gt;"",OR(IFERROR(INDEX($D$2:$D$20,MATCH(G21,$A$2:$A$20,0)),0)&lt;&gt;1,IFERROR(INDEX($M$2:$M$20,MATCH(G21,$A$2:$A$20,0)),"Blocked")="Blocked",LEFT(IFERROR(INDEX($M$2:$M$20,MATCH(G21,$A$2:$A$20,0)),"Invalid"),7)="Invalid")),AND(H21&lt;&gt;"",OR(IFERROR(INDEX($D$2:$D$20,MATCH(H21,$A$2:$A$20,0)),0)&lt;&gt;1,IFERROR(INDEX($M$2:$M$20,MATCH(H21,$A$2:$A$20,0)),"Blocked")="Blocked",LEFT(IFERROR(INDEX($M$2:$M$20,MATCH(H21,$A$2:$A$20,0)),"Invalid"),7)="Invalid")),AND(I21&lt;&gt;"",OR(IFERROR(INDEX($D$2:$D$20,MATCH(I21,$A$2:$A$20,0)),0)&lt;&gt;1,IFERROR(INDEX($M$2:$M$20,MATCH(I21,$A$2:$A$20,0)),"Blocked")="Blocked",LEFT(IFERROR(INDEX($M$2:$M$20,MATCH(I21,$A$2:$A$20,0)),"Invalid"),7)="Invalid")),AND(J21&lt;&gt;"",OR(IFERROR(INDEX($D$2:$D$20,MATCH(J21,$A$2:$A$20,0)),0)&lt;&gt;1,IFERROR(INDEX($M$2:$M$20,MATCH(J21,$A$2:$A$20,0)),"Blocked")="Blocked",LEFT(IFERROR(INDEX($M$2:$M$20,MATCH(J21,$A$2:$A$20,0)),"Invalid"),7)="Invalid"))),"Blocked","Planned")))))</f>
        <v>Planned</v>
      </c>
      <c r="N21" s="17">
        <f>IF(M21="Skipped",O20,IF(OR(M21="Planned",M21="Complete"),MAX(O20,IF(G21="",0,IFERROR(INDEX($O$2:$O$20,MATCH(G21,$A$2:$A$20,0)),0)),IF(H21="",0,IFERROR(INDEX($O$2:$O$20,MATCH(H21,$A$2:$A$20,0)),0)),IF(I21="",0,IFERROR(INDEX($O$2:$O$20,MATCH(I21,$A$2:$A$20,0)),0)),IF(J21="",0,IFERROR(INDEX($O$2:$O$20,MATCH(J21,$A$2:$A$20,0)),0))),""))</f>
        <v>338.8235294117647</v>
      </c>
      <c r="O21" s="17">
        <f t="shared" si="0"/>
        <v>359.21568627450978</v>
      </c>
      <c r="P21" s="18">
        <f>IF(AND(M21="Planned",K21&gt;0),WORKDAY.INTL(Settings!$B$2-1,INT(N21+0.000000001)+1,Settings!$B$4,Holidays!$A$2:$A$101),"")</f>
        <v>46714</v>
      </c>
      <c r="Q21" s="18">
        <f>IF(AND(M21="Planned",K21&gt;0),WORKDAY.INTL(Settings!$B$2-1,MAX(1,ROUNDUP(O21-0.000000001,0)),Settings!$B$4,Holidays!$A$2:$A$101),"")</f>
        <v>46738</v>
      </c>
      <c r="R21" s="17">
        <f t="shared" si="1"/>
        <v>20.392156862745082</v>
      </c>
      <c r="S21" s="4" t="s">
        <v>125</v>
      </c>
      <c r="T21" s="4" t="s">
        <v>126</v>
      </c>
    </row>
    <row r="22" spans="1:20" ht="56" customHeight="1" x14ac:dyDescent="0.35">
      <c r="A22" s="4" t="s">
        <v>127</v>
      </c>
      <c r="B22" s="4" t="s">
        <v>128</v>
      </c>
      <c r="C22" s="2" t="s">
        <v>55</v>
      </c>
      <c r="D22" s="19">
        <f>1</f>
        <v>1</v>
      </c>
      <c r="E22" s="19">
        <f>24</f>
        <v>24</v>
      </c>
      <c r="F22" s="20">
        <f>0</f>
        <v>0</v>
      </c>
      <c r="G22" s="19" t="s">
        <v>123</v>
      </c>
      <c r="H22" s="19"/>
      <c r="I22" s="19"/>
      <c r="J22" s="19"/>
      <c r="K22" s="17">
        <f>IF(D22=0,0,IF(AND(ISNUMBER(E22),E22&gt;=0,ISNUMBER(F22),F22&gt;=0,F22&lt;=1),E22*(1-F22)*(1+Settings!$B$5),0))</f>
        <v>28.799999999999997</v>
      </c>
      <c r="L22" s="17">
        <f>IFERROR(INDEX(Settings!$B$10:$B$12,MATCH(C22,{"Core","Practice","Delivery"},0)),0)</f>
        <v>1.5299999999999998</v>
      </c>
      <c r="M22" s="16" t="str">
        <f>IF(D22=0,"Skipped",IF(Settings!$B$15&lt;&gt;"Ready","Invalid settings",IF(OR(D22&lt;&gt;1,COUNTIF($A$2:$A$49,A22)&lt;&gt;1,NOT(ISNUMBER(E22)),E22&lt;0,NOT(ISNUMBER(F22)),F22&lt;0,F22&gt;1),"Invalid input",IF(F22=1,"Complete",IF(OR(L22&lt;=0,COUNTIFS($C$2:C21,C22,$M$2:M21,"Blocked*")+COUNTIFS($C$2:C21,C22,$M$2:M21,"Invalid*")&gt;0,AND(G22&lt;&gt;"",OR(IFERROR(INDEX($D$2:$D$21,MATCH(G22,$A$2:$A$21,0)),0)&lt;&gt;1,IFERROR(INDEX($M$2:$M$21,MATCH(G22,$A$2:$A$21,0)),"Blocked")="Blocked",LEFT(IFERROR(INDEX($M$2:$M$21,MATCH(G22,$A$2:$A$21,0)),"Invalid"),7)="Invalid")),AND(H22&lt;&gt;"",OR(IFERROR(INDEX($D$2:$D$21,MATCH(H22,$A$2:$A$21,0)),0)&lt;&gt;1,IFERROR(INDEX($M$2:$M$21,MATCH(H22,$A$2:$A$21,0)),"Blocked")="Blocked",LEFT(IFERROR(INDEX($M$2:$M$21,MATCH(H22,$A$2:$A$21,0)),"Invalid"),7)="Invalid")),AND(I22&lt;&gt;"",OR(IFERROR(INDEX($D$2:$D$21,MATCH(I22,$A$2:$A$21,0)),0)&lt;&gt;1,IFERROR(INDEX($M$2:$M$21,MATCH(I22,$A$2:$A$21,0)),"Blocked")="Blocked",LEFT(IFERROR(INDEX($M$2:$M$21,MATCH(I22,$A$2:$A$21,0)),"Invalid"),7)="Invalid")),AND(J22&lt;&gt;"",OR(IFERROR(INDEX($D$2:$D$21,MATCH(J22,$A$2:$A$21,0)),0)&lt;&gt;1,IFERROR(INDEX($M$2:$M$21,MATCH(J22,$A$2:$A$21,0)),"Blocked")="Blocked",LEFT(IFERROR(INDEX($M$2:$M$21,MATCH(J22,$A$2:$A$21,0)),"Invalid"),7)="Invalid"))),"Blocked","Planned")))))</f>
        <v>Planned</v>
      </c>
      <c r="N22" s="17">
        <f>IF(M22="Skipped",O21,IF(OR(M22="Planned",M22="Complete"),MAX(O21,IF(G22="",0,IFERROR(INDEX($O$2:$O$21,MATCH(G22,$A$2:$A$21,0)),0)),IF(H22="",0,IFERROR(INDEX($O$2:$O$21,MATCH(H22,$A$2:$A$21,0)),0)),IF(I22="",0,IFERROR(INDEX($O$2:$O$21,MATCH(I22,$A$2:$A$21,0)),0)),IF(J22="",0,IFERROR(INDEX($O$2:$O$21,MATCH(J22,$A$2:$A$21,0)),0))),""))</f>
        <v>359.21568627450978</v>
      </c>
      <c r="O22" s="17">
        <f t="shared" si="0"/>
        <v>378.03921568627447</v>
      </c>
      <c r="P22" s="18">
        <f>IF(AND(M22="Planned",K22&gt;0),WORKDAY.INTL(Settings!$B$2-1,INT(N22+0.000000001)+1,Settings!$B$4,Holidays!$A$2:$A$101),"")</f>
        <v>46738</v>
      </c>
      <c r="Q22" s="18">
        <f>IF(AND(M22="Planned",K22&gt;0),WORKDAY.INTL(Settings!$B$2-1,MAX(1,ROUNDUP(O22-0.000000001,0)),Settings!$B$4,Holidays!$A$2:$A$101),"")</f>
        <v>46760</v>
      </c>
      <c r="R22" s="17">
        <f t="shared" si="1"/>
        <v>18.823529411764696</v>
      </c>
      <c r="S22" s="4" t="s">
        <v>129</v>
      </c>
      <c r="T22" s="4" t="s">
        <v>126</v>
      </c>
    </row>
    <row r="23" spans="1:20" ht="56" customHeight="1" x14ac:dyDescent="0.35">
      <c r="A23" s="4" t="s">
        <v>130</v>
      </c>
      <c r="B23" s="4" t="s">
        <v>131</v>
      </c>
      <c r="C23" s="2" t="s">
        <v>55</v>
      </c>
      <c r="D23" s="19">
        <f>1</f>
        <v>1</v>
      </c>
      <c r="E23" s="19">
        <f>8</f>
        <v>8</v>
      </c>
      <c r="F23" s="20">
        <f>0</f>
        <v>0</v>
      </c>
      <c r="G23" s="19" t="s">
        <v>66</v>
      </c>
      <c r="H23" s="19"/>
      <c r="I23" s="19"/>
      <c r="J23" s="19"/>
      <c r="K23" s="17">
        <f>IF(D23=0,0,IF(AND(ISNUMBER(E23),E23&gt;=0,ISNUMBER(F23),F23&gt;=0,F23&lt;=1),E23*(1-F23)*(1+Settings!$B$5),0))</f>
        <v>9.6</v>
      </c>
      <c r="L23" s="17">
        <f>IFERROR(INDEX(Settings!$B$10:$B$12,MATCH(C23,{"Core","Practice","Delivery"},0)),0)</f>
        <v>1.5299999999999998</v>
      </c>
      <c r="M23" s="16" t="str">
        <f>IF(D23=0,"Skipped",IF(Settings!$B$15&lt;&gt;"Ready","Invalid settings",IF(OR(D23&lt;&gt;1,COUNTIF($A$2:$A$49,A23)&lt;&gt;1,NOT(ISNUMBER(E23)),E23&lt;0,NOT(ISNUMBER(F23)),F23&lt;0,F23&gt;1),"Invalid input",IF(F23=1,"Complete",IF(OR(L23&lt;=0,COUNTIFS($C$2:C22,C23,$M$2:M22,"Blocked*")+COUNTIFS($C$2:C22,C23,$M$2:M22,"Invalid*")&gt;0,AND(G23&lt;&gt;"",OR(IFERROR(INDEX($D$2:$D$22,MATCH(G23,$A$2:$A$22,0)),0)&lt;&gt;1,IFERROR(INDEX($M$2:$M$22,MATCH(G23,$A$2:$A$22,0)),"Blocked")="Blocked",LEFT(IFERROR(INDEX($M$2:$M$22,MATCH(G23,$A$2:$A$22,0)),"Invalid"),7)="Invalid")),AND(H23&lt;&gt;"",OR(IFERROR(INDEX($D$2:$D$22,MATCH(H23,$A$2:$A$22,0)),0)&lt;&gt;1,IFERROR(INDEX($M$2:$M$22,MATCH(H23,$A$2:$A$22,0)),"Blocked")="Blocked",LEFT(IFERROR(INDEX($M$2:$M$22,MATCH(H23,$A$2:$A$22,0)),"Invalid"),7)="Invalid")),AND(I23&lt;&gt;"",OR(IFERROR(INDEX($D$2:$D$22,MATCH(I23,$A$2:$A$22,0)),0)&lt;&gt;1,IFERROR(INDEX($M$2:$M$22,MATCH(I23,$A$2:$A$22,0)),"Blocked")="Blocked",LEFT(IFERROR(INDEX($M$2:$M$22,MATCH(I23,$A$2:$A$22,0)),"Invalid"),7)="Invalid")),AND(J23&lt;&gt;"",OR(IFERROR(INDEX($D$2:$D$22,MATCH(J23,$A$2:$A$22,0)),0)&lt;&gt;1,IFERROR(INDEX($M$2:$M$22,MATCH(J23,$A$2:$A$22,0)),"Blocked")="Blocked",LEFT(IFERROR(INDEX($M$2:$M$22,MATCH(J23,$A$2:$A$22,0)),"Invalid"),7)="Invalid"))),"Blocked","Planned")))))</f>
        <v>Planned</v>
      </c>
      <c r="N23" s="17">
        <f>IF(M23="Skipped",O22,IF(OR(M23="Planned",M23="Complete"),MAX(O22,IF(G23="",0,IFERROR(INDEX($O$2:$O$22,MATCH(G23,$A$2:$A$22,0)),0)),IF(H23="",0,IFERROR(INDEX($O$2:$O$22,MATCH(H23,$A$2:$A$22,0)),0)),IF(I23="",0,IFERROR(INDEX($O$2:$O$22,MATCH(I23,$A$2:$A$22,0)),0)),IF(J23="",0,IFERROR(INDEX($O$2:$O$22,MATCH(J23,$A$2:$A$22,0)),0))),""))</f>
        <v>378.03921568627447</v>
      </c>
      <c r="O23" s="17">
        <f t="shared" si="0"/>
        <v>384.31372549019602</v>
      </c>
      <c r="P23" s="18">
        <f>IF(AND(M23="Planned",K23&gt;0),WORKDAY.INTL(Settings!$B$2-1,INT(N23+0.000000001)+1,Settings!$B$4,Holidays!$A$2:$A$101),"")</f>
        <v>46760</v>
      </c>
      <c r="Q23" s="18">
        <f>IF(AND(M23="Planned",K23&gt;0),WORKDAY.INTL(Settings!$B$2-1,MAX(1,ROUNDUP(O23-0.000000001,0)),Settings!$B$4,Holidays!$A$2:$A$101),"")</f>
        <v>46767</v>
      </c>
      <c r="R23" s="17">
        <f t="shared" si="1"/>
        <v>6.2745098039215463</v>
      </c>
      <c r="S23" s="4" t="s">
        <v>132</v>
      </c>
      <c r="T23" s="4" t="s">
        <v>133</v>
      </c>
    </row>
    <row r="24" spans="1:20" ht="56" customHeight="1" x14ac:dyDescent="0.35">
      <c r="A24" s="4" t="s">
        <v>134</v>
      </c>
      <c r="B24" s="4" t="s">
        <v>135</v>
      </c>
      <c r="C24" s="2" t="s">
        <v>55</v>
      </c>
      <c r="D24" s="19">
        <f>1</f>
        <v>1</v>
      </c>
      <c r="E24" s="19">
        <f>26</f>
        <v>26</v>
      </c>
      <c r="F24" s="20">
        <f>0</f>
        <v>0</v>
      </c>
      <c r="G24" s="19" t="s">
        <v>119</v>
      </c>
      <c r="H24" s="19"/>
      <c r="I24" s="19"/>
      <c r="J24" s="19"/>
      <c r="K24" s="17">
        <f>IF(D24=0,0,IF(AND(ISNUMBER(E24),E24&gt;=0,ISNUMBER(F24),F24&gt;=0,F24&lt;=1),E24*(1-F24)*(1+Settings!$B$5),0))</f>
        <v>31.2</v>
      </c>
      <c r="L24" s="17">
        <f>IFERROR(INDEX(Settings!$B$10:$B$12,MATCH(C24,{"Core","Practice","Delivery"},0)),0)</f>
        <v>1.5299999999999998</v>
      </c>
      <c r="M24" s="16" t="str">
        <f>IF(D24=0,"Skipped",IF(Settings!$B$15&lt;&gt;"Ready","Invalid settings",IF(OR(D24&lt;&gt;1,COUNTIF($A$2:$A$49,A24)&lt;&gt;1,NOT(ISNUMBER(E24)),E24&lt;0,NOT(ISNUMBER(F24)),F24&lt;0,F24&gt;1),"Invalid input",IF(F24=1,"Complete",IF(OR(L24&lt;=0,COUNTIFS($C$2:C23,C24,$M$2:M23,"Blocked*")+COUNTIFS($C$2:C23,C24,$M$2:M23,"Invalid*")&gt;0,AND(G24&lt;&gt;"",OR(IFERROR(INDEX($D$2:$D$23,MATCH(G24,$A$2:$A$23,0)),0)&lt;&gt;1,IFERROR(INDEX($M$2:$M$23,MATCH(G24,$A$2:$A$23,0)),"Blocked")="Blocked",LEFT(IFERROR(INDEX($M$2:$M$23,MATCH(G24,$A$2:$A$23,0)),"Invalid"),7)="Invalid")),AND(H24&lt;&gt;"",OR(IFERROR(INDEX($D$2:$D$23,MATCH(H24,$A$2:$A$23,0)),0)&lt;&gt;1,IFERROR(INDEX($M$2:$M$23,MATCH(H24,$A$2:$A$23,0)),"Blocked")="Blocked",LEFT(IFERROR(INDEX($M$2:$M$23,MATCH(H24,$A$2:$A$23,0)),"Invalid"),7)="Invalid")),AND(I24&lt;&gt;"",OR(IFERROR(INDEX($D$2:$D$23,MATCH(I24,$A$2:$A$23,0)),0)&lt;&gt;1,IFERROR(INDEX($M$2:$M$23,MATCH(I24,$A$2:$A$23,0)),"Blocked")="Blocked",LEFT(IFERROR(INDEX($M$2:$M$23,MATCH(I24,$A$2:$A$23,0)),"Invalid"),7)="Invalid")),AND(J24&lt;&gt;"",OR(IFERROR(INDEX($D$2:$D$23,MATCH(J24,$A$2:$A$23,0)),0)&lt;&gt;1,IFERROR(INDEX($M$2:$M$23,MATCH(J24,$A$2:$A$23,0)),"Blocked")="Blocked",LEFT(IFERROR(INDEX($M$2:$M$23,MATCH(J24,$A$2:$A$23,0)),"Invalid"),7)="Invalid"))),"Blocked","Planned")))))</f>
        <v>Planned</v>
      </c>
      <c r="N24" s="17">
        <f>IF(M24="Skipped",O23,IF(OR(M24="Planned",M24="Complete"),MAX(O23,IF(G24="",0,IFERROR(INDEX($O$2:$O$23,MATCH(G24,$A$2:$A$23,0)),0)),IF(H24="",0,IFERROR(INDEX($O$2:$O$23,MATCH(H24,$A$2:$A$23,0)),0)),IF(I24="",0,IFERROR(INDEX($O$2:$O$23,MATCH(I24,$A$2:$A$23,0)),0)),IF(J24="",0,IFERROR(INDEX($O$2:$O$23,MATCH(J24,$A$2:$A$23,0)),0))),""))</f>
        <v>384.31372549019602</v>
      </c>
      <c r="O24" s="17">
        <f t="shared" si="0"/>
        <v>404.7058823529411</v>
      </c>
      <c r="P24" s="18">
        <f>IF(AND(M24="Planned",K24&gt;0),WORKDAY.INTL(Settings!$B$2-1,INT(N24+0.000000001)+1,Settings!$B$4,Holidays!$A$2:$A$101),"")</f>
        <v>46767</v>
      </c>
      <c r="Q24" s="18">
        <f>IF(AND(M24="Planned",K24&gt;0),WORKDAY.INTL(Settings!$B$2-1,MAX(1,ROUNDUP(O24-0.000000001,0)),Settings!$B$4,Holidays!$A$2:$A$101),"")</f>
        <v>46791</v>
      </c>
      <c r="R24" s="17">
        <f t="shared" si="1"/>
        <v>20.392156862745082</v>
      </c>
      <c r="S24" s="4" t="s">
        <v>136</v>
      </c>
      <c r="T24" s="4" t="s">
        <v>137</v>
      </c>
    </row>
    <row r="25" spans="1:20" ht="56" customHeight="1" x14ac:dyDescent="0.35">
      <c r="A25" s="4" t="s">
        <v>138</v>
      </c>
      <c r="B25" s="4" t="s">
        <v>139</v>
      </c>
      <c r="C25" s="2" t="s">
        <v>55</v>
      </c>
      <c r="D25" s="19">
        <f>1</f>
        <v>1</v>
      </c>
      <c r="E25" s="19">
        <f>24</f>
        <v>24</v>
      </c>
      <c r="F25" s="20">
        <f>0</f>
        <v>0</v>
      </c>
      <c r="G25" s="19" t="s">
        <v>134</v>
      </c>
      <c r="H25" s="19"/>
      <c r="I25" s="19"/>
      <c r="J25" s="19"/>
      <c r="K25" s="17">
        <f>IF(D25=0,0,IF(AND(ISNUMBER(E25),E25&gt;=0,ISNUMBER(F25),F25&gt;=0,F25&lt;=1),E25*(1-F25)*(1+Settings!$B$5),0))</f>
        <v>28.799999999999997</v>
      </c>
      <c r="L25" s="17">
        <f>IFERROR(INDEX(Settings!$B$10:$B$12,MATCH(C25,{"Core","Practice","Delivery"},0)),0)</f>
        <v>1.5299999999999998</v>
      </c>
      <c r="M25" s="16" t="str">
        <f>IF(D25=0,"Skipped",IF(Settings!$B$15&lt;&gt;"Ready","Invalid settings",IF(OR(D25&lt;&gt;1,COUNTIF($A$2:$A$49,A25)&lt;&gt;1,NOT(ISNUMBER(E25)),E25&lt;0,NOT(ISNUMBER(F25)),F25&lt;0,F25&gt;1),"Invalid input",IF(F25=1,"Complete",IF(OR(L25&lt;=0,COUNTIFS($C$2:C24,C25,$M$2:M24,"Blocked*")+COUNTIFS($C$2:C24,C25,$M$2:M24,"Invalid*")&gt;0,AND(G25&lt;&gt;"",OR(IFERROR(INDEX($D$2:$D$24,MATCH(G25,$A$2:$A$24,0)),0)&lt;&gt;1,IFERROR(INDEX($M$2:$M$24,MATCH(G25,$A$2:$A$24,0)),"Blocked")="Blocked",LEFT(IFERROR(INDEX($M$2:$M$24,MATCH(G25,$A$2:$A$24,0)),"Invalid"),7)="Invalid")),AND(H25&lt;&gt;"",OR(IFERROR(INDEX($D$2:$D$24,MATCH(H25,$A$2:$A$24,0)),0)&lt;&gt;1,IFERROR(INDEX($M$2:$M$24,MATCH(H25,$A$2:$A$24,0)),"Blocked")="Blocked",LEFT(IFERROR(INDEX($M$2:$M$24,MATCH(H25,$A$2:$A$24,0)),"Invalid"),7)="Invalid")),AND(I25&lt;&gt;"",OR(IFERROR(INDEX($D$2:$D$24,MATCH(I25,$A$2:$A$24,0)),0)&lt;&gt;1,IFERROR(INDEX($M$2:$M$24,MATCH(I25,$A$2:$A$24,0)),"Blocked")="Blocked",LEFT(IFERROR(INDEX($M$2:$M$24,MATCH(I25,$A$2:$A$24,0)),"Invalid"),7)="Invalid")),AND(J25&lt;&gt;"",OR(IFERROR(INDEX($D$2:$D$24,MATCH(J25,$A$2:$A$24,0)),0)&lt;&gt;1,IFERROR(INDEX($M$2:$M$24,MATCH(J25,$A$2:$A$24,0)),"Blocked")="Blocked",LEFT(IFERROR(INDEX($M$2:$M$24,MATCH(J25,$A$2:$A$24,0)),"Invalid"),7)="Invalid"))),"Blocked","Planned")))))</f>
        <v>Planned</v>
      </c>
      <c r="N25" s="17">
        <f>IF(M25="Skipped",O24,IF(OR(M25="Planned",M25="Complete"),MAX(O24,IF(G25="",0,IFERROR(INDEX($O$2:$O$24,MATCH(G25,$A$2:$A$24,0)),0)),IF(H25="",0,IFERROR(INDEX($O$2:$O$24,MATCH(H25,$A$2:$A$24,0)),0)),IF(I25="",0,IFERROR(INDEX($O$2:$O$24,MATCH(I25,$A$2:$A$24,0)),0)),IF(J25="",0,IFERROR(INDEX($O$2:$O$24,MATCH(J25,$A$2:$A$24,0)),0))),""))</f>
        <v>404.7058823529411</v>
      </c>
      <c r="O25" s="17">
        <f t="shared" si="0"/>
        <v>423.5294117647058</v>
      </c>
      <c r="P25" s="18">
        <f>IF(AND(M25="Planned",K25&gt;0),WORKDAY.INTL(Settings!$B$2-1,INT(N25+0.000000001)+1,Settings!$B$4,Holidays!$A$2:$A$101),"")</f>
        <v>46791</v>
      </c>
      <c r="Q25" s="18">
        <f>IF(AND(M25="Planned",K25&gt;0),WORKDAY.INTL(Settings!$B$2-1,MAX(1,ROUNDUP(O25-0.000000001,0)),Settings!$B$4,Holidays!$A$2:$A$101),"")</f>
        <v>46813</v>
      </c>
      <c r="R25" s="17">
        <f t="shared" si="1"/>
        <v>18.823529411764696</v>
      </c>
      <c r="S25" s="4" t="s">
        <v>140</v>
      </c>
      <c r="T25" s="4" t="s">
        <v>141</v>
      </c>
    </row>
    <row r="26" spans="1:20" ht="56" customHeight="1" x14ac:dyDescent="0.35">
      <c r="A26" s="4" t="s">
        <v>142</v>
      </c>
      <c r="B26" s="4" t="s">
        <v>143</v>
      </c>
      <c r="C26" s="2" t="s">
        <v>55</v>
      </c>
      <c r="D26" s="19">
        <f>1</f>
        <v>1</v>
      </c>
      <c r="E26" s="19">
        <f>24</f>
        <v>24</v>
      </c>
      <c r="F26" s="20">
        <f>0</f>
        <v>0</v>
      </c>
      <c r="G26" s="19" t="s">
        <v>115</v>
      </c>
      <c r="H26" s="19" t="s">
        <v>138</v>
      </c>
      <c r="I26" s="19"/>
      <c r="J26" s="19"/>
      <c r="K26" s="17">
        <f>IF(D26=0,0,IF(AND(ISNUMBER(E26),E26&gt;=0,ISNUMBER(F26),F26&gt;=0,F26&lt;=1),E26*(1-F26)*(1+Settings!$B$5),0))</f>
        <v>28.799999999999997</v>
      </c>
      <c r="L26" s="17">
        <f>IFERROR(INDEX(Settings!$B$10:$B$12,MATCH(C26,{"Core","Practice","Delivery"},0)),0)</f>
        <v>1.5299999999999998</v>
      </c>
      <c r="M26" s="16" t="str">
        <f>IF(D26=0,"Skipped",IF(Settings!$B$15&lt;&gt;"Ready","Invalid settings",IF(OR(D26&lt;&gt;1,COUNTIF($A$2:$A$49,A26)&lt;&gt;1,NOT(ISNUMBER(E26)),E26&lt;0,NOT(ISNUMBER(F26)),F26&lt;0,F26&gt;1),"Invalid input",IF(F26=1,"Complete",IF(OR(L26&lt;=0,COUNTIFS($C$2:C25,C26,$M$2:M25,"Blocked*")+COUNTIFS($C$2:C25,C26,$M$2:M25,"Invalid*")&gt;0,AND(G26&lt;&gt;"",OR(IFERROR(INDEX($D$2:$D$25,MATCH(G26,$A$2:$A$25,0)),0)&lt;&gt;1,IFERROR(INDEX($M$2:$M$25,MATCH(G26,$A$2:$A$25,0)),"Blocked")="Blocked",LEFT(IFERROR(INDEX($M$2:$M$25,MATCH(G26,$A$2:$A$25,0)),"Invalid"),7)="Invalid")),AND(H26&lt;&gt;"",OR(IFERROR(INDEX($D$2:$D$25,MATCH(H26,$A$2:$A$25,0)),0)&lt;&gt;1,IFERROR(INDEX($M$2:$M$25,MATCH(H26,$A$2:$A$25,0)),"Blocked")="Blocked",LEFT(IFERROR(INDEX($M$2:$M$25,MATCH(H26,$A$2:$A$25,0)),"Invalid"),7)="Invalid")),AND(I26&lt;&gt;"",OR(IFERROR(INDEX($D$2:$D$25,MATCH(I26,$A$2:$A$25,0)),0)&lt;&gt;1,IFERROR(INDEX($M$2:$M$25,MATCH(I26,$A$2:$A$25,0)),"Blocked")="Blocked",LEFT(IFERROR(INDEX($M$2:$M$25,MATCH(I26,$A$2:$A$25,0)),"Invalid"),7)="Invalid")),AND(J26&lt;&gt;"",OR(IFERROR(INDEX($D$2:$D$25,MATCH(J26,$A$2:$A$25,0)),0)&lt;&gt;1,IFERROR(INDEX($M$2:$M$25,MATCH(J26,$A$2:$A$25,0)),"Blocked")="Blocked",LEFT(IFERROR(INDEX($M$2:$M$25,MATCH(J26,$A$2:$A$25,0)),"Invalid"),7)="Invalid"))),"Blocked","Planned")))))</f>
        <v>Planned</v>
      </c>
      <c r="N26" s="17">
        <f>IF(M26="Skipped",O25,IF(OR(M26="Planned",M26="Complete"),MAX(O25,IF(G26="",0,IFERROR(INDEX($O$2:$O$25,MATCH(G26,$A$2:$A$25,0)),0)),IF(H26="",0,IFERROR(INDEX($O$2:$O$25,MATCH(H26,$A$2:$A$25,0)),0)),IF(I26="",0,IFERROR(INDEX($O$2:$O$25,MATCH(I26,$A$2:$A$25,0)),0)),IF(J26="",0,IFERROR(INDEX($O$2:$O$25,MATCH(J26,$A$2:$A$25,0)),0))),""))</f>
        <v>423.5294117647058</v>
      </c>
      <c r="O26" s="17">
        <f t="shared" si="0"/>
        <v>442.35294117647049</v>
      </c>
      <c r="P26" s="18">
        <f>IF(AND(M26="Planned",K26&gt;0),WORKDAY.INTL(Settings!$B$2-1,INT(N26+0.000000001)+1,Settings!$B$4,Holidays!$A$2:$A$101),"")</f>
        <v>46813</v>
      </c>
      <c r="Q26" s="18">
        <f>IF(AND(M26="Planned",K26&gt;0),WORKDAY.INTL(Settings!$B$2-1,MAX(1,ROUNDUP(O26-0.000000001,0)),Settings!$B$4,Holidays!$A$2:$A$101),"")</f>
        <v>46835</v>
      </c>
      <c r="R26" s="17">
        <f t="shared" si="1"/>
        <v>18.823529411764696</v>
      </c>
      <c r="S26" s="4" t="s">
        <v>144</v>
      </c>
      <c r="T26" s="4" t="s">
        <v>145</v>
      </c>
    </row>
    <row r="27" spans="1:20" ht="56" customHeight="1" x14ac:dyDescent="0.35">
      <c r="A27" s="4" t="s">
        <v>146</v>
      </c>
      <c r="B27" s="4" t="s">
        <v>147</v>
      </c>
      <c r="C27" s="2" t="s">
        <v>55</v>
      </c>
      <c r="D27" s="19">
        <f>1</f>
        <v>1</v>
      </c>
      <c r="E27" s="19">
        <f>14</f>
        <v>14</v>
      </c>
      <c r="F27" s="20">
        <f>0</f>
        <v>0</v>
      </c>
      <c r="G27" s="19" t="s">
        <v>142</v>
      </c>
      <c r="H27" s="19"/>
      <c r="I27" s="19"/>
      <c r="J27" s="19"/>
      <c r="K27" s="17">
        <f>IF(D27=0,0,IF(AND(ISNUMBER(E27),E27&gt;=0,ISNUMBER(F27),F27&gt;=0,F27&lt;=1),E27*(1-F27)*(1+Settings!$B$5),0))</f>
        <v>16.8</v>
      </c>
      <c r="L27" s="17">
        <f>IFERROR(INDEX(Settings!$B$10:$B$12,MATCH(C27,{"Core","Practice","Delivery"},0)),0)</f>
        <v>1.5299999999999998</v>
      </c>
      <c r="M27" s="16" t="str">
        <f>IF(D27=0,"Skipped",IF(Settings!$B$15&lt;&gt;"Ready","Invalid settings",IF(OR(D27&lt;&gt;1,COUNTIF($A$2:$A$49,A27)&lt;&gt;1,NOT(ISNUMBER(E27)),E27&lt;0,NOT(ISNUMBER(F27)),F27&lt;0,F27&gt;1),"Invalid input",IF(F27=1,"Complete",IF(OR(L27&lt;=0,COUNTIFS($C$2:C26,C27,$M$2:M26,"Blocked*")+COUNTIFS($C$2:C26,C27,$M$2:M26,"Invalid*")&gt;0,AND(G27&lt;&gt;"",OR(IFERROR(INDEX($D$2:$D$26,MATCH(G27,$A$2:$A$26,0)),0)&lt;&gt;1,IFERROR(INDEX($M$2:$M$26,MATCH(G27,$A$2:$A$26,0)),"Blocked")="Blocked",LEFT(IFERROR(INDEX($M$2:$M$26,MATCH(G27,$A$2:$A$26,0)),"Invalid"),7)="Invalid")),AND(H27&lt;&gt;"",OR(IFERROR(INDEX($D$2:$D$26,MATCH(H27,$A$2:$A$26,0)),0)&lt;&gt;1,IFERROR(INDEX($M$2:$M$26,MATCH(H27,$A$2:$A$26,0)),"Blocked")="Blocked",LEFT(IFERROR(INDEX($M$2:$M$26,MATCH(H27,$A$2:$A$26,0)),"Invalid"),7)="Invalid")),AND(I27&lt;&gt;"",OR(IFERROR(INDEX($D$2:$D$26,MATCH(I27,$A$2:$A$26,0)),0)&lt;&gt;1,IFERROR(INDEX($M$2:$M$26,MATCH(I27,$A$2:$A$26,0)),"Blocked")="Blocked",LEFT(IFERROR(INDEX($M$2:$M$26,MATCH(I27,$A$2:$A$26,0)),"Invalid"),7)="Invalid")),AND(J27&lt;&gt;"",OR(IFERROR(INDEX($D$2:$D$26,MATCH(J27,$A$2:$A$26,0)),0)&lt;&gt;1,IFERROR(INDEX($M$2:$M$26,MATCH(J27,$A$2:$A$26,0)),"Blocked")="Blocked",LEFT(IFERROR(INDEX($M$2:$M$26,MATCH(J27,$A$2:$A$26,0)),"Invalid"),7)="Invalid"))),"Blocked","Planned")))))</f>
        <v>Planned</v>
      </c>
      <c r="N27" s="17">
        <f>IF(M27="Skipped",O26,IF(OR(M27="Planned",M27="Complete"),MAX(O26,IF(G27="",0,IFERROR(INDEX($O$2:$O$26,MATCH(G27,$A$2:$A$26,0)),0)),IF(H27="",0,IFERROR(INDEX($O$2:$O$26,MATCH(H27,$A$2:$A$26,0)),0)),IF(I27="",0,IFERROR(INDEX($O$2:$O$26,MATCH(I27,$A$2:$A$26,0)),0)),IF(J27="",0,IFERROR(INDEX($O$2:$O$26,MATCH(J27,$A$2:$A$26,0)),0))),""))</f>
        <v>442.35294117647049</v>
      </c>
      <c r="O27" s="17">
        <f t="shared" si="0"/>
        <v>453.33333333333326</v>
      </c>
      <c r="P27" s="18">
        <f>IF(AND(M27="Planned",K27&gt;0),WORKDAY.INTL(Settings!$B$2-1,INT(N27+0.000000001)+1,Settings!$B$4,Holidays!$A$2:$A$101),"")</f>
        <v>46835</v>
      </c>
      <c r="Q27" s="18">
        <f>IF(AND(M27="Planned",K27&gt;0),WORKDAY.INTL(Settings!$B$2-1,MAX(1,ROUNDUP(O27-0.000000001,0)),Settings!$B$4,Holidays!$A$2:$A$101),"")</f>
        <v>46848</v>
      </c>
      <c r="R27" s="17">
        <f t="shared" si="1"/>
        <v>10.980392156862763</v>
      </c>
      <c r="S27" s="4" t="s">
        <v>148</v>
      </c>
      <c r="T27" s="4" t="s">
        <v>149</v>
      </c>
    </row>
    <row r="28" spans="1:20" ht="56" customHeight="1" x14ac:dyDescent="0.35">
      <c r="A28" s="4" t="s">
        <v>150</v>
      </c>
      <c r="B28" s="4" t="s">
        <v>151</v>
      </c>
      <c r="C28" s="2" t="s">
        <v>152</v>
      </c>
      <c r="D28" s="19">
        <f>1</f>
        <v>1</v>
      </c>
      <c r="E28" s="19">
        <f>22</f>
        <v>22</v>
      </c>
      <c r="F28" s="20">
        <f>0</f>
        <v>0</v>
      </c>
      <c r="G28" s="19" t="s">
        <v>58</v>
      </c>
      <c r="H28" s="19"/>
      <c r="I28" s="19"/>
      <c r="J28" s="19"/>
      <c r="K28" s="17">
        <f>IF(D28=0,0,IF(AND(ISNUMBER(E28),E28&gt;=0,ISNUMBER(F28),F28&gt;=0,F28&lt;=1),E28*(1-F28)*(1+Settings!$B$5),0))</f>
        <v>26.4</v>
      </c>
      <c r="L28" s="17">
        <f>IFERROR(INDEX(Settings!$B$10:$B$12,MATCH(C28,{"Core","Practice","Delivery"},0)),0)</f>
        <v>0.51</v>
      </c>
      <c r="M28" s="16" t="str">
        <f>IF(D28=0,"Skipped",IF(Settings!$B$15&lt;&gt;"Ready","Invalid settings",IF(OR(D28&lt;&gt;1,COUNTIF($A$2:$A$49,A28)&lt;&gt;1,NOT(ISNUMBER(E28)),E28&lt;0,NOT(ISNUMBER(F28)),F28&lt;0,F28&gt;1),"Invalid input",IF(F28=1,"Complete",IF(OR(L28&lt;=0,COUNTIFS($C$2:C27,C28,$M$2:M27,"Blocked*")+COUNTIFS($C$2:C27,C28,$M$2:M27,"Invalid*")&gt;0,AND(G28&lt;&gt;"",OR(IFERROR(INDEX($D$2:$D$27,MATCH(G28,$A$2:$A$27,0)),0)&lt;&gt;1,IFERROR(INDEX($M$2:$M$27,MATCH(G28,$A$2:$A$27,0)),"Blocked")="Blocked",LEFT(IFERROR(INDEX($M$2:$M$27,MATCH(G28,$A$2:$A$27,0)),"Invalid"),7)="Invalid")),AND(H28&lt;&gt;"",OR(IFERROR(INDEX($D$2:$D$27,MATCH(H28,$A$2:$A$27,0)),0)&lt;&gt;1,IFERROR(INDEX($M$2:$M$27,MATCH(H28,$A$2:$A$27,0)),"Blocked")="Blocked",LEFT(IFERROR(INDEX($M$2:$M$27,MATCH(H28,$A$2:$A$27,0)),"Invalid"),7)="Invalid")),AND(I28&lt;&gt;"",OR(IFERROR(INDEX($D$2:$D$27,MATCH(I28,$A$2:$A$27,0)),0)&lt;&gt;1,IFERROR(INDEX($M$2:$M$27,MATCH(I28,$A$2:$A$27,0)),"Blocked")="Blocked",LEFT(IFERROR(INDEX($M$2:$M$27,MATCH(I28,$A$2:$A$27,0)),"Invalid"),7)="Invalid")),AND(J28&lt;&gt;"",OR(IFERROR(INDEX($D$2:$D$27,MATCH(J28,$A$2:$A$27,0)),0)&lt;&gt;1,IFERROR(INDEX($M$2:$M$27,MATCH(J28,$A$2:$A$27,0)),"Blocked")="Blocked",LEFT(IFERROR(INDEX($M$2:$M$27,MATCH(J28,$A$2:$A$27,0)),"Invalid"),7)="Invalid"))),"Blocked","Planned")))))</f>
        <v>Planned</v>
      </c>
      <c r="N28" s="17">
        <f>IF(M28="Skipped",0,IF(OR(M28="Planned",M28="Complete"),MAX(0,IF(G28="",0,IFERROR(INDEX($O$2:$O$27,MATCH(G28,$A$2:$A$27,0)),0)),IF(H28="",0,IFERROR(INDEX($O$2:$O$27,MATCH(H28,$A$2:$A$27,0)),0)),IF(I28="",0,IFERROR(INDEX($O$2:$O$27,MATCH(I28,$A$2:$A$27,0)),0)),IF(J28="",0,IFERROR(INDEX($O$2:$O$27,MATCH(J28,$A$2:$A$27,0)),0))),""))</f>
        <v>28.235294117647062</v>
      </c>
      <c r="O28" s="17">
        <f t="shared" si="0"/>
        <v>80</v>
      </c>
      <c r="P28" s="18">
        <f>IF(AND(M28="Planned",K28&gt;0),WORKDAY.INTL(Settings!$B$2-1,INT(N28+0.000000001)+1,Settings!$B$4,Holidays!$A$2:$A$101),"")</f>
        <v>46352</v>
      </c>
      <c r="Q28" s="18">
        <f>IF(AND(M28="Planned",K28&gt;0),WORKDAY.INTL(Settings!$B$2-1,MAX(1,ROUNDUP(O28-0.000000001,0)),Settings!$B$4,Holidays!$A$2:$A$101),"")</f>
        <v>46412</v>
      </c>
      <c r="R28" s="17">
        <f t="shared" si="1"/>
        <v>51.764705882352942</v>
      </c>
      <c r="S28" s="4" t="s">
        <v>153</v>
      </c>
      <c r="T28" s="4" t="s">
        <v>154</v>
      </c>
    </row>
    <row r="29" spans="1:20" ht="56" customHeight="1" x14ac:dyDescent="0.35">
      <c r="A29" s="4" t="s">
        <v>155</v>
      </c>
      <c r="B29" s="4" t="s">
        <v>156</v>
      </c>
      <c r="C29" s="2" t="s">
        <v>152</v>
      </c>
      <c r="D29" s="19">
        <f>1</f>
        <v>1</v>
      </c>
      <c r="E29" s="19">
        <f>26</f>
        <v>26</v>
      </c>
      <c r="F29" s="20">
        <f>0</f>
        <v>0</v>
      </c>
      <c r="G29" s="19" t="s">
        <v>74</v>
      </c>
      <c r="H29" s="19"/>
      <c r="I29" s="19"/>
      <c r="J29" s="19"/>
      <c r="K29" s="17">
        <f>IF(D29=0,0,IF(AND(ISNUMBER(E29),E29&gt;=0,ISNUMBER(F29),F29&gt;=0,F29&lt;=1),E29*(1-F29)*(1+Settings!$B$5),0))</f>
        <v>31.2</v>
      </c>
      <c r="L29" s="17">
        <f>IFERROR(INDEX(Settings!$B$10:$B$12,MATCH(C29,{"Core","Practice","Delivery"},0)),0)</f>
        <v>0.51</v>
      </c>
      <c r="M29" s="16" t="str">
        <f>IF(D29=0,"Skipped",IF(Settings!$B$15&lt;&gt;"Ready","Invalid settings",IF(OR(D29&lt;&gt;1,COUNTIF($A$2:$A$49,A29)&lt;&gt;1,NOT(ISNUMBER(E29)),E29&lt;0,NOT(ISNUMBER(F29)),F29&lt;0,F29&gt;1),"Invalid input",IF(F29=1,"Complete",IF(OR(L29&lt;=0,COUNTIFS($C$2:C28,C29,$M$2:M28,"Blocked*")+COUNTIFS($C$2:C28,C29,$M$2:M28,"Invalid*")&gt;0,AND(G29&lt;&gt;"",OR(IFERROR(INDEX($D$2:$D$28,MATCH(G29,$A$2:$A$28,0)),0)&lt;&gt;1,IFERROR(INDEX($M$2:$M$28,MATCH(G29,$A$2:$A$28,0)),"Blocked")="Blocked",LEFT(IFERROR(INDEX($M$2:$M$28,MATCH(G29,$A$2:$A$28,0)),"Invalid"),7)="Invalid")),AND(H29&lt;&gt;"",OR(IFERROR(INDEX($D$2:$D$28,MATCH(H29,$A$2:$A$28,0)),0)&lt;&gt;1,IFERROR(INDEX($M$2:$M$28,MATCH(H29,$A$2:$A$28,0)),"Blocked")="Blocked",LEFT(IFERROR(INDEX($M$2:$M$28,MATCH(H29,$A$2:$A$28,0)),"Invalid"),7)="Invalid")),AND(I29&lt;&gt;"",OR(IFERROR(INDEX($D$2:$D$28,MATCH(I29,$A$2:$A$28,0)),0)&lt;&gt;1,IFERROR(INDEX($M$2:$M$28,MATCH(I29,$A$2:$A$28,0)),"Blocked")="Blocked",LEFT(IFERROR(INDEX($M$2:$M$28,MATCH(I29,$A$2:$A$28,0)),"Invalid"),7)="Invalid")),AND(J29&lt;&gt;"",OR(IFERROR(INDEX($D$2:$D$28,MATCH(J29,$A$2:$A$28,0)),0)&lt;&gt;1,IFERROR(INDEX($M$2:$M$28,MATCH(J29,$A$2:$A$28,0)),"Blocked")="Blocked",LEFT(IFERROR(INDEX($M$2:$M$28,MATCH(J29,$A$2:$A$28,0)),"Invalid"),7)="Invalid"))),"Blocked","Planned")))))</f>
        <v>Planned</v>
      </c>
      <c r="N29" s="17">
        <f>IF(M29="Skipped",O28,IF(OR(M29="Planned",M29="Complete"),MAX(O28,IF(G29="",0,IFERROR(INDEX($O$2:$O$28,MATCH(G29,$A$2:$A$28,0)),0)),IF(H29="",0,IFERROR(INDEX($O$2:$O$28,MATCH(H29,$A$2:$A$28,0)),0)),IF(I29="",0,IFERROR(INDEX($O$2:$O$28,MATCH(I29,$A$2:$A$28,0)),0)),IF(J29="",0,IFERROR(INDEX($O$2:$O$28,MATCH(J29,$A$2:$A$28,0)),0))),""))</f>
        <v>106.66666666666669</v>
      </c>
      <c r="O29" s="17">
        <f t="shared" si="0"/>
        <v>167.84313725490199</v>
      </c>
      <c r="P29" s="18">
        <f>IF(AND(M29="Planned",K29&gt;0),WORKDAY.INTL(Settings!$B$2-1,INT(N29+0.000000001)+1,Settings!$B$4,Holidays!$A$2:$A$101),"")</f>
        <v>46443</v>
      </c>
      <c r="Q29" s="18">
        <f>IF(AND(M29="Planned",K29&gt;0),WORKDAY.INTL(Settings!$B$2-1,MAX(1,ROUNDUP(O29-0.000000001,0)),Settings!$B$4,Holidays!$A$2:$A$101),"")</f>
        <v>46514</v>
      </c>
      <c r="R29" s="17">
        <f t="shared" si="1"/>
        <v>61.176470588235304</v>
      </c>
      <c r="S29" s="4" t="s">
        <v>157</v>
      </c>
      <c r="T29" s="4" t="s">
        <v>158</v>
      </c>
    </row>
    <row r="30" spans="1:20" ht="56" customHeight="1" x14ac:dyDescent="0.35">
      <c r="A30" s="4" t="s">
        <v>159</v>
      </c>
      <c r="B30" s="4" t="s">
        <v>160</v>
      </c>
      <c r="C30" s="2" t="s">
        <v>152</v>
      </c>
      <c r="D30" s="19">
        <f>1</f>
        <v>1</v>
      </c>
      <c r="E30" s="19">
        <f>44</f>
        <v>44</v>
      </c>
      <c r="F30" s="20">
        <f>0</f>
        <v>0</v>
      </c>
      <c r="G30" s="19" t="s">
        <v>150</v>
      </c>
      <c r="H30" s="19"/>
      <c r="I30" s="19"/>
      <c r="J30" s="19"/>
      <c r="K30" s="17">
        <f>IF(D30=0,0,IF(AND(ISNUMBER(E30),E30&gt;=0,ISNUMBER(F30),F30&gt;=0,F30&lt;=1),E30*(1-F30)*(1+Settings!$B$5),0))</f>
        <v>52.8</v>
      </c>
      <c r="L30" s="17">
        <f>IFERROR(INDEX(Settings!$B$10:$B$12,MATCH(C30,{"Core","Practice","Delivery"},0)),0)</f>
        <v>0.51</v>
      </c>
      <c r="M30" s="16" t="str">
        <f>IF(D30=0,"Skipped",IF(Settings!$B$15&lt;&gt;"Ready","Invalid settings",IF(OR(D30&lt;&gt;1,COUNTIF($A$2:$A$49,A30)&lt;&gt;1,NOT(ISNUMBER(E30)),E30&lt;0,NOT(ISNUMBER(F30)),F30&lt;0,F30&gt;1),"Invalid input",IF(F30=1,"Complete",IF(OR(L30&lt;=0,COUNTIFS($C$2:C29,C30,$M$2:M29,"Blocked*")+COUNTIFS($C$2:C29,C30,$M$2:M29,"Invalid*")&gt;0,AND(G30&lt;&gt;"",OR(IFERROR(INDEX($D$2:$D$29,MATCH(G30,$A$2:$A$29,0)),0)&lt;&gt;1,IFERROR(INDEX($M$2:$M$29,MATCH(G30,$A$2:$A$29,0)),"Blocked")="Blocked",LEFT(IFERROR(INDEX($M$2:$M$29,MATCH(G30,$A$2:$A$29,0)),"Invalid"),7)="Invalid")),AND(H30&lt;&gt;"",OR(IFERROR(INDEX($D$2:$D$29,MATCH(H30,$A$2:$A$29,0)),0)&lt;&gt;1,IFERROR(INDEX($M$2:$M$29,MATCH(H30,$A$2:$A$29,0)),"Blocked")="Blocked",LEFT(IFERROR(INDEX($M$2:$M$29,MATCH(H30,$A$2:$A$29,0)),"Invalid"),7)="Invalid")),AND(I30&lt;&gt;"",OR(IFERROR(INDEX($D$2:$D$29,MATCH(I30,$A$2:$A$29,0)),0)&lt;&gt;1,IFERROR(INDEX($M$2:$M$29,MATCH(I30,$A$2:$A$29,0)),"Blocked")="Blocked",LEFT(IFERROR(INDEX($M$2:$M$29,MATCH(I30,$A$2:$A$29,0)),"Invalid"),7)="Invalid")),AND(J30&lt;&gt;"",OR(IFERROR(INDEX($D$2:$D$29,MATCH(J30,$A$2:$A$29,0)),0)&lt;&gt;1,IFERROR(INDEX($M$2:$M$29,MATCH(J30,$A$2:$A$29,0)),"Blocked")="Blocked",LEFT(IFERROR(INDEX($M$2:$M$29,MATCH(J30,$A$2:$A$29,0)),"Invalid"),7)="Invalid"))),"Blocked","Planned")))))</f>
        <v>Planned</v>
      </c>
      <c r="N30" s="17">
        <f>IF(M30="Skipped",O29,IF(OR(M30="Planned",M30="Complete"),MAX(O29,IF(G30="",0,IFERROR(INDEX($O$2:$O$29,MATCH(G30,$A$2:$A$29,0)),0)),IF(H30="",0,IFERROR(INDEX($O$2:$O$29,MATCH(H30,$A$2:$A$29,0)),0)),IF(I30="",0,IFERROR(INDEX($O$2:$O$29,MATCH(I30,$A$2:$A$29,0)),0)),IF(J30="",0,IFERROR(INDEX($O$2:$O$29,MATCH(J30,$A$2:$A$29,0)),0))),""))</f>
        <v>167.84313725490199</v>
      </c>
      <c r="O30" s="17">
        <f t="shared" si="0"/>
        <v>271.37254901960785</v>
      </c>
      <c r="P30" s="18">
        <f>IF(AND(M30="Planned",K30&gt;0),WORKDAY.INTL(Settings!$B$2-1,INT(N30+0.000000001)+1,Settings!$B$4,Holidays!$A$2:$A$101),"")</f>
        <v>46514</v>
      </c>
      <c r="Q30" s="18">
        <f>IF(AND(M30="Planned",K30&gt;0),WORKDAY.INTL(Settings!$B$2-1,MAX(1,ROUNDUP(O30-0.000000001,0)),Settings!$B$4,Holidays!$A$2:$A$101),"")</f>
        <v>46636</v>
      </c>
      <c r="R30" s="17">
        <f t="shared" si="1"/>
        <v>103.52941176470586</v>
      </c>
      <c r="S30" s="4" t="s">
        <v>161</v>
      </c>
      <c r="T30" s="4" t="s">
        <v>162</v>
      </c>
    </row>
    <row r="31" spans="1:20" ht="56" customHeight="1" x14ac:dyDescent="0.35">
      <c r="A31" s="4" t="s">
        <v>163</v>
      </c>
      <c r="B31" s="4" t="s">
        <v>164</v>
      </c>
      <c r="C31" s="2" t="s">
        <v>152</v>
      </c>
      <c r="D31" s="19">
        <f>1</f>
        <v>1</v>
      </c>
      <c r="E31" s="19">
        <f>26</f>
        <v>26</v>
      </c>
      <c r="F31" s="20">
        <f>0</f>
        <v>0</v>
      </c>
      <c r="G31" s="19" t="s">
        <v>98</v>
      </c>
      <c r="H31" s="19"/>
      <c r="I31" s="19"/>
      <c r="J31" s="19"/>
      <c r="K31" s="17">
        <f>IF(D31=0,0,IF(AND(ISNUMBER(E31),E31&gt;=0,ISNUMBER(F31),F31&gt;=0,F31&lt;=1),E31*(1-F31)*(1+Settings!$B$5),0))</f>
        <v>31.2</v>
      </c>
      <c r="L31" s="17">
        <f>IFERROR(INDEX(Settings!$B$10:$B$12,MATCH(C31,{"Core","Practice","Delivery"},0)),0)</f>
        <v>0.51</v>
      </c>
      <c r="M31" s="16" t="str">
        <f>IF(D31=0,"Skipped",IF(Settings!$B$15&lt;&gt;"Ready","Invalid settings",IF(OR(D31&lt;&gt;1,COUNTIF($A$2:$A$49,A31)&lt;&gt;1,NOT(ISNUMBER(E31)),E31&lt;0,NOT(ISNUMBER(F31)),F31&lt;0,F31&gt;1),"Invalid input",IF(F31=1,"Complete",IF(OR(L31&lt;=0,COUNTIFS($C$2:C30,C31,$M$2:M30,"Blocked*")+COUNTIFS($C$2:C30,C31,$M$2:M30,"Invalid*")&gt;0,AND(G31&lt;&gt;"",OR(IFERROR(INDEX($D$2:$D$30,MATCH(G31,$A$2:$A$30,0)),0)&lt;&gt;1,IFERROR(INDEX($M$2:$M$30,MATCH(G31,$A$2:$A$30,0)),"Blocked")="Blocked",LEFT(IFERROR(INDEX($M$2:$M$30,MATCH(G31,$A$2:$A$30,0)),"Invalid"),7)="Invalid")),AND(H31&lt;&gt;"",OR(IFERROR(INDEX($D$2:$D$30,MATCH(H31,$A$2:$A$30,0)),0)&lt;&gt;1,IFERROR(INDEX($M$2:$M$30,MATCH(H31,$A$2:$A$30,0)),"Blocked")="Blocked",LEFT(IFERROR(INDEX($M$2:$M$30,MATCH(H31,$A$2:$A$30,0)),"Invalid"),7)="Invalid")),AND(I31&lt;&gt;"",OR(IFERROR(INDEX($D$2:$D$30,MATCH(I31,$A$2:$A$30,0)),0)&lt;&gt;1,IFERROR(INDEX($M$2:$M$30,MATCH(I31,$A$2:$A$30,0)),"Blocked")="Blocked",LEFT(IFERROR(INDEX($M$2:$M$30,MATCH(I31,$A$2:$A$30,0)),"Invalid"),7)="Invalid")),AND(J31&lt;&gt;"",OR(IFERROR(INDEX($D$2:$D$30,MATCH(J31,$A$2:$A$30,0)),0)&lt;&gt;1,IFERROR(INDEX($M$2:$M$30,MATCH(J31,$A$2:$A$30,0)),"Blocked")="Blocked",LEFT(IFERROR(INDEX($M$2:$M$30,MATCH(J31,$A$2:$A$30,0)),"Invalid"),7)="Invalid"))),"Blocked","Planned")))))</f>
        <v>Planned</v>
      </c>
      <c r="N31" s="17">
        <f>IF(M31="Skipped",O30,IF(OR(M31="Planned",M31="Complete"),MAX(O30,IF(G31="",0,IFERROR(INDEX($O$2:$O$30,MATCH(G31,$A$2:$A$30,0)),0)),IF(H31="",0,IFERROR(INDEX($O$2:$O$30,MATCH(H31,$A$2:$A$30,0)),0)),IF(I31="",0,IFERROR(INDEX($O$2:$O$30,MATCH(I31,$A$2:$A$30,0)),0)),IF(J31="",0,IFERROR(INDEX($O$2:$O$30,MATCH(J31,$A$2:$A$30,0)),0))),""))</f>
        <v>271.37254901960785</v>
      </c>
      <c r="O31" s="17">
        <f t="shared" si="0"/>
        <v>332.54901960784315</v>
      </c>
      <c r="P31" s="18">
        <f>IF(AND(M31="Planned",K31&gt;0),WORKDAY.INTL(Settings!$B$2-1,INT(N31+0.000000001)+1,Settings!$B$4,Holidays!$A$2:$A$101),"")</f>
        <v>46636</v>
      </c>
      <c r="Q31" s="18">
        <f>IF(AND(M31="Planned",K31&gt;0),WORKDAY.INTL(Settings!$B$2-1,MAX(1,ROUNDUP(O31-0.000000001,0)),Settings!$B$4,Holidays!$A$2:$A$101),"")</f>
        <v>46707</v>
      </c>
      <c r="R31" s="17">
        <f t="shared" si="1"/>
        <v>61.176470588235304</v>
      </c>
      <c r="S31" s="4" t="s">
        <v>165</v>
      </c>
      <c r="T31" s="4" t="s">
        <v>61</v>
      </c>
    </row>
    <row r="32" spans="1:20" ht="56" customHeight="1" x14ac:dyDescent="0.35">
      <c r="A32" s="4" t="s">
        <v>166</v>
      </c>
      <c r="B32" s="4" t="s">
        <v>167</v>
      </c>
      <c r="C32" s="2" t="s">
        <v>152</v>
      </c>
      <c r="D32" s="19">
        <f>1</f>
        <v>1</v>
      </c>
      <c r="E32" s="19">
        <f>22</f>
        <v>22</v>
      </c>
      <c r="F32" s="20">
        <f>0</f>
        <v>0</v>
      </c>
      <c r="G32" s="19" t="s">
        <v>159</v>
      </c>
      <c r="H32" s="19" t="s">
        <v>70</v>
      </c>
      <c r="I32" s="19"/>
      <c r="J32" s="19"/>
      <c r="K32" s="17">
        <f>IF(D32=0,0,IF(AND(ISNUMBER(E32),E32&gt;=0,ISNUMBER(F32),F32&gt;=0,F32&lt;=1),E32*(1-F32)*(1+Settings!$B$5),0))</f>
        <v>26.4</v>
      </c>
      <c r="L32" s="17">
        <f>IFERROR(INDEX(Settings!$B$10:$B$12,MATCH(C32,{"Core","Practice","Delivery"},0)),0)</f>
        <v>0.51</v>
      </c>
      <c r="M32" s="16" t="str">
        <f>IF(D32=0,"Skipped",IF(Settings!$B$15&lt;&gt;"Ready","Invalid settings",IF(OR(D32&lt;&gt;1,COUNTIF($A$2:$A$49,A32)&lt;&gt;1,NOT(ISNUMBER(E32)),E32&lt;0,NOT(ISNUMBER(F32)),F32&lt;0,F32&gt;1),"Invalid input",IF(F32=1,"Complete",IF(OR(L32&lt;=0,COUNTIFS($C$2:C31,C32,$M$2:M31,"Blocked*")+COUNTIFS($C$2:C31,C32,$M$2:M31,"Invalid*")&gt;0,AND(G32&lt;&gt;"",OR(IFERROR(INDEX($D$2:$D$31,MATCH(G32,$A$2:$A$31,0)),0)&lt;&gt;1,IFERROR(INDEX($M$2:$M$31,MATCH(G32,$A$2:$A$31,0)),"Blocked")="Blocked",LEFT(IFERROR(INDEX($M$2:$M$31,MATCH(G32,$A$2:$A$31,0)),"Invalid"),7)="Invalid")),AND(H32&lt;&gt;"",OR(IFERROR(INDEX($D$2:$D$31,MATCH(H32,$A$2:$A$31,0)),0)&lt;&gt;1,IFERROR(INDEX($M$2:$M$31,MATCH(H32,$A$2:$A$31,0)),"Blocked")="Blocked",LEFT(IFERROR(INDEX($M$2:$M$31,MATCH(H32,$A$2:$A$31,0)),"Invalid"),7)="Invalid")),AND(I32&lt;&gt;"",OR(IFERROR(INDEX($D$2:$D$31,MATCH(I32,$A$2:$A$31,0)),0)&lt;&gt;1,IFERROR(INDEX($M$2:$M$31,MATCH(I32,$A$2:$A$31,0)),"Blocked")="Blocked",LEFT(IFERROR(INDEX($M$2:$M$31,MATCH(I32,$A$2:$A$31,0)),"Invalid"),7)="Invalid")),AND(J32&lt;&gt;"",OR(IFERROR(INDEX($D$2:$D$31,MATCH(J32,$A$2:$A$31,0)),0)&lt;&gt;1,IFERROR(INDEX($M$2:$M$31,MATCH(J32,$A$2:$A$31,0)),"Blocked")="Blocked",LEFT(IFERROR(INDEX($M$2:$M$31,MATCH(J32,$A$2:$A$31,0)),"Invalid"),7)="Invalid"))),"Blocked","Planned")))))</f>
        <v>Planned</v>
      </c>
      <c r="N32" s="17">
        <f>IF(M32="Skipped",O31,IF(OR(M32="Planned",M32="Complete"),MAX(O31,IF(G32="",0,IFERROR(INDEX($O$2:$O$31,MATCH(G32,$A$2:$A$31,0)),0)),IF(H32="",0,IFERROR(INDEX($O$2:$O$31,MATCH(H32,$A$2:$A$31,0)),0)),IF(I32="",0,IFERROR(INDEX($O$2:$O$31,MATCH(I32,$A$2:$A$31,0)),0)),IF(J32="",0,IFERROR(INDEX($O$2:$O$31,MATCH(J32,$A$2:$A$31,0)),0))),""))</f>
        <v>332.54901960784315</v>
      </c>
      <c r="O32" s="17">
        <f t="shared" si="0"/>
        <v>384.31372549019608</v>
      </c>
      <c r="P32" s="18">
        <f>IF(AND(M32="Planned",K32&gt;0),WORKDAY.INTL(Settings!$B$2-1,INT(N32+0.000000001)+1,Settings!$B$4,Holidays!$A$2:$A$101),"")</f>
        <v>46707</v>
      </c>
      <c r="Q32" s="18">
        <f>IF(AND(M32="Planned",K32&gt;0),WORKDAY.INTL(Settings!$B$2-1,MAX(1,ROUNDUP(O32-0.000000001,0)),Settings!$B$4,Holidays!$A$2:$A$101),"")</f>
        <v>46767</v>
      </c>
      <c r="R32" s="17">
        <f t="shared" si="1"/>
        <v>51.764705882352928</v>
      </c>
      <c r="S32" s="4" t="s">
        <v>168</v>
      </c>
      <c r="T32" s="4" t="s">
        <v>169</v>
      </c>
    </row>
    <row r="33" spans="1:20" ht="56" customHeight="1" x14ac:dyDescent="0.35">
      <c r="A33" s="4" t="s">
        <v>170</v>
      </c>
      <c r="B33" s="4" t="s">
        <v>171</v>
      </c>
      <c r="C33" s="2" t="s">
        <v>152</v>
      </c>
      <c r="D33" s="19">
        <f>1</f>
        <v>1</v>
      </c>
      <c r="E33" s="19">
        <f>20</f>
        <v>20</v>
      </c>
      <c r="F33" s="20">
        <f>0</f>
        <v>0</v>
      </c>
      <c r="G33" s="19" t="s">
        <v>155</v>
      </c>
      <c r="H33" s="19" t="s">
        <v>163</v>
      </c>
      <c r="I33" s="19" t="s">
        <v>166</v>
      </c>
      <c r="J33" s="19"/>
      <c r="K33" s="17">
        <f>IF(D33=0,0,IF(AND(ISNUMBER(E33),E33&gt;=0,ISNUMBER(F33),F33&gt;=0,F33&lt;=1),E33*(1-F33)*(1+Settings!$B$5),0))</f>
        <v>24</v>
      </c>
      <c r="L33" s="17">
        <f>IFERROR(INDEX(Settings!$B$10:$B$12,MATCH(C33,{"Core","Practice","Delivery"},0)),0)</f>
        <v>0.51</v>
      </c>
      <c r="M33" s="16" t="str">
        <f>IF(D33=0,"Skipped",IF(Settings!$B$15&lt;&gt;"Ready","Invalid settings",IF(OR(D33&lt;&gt;1,COUNTIF($A$2:$A$49,A33)&lt;&gt;1,NOT(ISNUMBER(E33)),E33&lt;0,NOT(ISNUMBER(F33)),F33&lt;0,F33&gt;1),"Invalid input",IF(F33=1,"Complete",IF(OR(L33&lt;=0,COUNTIFS($C$2:C32,C33,$M$2:M32,"Blocked*")+COUNTIFS($C$2:C32,C33,$M$2:M32,"Invalid*")&gt;0,AND(G33&lt;&gt;"",OR(IFERROR(INDEX($D$2:$D$32,MATCH(G33,$A$2:$A$32,0)),0)&lt;&gt;1,IFERROR(INDEX($M$2:$M$32,MATCH(G33,$A$2:$A$32,0)),"Blocked")="Blocked",LEFT(IFERROR(INDEX($M$2:$M$32,MATCH(G33,$A$2:$A$32,0)),"Invalid"),7)="Invalid")),AND(H33&lt;&gt;"",OR(IFERROR(INDEX($D$2:$D$32,MATCH(H33,$A$2:$A$32,0)),0)&lt;&gt;1,IFERROR(INDEX($M$2:$M$32,MATCH(H33,$A$2:$A$32,0)),"Blocked")="Blocked",LEFT(IFERROR(INDEX($M$2:$M$32,MATCH(H33,$A$2:$A$32,0)),"Invalid"),7)="Invalid")),AND(I33&lt;&gt;"",OR(IFERROR(INDEX($D$2:$D$32,MATCH(I33,$A$2:$A$32,0)),0)&lt;&gt;1,IFERROR(INDEX($M$2:$M$32,MATCH(I33,$A$2:$A$32,0)),"Blocked")="Blocked",LEFT(IFERROR(INDEX($M$2:$M$32,MATCH(I33,$A$2:$A$32,0)),"Invalid"),7)="Invalid")),AND(J33&lt;&gt;"",OR(IFERROR(INDEX($D$2:$D$32,MATCH(J33,$A$2:$A$32,0)),0)&lt;&gt;1,IFERROR(INDEX($M$2:$M$32,MATCH(J33,$A$2:$A$32,0)),"Blocked")="Blocked",LEFT(IFERROR(INDEX($M$2:$M$32,MATCH(J33,$A$2:$A$32,0)),"Invalid"),7)="Invalid"))),"Blocked","Planned")))))</f>
        <v>Planned</v>
      </c>
      <c r="N33" s="17">
        <f>IF(M33="Skipped",O32,IF(OR(M33="Planned",M33="Complete"),MAX(O32,IF(G33="",0,IFERROR(INDEX($O$2:$O$32,MATCH(G33,$A$2:$A$32,0)),0)),IF(H33="",0,IFERROR(INDEX($O$2:$O$32,MATCH(H33,$A$2:$A$32,0)),0)),IF(I33="",0,IFERROR(INDEX($O$2:$O$32,MATCH(I33,$A$2:$A$32,0)),0)),IF(J33="",0,IFERROR(INDEX($O$2:$O$32,MATCH(J33,$A$2:$A$32,0)),0))),""))</f>
        <v>384.31372549019608</v>
      </c>
      <c r="O33" s="17">
        <f t="shared" si="0"/>
        <v>431.37254901960785</v>
      </c>
      <c r="P33" s="18">
        <f>IF(AND(M33="Planned",K33&gt;0),WORKDAY.INTL(Settings!$B$2-1,INT(N33+0.000000001)+1,Settings!$B$4,Holidays!$A$2:$A$101),"")</f>
        <v>46767</v>
      </c>
      <c r="Q33" s="18">
        <f>IF(AND(M33="Planned",K33&gt;0),WORKDAY.INTL(Settings!$B$2-1,MAX(1,ROUNDUP(O33-0.000000001,0)),Settings!$B$4,Holidays!$A$2:$A$101),"")</f>
        <v>46822</v>
      </c>
      <c r="R33" s="17">
        <f t="shared" si="1"/>
        <v>47.058823529411768</v>
      </c>
      <c r="S33" s="4" t="s">
        <v>172</v>
      </c>
      <c r="T33" s="4" t="s">
        <v>77</v>
      </c>
    </row>
    <row r="34" spans="1:20" ht="56" customHeight="1" x14ac:dyDescent="0.35">
      <c r="A34" s="4" t="s">
        <v>173</v>
      </c>
      <c r="B34" s="4" t="s">
        <v>174</v>
      </c>
      <c r="C34" s="2" t="s">
        <v>175</v>
      </c>
      <c r="D34" s="19">
        <f>1</f>
        <v>1</v>
      </c>
      <c r="E34" s="19">
        <f>10</f>
        <v>10</v>
      </c>
      <c r="F34" s="20">
        <f>0</f>
        <v>0</v>
      </c>
      <c r="G34" s="19" t="s">
        <v>53</v>
      </c>
      <c r="H34" s="19"/>
      <c r="I34" s="19"/>
      <c r="J34" s="19"/>
      <c r="K34" s="17">
        <f>IF(D34=0,0,IF(AND(ISNUMBER(E34),E34&gt;=0,ISNUMBER(F34),F34&gt;=0,F34&lt;=1),E34*(1-F34)*(1+Settings!$B$5),0))</f>
        <v>12</v>
      </c>
      <c r="L34" s="17">
        <f>IFERROR(INDEX(Settings!$B$10:$B$12,MATCH(C34,{"Core","Practice","Delivery"},0)),0)</f>
        <v>0.51</v>
      </c>
      <c r="M34" s="16" t="str">
        <f>IF(D34=0,"Skipped",IF(Settings!$B$15&lt;&gt;"Ready","Invalid settings",IF(OR(D34&lt;&gt;1,COUNTIF($A$2:$A$49,A34)&lt;&gt;1,NOT(ISNUMBER(E34)),E34&lt;0,NOT(ISNUMBER(F34)),F34&lt;0,F34&gt;1),"Invalid input",IF(F34=1,"Complete",IF(OR(L34&lt;=0,COUNTIFS($C$2:C33,C34,$M$2:M33,"Blocked*")+COUNTIFS($C$2:C33,C34,$M$2:M33,"Invalid*")&gt;0,AND(G34&lt;&gt;"",OR(IFERROR(INDEX($D$2:$D$33,MATCH(G34,$A$2:$A$33,0)),0)&lt;&gt;1,IFERROR(INDEX($M$2:$M$33,MATCH(G34,$A$2:$A$33,0)),"Blocked")="Blocked",LEFT(IFERROR(INDEX($M$2:$M$33,MATCH(G34,$A$2:$A$33,0)),"Invalid"),7)="Invalid")),AND(H34&lt;&gt;"",OR(IFERROR(INDEX($D$2:$D$33,MATCH(H34,$A$2:$A$33,0)),0)&lt;&gt;1,IFERROR(INDEX($M$2:$M$33,MATCH(H34,$A$2:$A$33,0)),"Blocked")="Blocked",LEFT(IFERROR(INDEX($M$2:$M$33,MATCH(H34,$A$2:$A$33,0)),"Invalid"),7)="Invalid")),AND(I34&lt;&gt;"",OR(IFERROR(INDEX($D$2:$D$33,MATCH(I34,$A$2:$A$33,0)),0)&lt;&gt;1,IFERROR(INDEX($M$2:$M$33,MATCH(I34,$A$2:$A$33,0)),"Blocked")="Blocked",LEFT(IFERROR(INDEX($M$2:$M$33,MATCH(I34,$A$2:$A$33,0)),"Invalid"),7)="Invalid")),AND(J34&lt;&gt;"",OR(IFERROR(INDEX($D$2:$D$33,MATCH(J34,$A$2:$A$33,0)),0)&lt;&gt;1,IFERROR(INDEX($M$2:$M$33,MATCH(J34,$A$2:$A$33,0)),"Blocked")="Blocked",LEFT(IFERROR(INDEX($M$2:$M$33,MATCH(J34,$A$2:$A$33,0)),"Invalid"),7)="Invalid"))),"Blocked","Planned")))))</f>
        <v>Planned</v>
      </c>
      <c r="N34" s="17">
        <f>IF(M34="Skipped",0,IF(OR(M34="Planned",M34="Complete"),MAX(0,IF(G34="",0,IFERROR(INDEX($O$2:$O$33,MATCH(G34,$A$2:$A$33,0)),0)),IF(H34="",0,IFERROR(INDEX($O$2:$O$33,MATCH(H34,$A$2:$A$33,0)),0)),IF(I34="",0,IFERROR(INDEX($O$2:$O$33,MATCH(I34,$A$2:$A$33,0)),0)),IF(J34="",0,IFERROR(INDEX($O$2:$O$33,MATCH(J34,$A$2:$A$33,0)),0))),""))</f>
        <v>3.1372549019607847</v>
      </c>
      <c r="O34" s="17">
        <f t="shared" si="0"/>
        <v>26.666666666666664</v>
      </c>
      <c r="P34" s="18">
        <f>IF(AND(M34="Planned",K34&gt;0),WORKDAY.INTL(Settings!$B$2-1,INT(N34+0.000000001)+1,Settings!$B$4,Holidays!$A$2:$A$101),"")</f>
        <v>46323</v>
      </c>
      <c r="Q34" s="18">
        <f>IF(AND(M34="Planned",K34&gt;0),WORKDAY.INTL(Settings!$B$2-1,MAX(1,ROUNDUP(O34-0.000000001,0)),Settings!$B$4,Holidays!$A$2:$A$101),"")</f>
        <v>46350</v>
      </c>
      <c r="R34" s="17">
        <f t="shared" si="1"/>
        <v>23.52941176470588</v>
      </c>
      <c r="S34" s="4" t="s">
        <v>176</v>
      </c>
      <c r="T34" s="4" t="s">
        <v>177</v>
      </c>
    </row>
    <row r="35" spans="1:20" ht="56" customHeight="1" x14ac:dyDescent="0.35">
      <c r="A35" s="4" t="s">
        <v>178</v>
      </c>
      <c r="B35" s="4" t="s">
        <v>179</v>
      </c>
      <c r="C35" s="2" t="s">
        <v>175</v>
      </c>
      <c r="D35" s="19">
        <f>1</f>
        <v>1</v>
      </c>
      <c r="E35" s="19">
        <f>12</f>
        <v>12</v>
      </c>
      <c r="F35" s="20">
        <f>0</f>
        <v>0</v>
      </c>
      <c r="G35" s="19" t="s">
        <v>173</v>
      </c>
      <c r="H35" s="19"/>
      <c r="I35" s="19"/>
      <c r="J35" s="19"/>
      <c r="K35" s="17">
        <f>IF(D35=0,0,IF(AND(ISNUMBER(E35),E35&gt;=0,ISNUMBER(F35),F35&gt;=0,F35&lt;=1),E35*(1-F35)*(1+Settings!$B$5),0))</f>
        <v>14.399999999999999</v>
      </c>
      <c r="L35" s="17">
        <f>IFERROR(INDEX(Settings!$B$10:$B$12,MATCH(C35,{"Core","Practice","Delivery"},0)),0)</f>
        <v>0.51</v>
      </c>
      <c r="M35" s="16" t="str">
        <f>IF(D35=0,"Skipped",IF(Settings!$B$15&lt;&gt;"Ready","Invalid settings",IF(OR(D35&lt;&gt;1,COUNTIF($A$2:$A$49,A35)&lt;&gt;1,NOT(ISNUMBER(E35)),E35&lt;0,NOT(ISNUMBER(F35)),F35&lt;0,F35&gt;1),"Invalid input",IF(F35=1,"Complete",IF(OR(L35&lt;=0,COUNTIFS($C$2:C34,C35,$M$2:M34,"Blocked*")+COUNTIFS($C$2:C34,C35,$M$2:M34,"Invalid*")&gt;0,AND(G35&lt;&gt;"",OR(IFERROR(INDEX($D$2:$D$34,MATCH(G35,$A$2:$A$34,0)),0)&lt;&gt;1,IFERROR(INDEX($M$2:$M$34,MATCH(G35,$A$2:$A$34,0)),"Blocked")="Blocked",LEFT(IFERROR(INDEX($M$2:$M$34,MATCH(G35,$A$2:$A$34,0)),"Invalid"),7)="Invalid")),AND(H35&lt;&gt;"",OR(IFERROR(INDEX($D$2:$D$34,MATCH(H35,$A$2:$A$34,0)),0)&lt;&gt;1,IFERROR(INDEX($M$2:$M$34,MATCH(H35,$A$2:$A$34,0)),"Blocked")="Blocked",LEFT(IFERROR(INDEX($M$2:$M$34,MATCH(H35,$A$2:$A$34,0)),"Invalid"),7)="Invalid")),AND(I35&lt;&gt;"",OR(IFERROR(INDEX($D$2:$D$34,MATCH(I35,$A$2:$A$34,0)),0)&lt;&gt;1,IFERROR(INDEX($M$2:$M$34,MATCH(I35,$A$2:$A$34,0)),"Blocked")="Blocked",LEFT(IFERROR(INDEX($M$2:$M$34,MATCH(I35,$A$2:$A$34,0)),"Invalid"),7)="Invalid")),AND(J35&lt;&gt;"",OR(IFERROR(INDEX($D$2:$D$34,MATCH(J35,$A$2:$A$34,0)),0)&lt;&gt;1,IFERROR(INDEX($M$2:$M$34,MATCH(J35,$A$2:$A$34,0)),"Blocked")="Blocked",LEFT(IFERROR(INDEX($M$2:$M$34,MATCH(J35,$A$2:$A$34,0)),"Invalid"),7)="Invalid"))),"Blocked","Planned")))))</f>
        <v>Planned</v>
      </c>
      <c r="N35" s="17">
        <f>IF(M35="Skipped",O34,IF(OR(M35="Planned",M35="Complete"),MAX(O34,IF(G35="",0,IFERROR(INDEX($O$2:$O$34,MATCH(G35,$A$2:$A$34,0)),0)),IF(H35="",0,IFERROR(INDEX($O$2:$O$34,MATCH(H35,$A$2:$A$34,0)),0)),IF(I35="",0,IFERROR(INDEX($O$2:$O$34,MATCH(I35,$A$2:$A$34,0)),0)),IF(J35="",0,IFERROR(INDEX($O$2:$O$34,MATCH(J35,$A$2:$A$34,0)),0))),""))</f>
        <v>26.666666666666664</v>
      </c>
      <c r="O35" s="17">
        <f t="shared" si="0"/>
        <v>54.901960784313715</v>
      </c>
      <c r="P35" s="18">
        <f>IF(AND(M35="Planned",K35&gt;0),WORKDAY.INTL(Settings!$B$2-1,INT(N35+0.000000001)+1,Settings!$B$4,Holidays!$A$2:$A$101),"")</f>
        <v>46350</v>
      </c>
      <c r="Q35" s="18">
        <f>IF(AND(M35="Planned",K35&gt;0),WORKDAY.INTL(Settings!$B$2-1,MAX(1,ROUNDUP(O35-0.000000001,0)),Settings!$B$4,Holidays!$A$2:$A$101),"")</f>
        <v>46382</v>
      </c>
      <c r="R35" s="17">
        <f t="shared" si="1"/>
        <v>28.235294117647051</v>
      </c>
      <c r="S35" s="4" t="s">
        <v>180</v>
      </c>
      <c r="T35" s="4" t="s">
        <v>57</v>
      </c>
    </row>
    <row r="36" spans="1:20" ht="56" customHeight="1" x14ac:dyDescent="0.35">
      <c r="A36" s="4" t="s">
        <v>181</v>
      </c>
      <c r="B36" s="4" t="s">
        <v>182</v>
      </c>
      <c r="C36" s="2" t="s">
        <v>175</v>
      </c>
      <c r="D36" s="19">
        <f>1</f>
        <v>1</v>
      </c>
      <c r="E36" s="19">
        <f>12</f>
        <v>12</v>
      </c>
      <c r="F36" s="20">
        <f>0</f>
        <v>0</v>
      </c>
      <c r="G36" s="19" t="s">
        <v>178</v>
      </c>
      <c r="H36" s="19"/>
      <c r="I36" s="19"/>
      <c r="J36" s="19"/>
      <c r="K36" s="17">
        <f>IF(D36=0,0,IF(AND(ISNUMBER(E36),E36&gt;=0,ISNUMBER(F36),F36&gt;=0,F36&lt;=1),E36*(1-F36)*(1+Settings!$B$5),0))</f>
        <v>14.399999999999999</v>
      </c>
      <c r="L36" s="17">
        <f>IFERROR(INDEX(Settings!$B$10:$B$12,MATCH(C36,{"Core","Practice","Delivery"},0)),0)</f>
        <v>0.51</v>
      </c>
      <c r="M36" s="16" t="str">
        <f>IF(D36=0,"Skipped",IF(Settings!$B$15&lt;&gt;"Ready","Invalid settings",IF(OR(D36&lt;&gt;1,COUNTIF($A$2:$A$49,A36)&lt;&gt;1,NOT(ISNUMBER(E36)),E36&lt;0,NOT(ISNUMBER(F36)),F36&lt;0,F36&gt;1),"Invalid input",IF(F36=1,"Complete",IF(OR(L36&lt;=0,COUNTIFS($C$2:C35,C36,$M$2:M35,"Blocked*")+COUNTIFS($C$2:C35,C36,$M$2:M35,"Invalid*")&gt;0,AND(G36&lt;&gt;"",OR(IFERROR(INDEX($D$2:$D$35,MATCH(G36,$A$2:$A$35,0)),0)&lt;&gt;1,IFERROR(INDEX($M$2:$M$35,MATCH(G36,$A$2:$A$35,0)),"Blocked")="Blocked",LEFT(IFERROR(INDEX($M$2:$M$35,MATCH(G36,$A$2:$A$35,0)),"Invalid"),7)="Invalid")),AND(H36&lt;&gt;"",OR(IFERROR(INDEX($D$2:$D$35,MATCH(H36,$A$2:$A$35,0)),0)&lt;&gt;1,IFERROR(INDEX($M$2:$M$35,MATCH(H36,$A$2:$A$35,0)),"Blocked")="Blocked",LEFT(IFERROR(INDEX($M$2:$M$35,MATCH(H36,$A$2:$A$35,0)),"Invalid"),7)="Invalid")),AND(I36&lt;&gt;"",OR(IFERROR(INDEX($D$2:$D$35,MATCH(I36,$A$2:$A$35,0)),0)&lt;&gt;1,IFERROR(INDEX($M$2:$M$35,MATCH(I36,$A$2:$A$35,0)),"Blocked")="Blocked",LEFT(IFERROR(INDEX($M$2:$M$35,MATCH(I36,$A$2:$A$35,0)),"Invalid"),7)="Invalid")),AND(J36&lt;&gt;"",OR(IFERROR(INDEX($D$2:$D$35,MATCH(J36,$A$2:$A$35,0)),0)&lt;&gt;1,IFERROR(INDEX($M$2:$M$35,MATCH(J36,$A$2:$A$35,0)),"Blocked")="Blocked",LEFT(IFERROR(INDEX($M$2:$M$35,MATCH(J36,$A$2:$A$35,0)),"Invalid"),7)="Invalid"))),"Blocked","Planned")))))</f>
        <v>Planned</v>
      </c>
      <c r="N36" s="17">
        <f>IF(M36="Skipped",O35,IF(OR(M36="Planned",M36="Complete"),MAX(O35,IF(G36="",0,IFERROR(INDEX($O$2:$O$35,MATCH(G36,$A$2:$A$35,0)),0)),IF(H36="",0,IFERROR(INDEX($O$2:$O$35,MATCH(H36,$A$2:$A$35,0)),0)),IF(I36="",0,IFERROR(INDEX($O$2:$O$35,MATCH(I36,$A$2:$A$35,0)),0)),IF(J36="",0,IFERROR(INDEX($O$2:$O$35,MATCH(J36,$A$2:$A$35,0)),0))),""))</f>
        <v>54.901960784313715</v>
      </c>
      <c r="O36" s="17">
        <f t="shared" si="0"/>
        <v>83.137254901960773</v>
      </c>
      <c r="P36" s="18">
        <f>IF(AND(M36="Planned",K36&gt;0),WORKDAY.INTL(Settings!$B$2-1,INT(N36+0.000000001)+1,Settings!$B$4,Holidays!$A$2:$A$101),"")</f>
        <v>46382</v>
      </c>
      <c r="Q36" s="18">
        <f>IF(AND(M36="Planned",K36&gt;0),WORKDAY.INTL(Settings!$B$2-1,MAX(1,ROUNDUP(O36-0.000000001,0)),Settings!$B$4,Holidays!$A$2:$A$101),"")</f>
        <v>46416</v>
      </c>
      <c r="R36" s="17">
        <f t="shared" si="1"/>
        <v>28.235294117647058</v>
      </c>
      <c r="S36" s="4" t="s">
        <v>183</v>
      </c>
      <c r="T36" s="4" t="s">
        <v>184</v>
      </c>
    </row>
    <row r="37" spans="1:20" ht="56" customHeight="1" x14ac:dyDescent="0.35">
      <c r="A37" s="4" t="s">
        <v>185</v>
      </c>
      <c r="B37" s="4" t="s">
        <v>186</v>
      </c>
      <c r="C37" s="2" t="s">
        <v>175</v>
      </c>
      <c r="D37" s="19">
        <f>1</f>
        <v>1</v>
      </c>
      <c r="E37" s="19">
        <f>14</f>
        <v>14</v>
      </c>
      <c r="F37" s="20">
        <f>0</f>
        <v>0</v>
      </c>
      <c r="G37" s="19" t="s">
        <v>82</v>
      </c>
      <c r="H37" s="19" t="s">
        <v>181</v>
      </c>
      <c r="I37" s="19"/>
      <c r="J37" s="19"/>
      <c r="K37" s="17">
        <f>IF(D37=0,0,IF(AND(ISNUMBER(E37),E37&gt;=0,ISNUMBER(F37),F37&gt;=0,F37&lt;=1),E37*(1-F37)*(1+Settings!$B$5),0))</f>
        <v>16.8</v>
      </c>
      <c r="L37" s="17">
        <f>IFERROR(INDEX(Settings!$B$10:$B$12,MATCH(C37,{"Core","Practice","Delivery"},0)),0)</f>
        <v>0.51</v>
      </c>
      <c r="M37" s="16" t="str">
        <f>IF(D37=0,"Skipped",IF(Settings!$B$15&lt;&gt;"Ready","Invalid settings",IF(OR(D37&lt;&gt;1,COUNTIF($A$2:$A$49,A37)&lt;&gt;1,NOT(ISNUMBER(E37)),E37&lt;0,NOT(ISNUMBER(F37)),F37&lt;0,F37&gt;1),"Invalid input",IF(F37=1,"Complete",IF(OR(L37&lt;=0,COUNTIFS($C$2:C36,C37,$M$2:M36,"Blocked*")+COUNTIFS($C$2:C36,C37,$M$2:M36,"Invalid*")&gt;0,AND(G37&lt;&gt;"",OR(IFERROR(INDEX($D$2:$D$36,MATCH(G37,$A$2:$A$36,0)),0)&lt;&gt;1,IFERROR(INDEX($M$2:$M$36,MATCH(G37,$A$2:$A$36,0)),"Blocked")="Blocked",LEFT(IFERROR(INDEX($M$2:$M$36,MATCH(G37,$A$2:$A$36,0)),"Invalid"),7)="Invalid")),AND(H37&lt;&gt;"",OR(IFERROR(INDEX($D$2:$D$36,MATCH(H37,$A$2:$A$36,0)),0)&lt;&gt;1,IFERROR(INDEX($M$2:$M$36,MATCH(H37,$A$2:$A$36,0)),"Blocked")="Blocked",LEFT(IFERROR(INDEX($M$2:$M$36,MATCH(H37,$A$2:$A$36,0)),"Invalid"),7)="Invalid")),AND(I37&lt;&gt;"",OR(IFERROR(INDEX($D$2:$D$36,MATCH(I37,$A$2:$A$36,0)),0)&lt;&gt;1,IFERROR(INDEX($M$2:$M$36,MATCH(I37,$A$2:$A$36,0)),"Blocked")="Blocked",LEFT(IFERROR(INDEX($M$2:$M$36,MATCH(I37,$A$2:$A$36,0)),"Invalid"),7)="Invalid")),AND(J37&lt;&gt;"",OR(IFERROR(INDEX($D$2:$D$36,MATCH(J37,$A$2:$A$36,0)),0)&lt;&gt;1,IFERROR(INDEX($M$2:$M$36,MATCH(J37,$A$2:$A$36,0)),"Blocked")="Blocked",LEFT(IFERROR(INDEX($M$2:$M$36,MATCH(J37,$A$2:$A$36,0)),"Invalid"),7)="Invalid"))),"Blocked","Planned")))))</f>
        <v>Planned</v>
      </c>
      <c r="N37" s="17">
        <f>IF(M37="Skipped",O36,IF(OR(M37="Planned",M37="Complete"),MAX(O36,IF(G37="",0,IFERROR(INDEX($O$2:$O$36,MATCH(G37,$A$2:$A$36,0)),0)),IF(H37="",0,IFERROR(INDEX($O$2:$O$36,MATCH(H37,$A$2:$A$36,0)),0)),IF(I37="",0,IFERROR(INDEX($O$2:$O$36,MATCH(I37,$A$2:$A$36,0)),0)),IF(J37="",0,IFERROR(INDEX($O$2:$O$36,MATCH(J37,$A$2:$A$36,0)),0))),""))</f>
        <v>153.72549019607845</v>
      </c>
      <c r="O37" s="17">
        <f t="shared" si="0"/>
        <v>186.66666666666669</v>
      </c>
      <c r="P37" s="18">
        <f>IF(AND(M37="Planned",K37&gt;0),WORKDAY.INTL(Settings!$B$2-1,INT(N37+0.000000001)+1,Settings!$B$4,Holidays!$A$2:$A$101),"")</f>
        <v>46498</v>
      </c>
      <c r="Q37" s="18">
        <f>IF(AND(M37="Planned",K37&gt;0),WORKDAY.INTL(Settings!$B$2-1,MAX(1,ROUNDUP(O37-0.000000001,0)),Settings!$B$4,Holidays!$A$2:$A$101),"")</f>
        <v>46536</v>
      </c>
      <c r="R37" s="17">
        <f t="shared" si="1"/>
        <v>32.941176470588232</v>
      </c>
      <c r="S37" s="4" t="s">
        <v>187</v>
      </c>
      <c r="T37" s="4" t="s">
        <v>77</v>
      </c>
    </row>
    <row r="38" spans="1:20" ht="56" customHeight="1" x14ac:dyDescent="0.35">
      <c r="A38" s="4" t="s">
        <v>188</v>
      </c>
      <c r="B38" s="4" t="s">
        <v>189</v>
      </c>
      <c r="C38" s="2" t="s">
        <v>175</v>
      </c>
      <c r="D38" s="19">
        <f>1</f>
        <v>1</v>
      </c>
      <c r="E38" s="19">
        <f>28</f>
        <v>28</v>
      </c>
      <c r="F38" s="20">
        <f>0</f>
        <v>0</v>
      </c>
      <c r="G38" s="19" t="s">
        <v>78</v>
      </c>
      <c r="H38" s="19" t="s">
        <v>185</v>
      </c>
      <c r="I38" s="19"/>
      <c r="J38" s="19"/>
      <c r="K38" s="17">
        <f>IF(D38=0,0,IF(AND(ISNUMBER(E38),E38&gt;=0,ISNUMBER(F38),F38&gt;=0,F38&lt;=1),E38*(1-F38)*(1+Settings!$B$5),0))</f>
        <v>33.6</v>
      </c>
      <c r="L38" s="17">
        <f>IFERROR(INDEX(Settings!$B$10:$B$12,MATCH(C38,{"Core","Practice","Delivery"},0)),0)</f>
        <v>0.51</v>
      </c>
      <c r="M38" s="16" t="str">
        <f>IF(D38=0,"Skipped",IF(Settings!$B$15&lt;&gt;"Ready","Invalid settings",IF(OR(D38&lt;&gt;1,COUNTIF($A$2:$A$49,A38)&lt;&gt;1,NOT(ISNUMBER(E38)),E38&lt;0,NOT(ISNUMBER(F38)),F38&lt;0,F38&gt;1),"Invalid input",IF(F38=1,"Complete",IF(OR(L38&lt;=0,COUNTIFS($C$2:C37,C38,$M$2:M37,"Blocked*")+COUNTIFS($C$2:C37,C38,$M$2:M37,"Invalid*")&gt;0,AND(G38&lt;&gt;"",OR(IFERROR(INDEX($D$2:$D$37,MATCH(G38,$A$2:$A$37,0)),0)&lt;&gt;1,IFERROR(INDEX($M$2:$M$37,MATCH(G38,$A$2:$A$37,0)),"Blocked")="Blocked",LEFT(IFERROR(INDEX($M$2:$M$37,MATCH(G38,$A$2:$A$37,0)),"Invalid"),7)="Invalid")),AND(H38&lt;&gt;"",OR(IFERROR(INDEX($D$2:$D$37,MATCH(H38,$A$2:$A$37,0)),0)&lt;&gt;1,IFERROR(INDEX($M$2:$M$37,MATCH(H38,$A$2:$A$37,0)),"Blocked")="Blocked",LEFT(IFERROR(INDEX($M$2:$M$37,MATCH(H38,$A$2:$A$37,0)),"Invalid"),7)="Invalid")),AND(I38&lt;&gt;"",OR(IFERROR(INDEX($D$2:$D$37,MATCH(I38,$A$2:$A$37,0)),0)&lt;&gt;1,IFERROR(INDEX($M$2:$M$37,MATCH(I38,$A$2:$A$37,0)),"Blocked")="Blocked",LEFT(IFERROR(INDEX($M$2:$M$37,MATCH(I38,$A$2:$A$37,0)),"Invalid"),7)="Invalid")),AND(J38&lt;&gt;"",OR(IFERROR(INDEX($D$2:$D$37,MATCH(J38,$A$2:$A$37,0)),0)&lt;&gt;1,IFERROR(INDEX($M$2:$M$37,MATCH(J38,$A$2:$A$37,0)),"Blocked")="Blocked",LEFT(IFERROR(INDEX($M$2:$M$37,MATCH(J38,$A$2:$A$37,0)),"Invalid"),7)="Invalid"))),"Blocked","Planned")))))</f>
        <v>Planned</v>
      </c>
      <c r="N38" s="17">
        <f>IF(M38="Skipped",O37,IF(OR(M38="Planned",M38="Complete"),MAX(O37,IF(G38="",0,IFERROR(INDEX($O$2:$O$37,MATCH(G38,$A$2:$A$37,0)),0)),IF(H38="",0,IFERROR(INDEX($O$2:$O$37,MATCH(H38,$A$2:$A$37,0)),0)),IF(I38="",0,IFERROR(INDEX($O$2:$O$37,MATCH(I38,$A$2:$A$37,0)),0)),IF(J38="",0,IFERROR(INDEX($O$2:$O$37,MATCH(J38,$A$2:$A$37,0)),0))),""))</f>
        <v>186.66666666666669</v>
      </c>
      <c r="O38" s="17">
        <f t="shared" si="0"/>
        <v>252.54901960784315</v>
      </c>
      <c r="P38" s="18">
        <f>IF(AND(M38="Planned",K38&gt;0),WORKDAY.INTL(Settings!$B$2-1,INT(N38+0.000000001)+1,Settings!$B$4,Holidays!$A$2:$A$101),"")</f>
        <v>46536</v>
      </c>
      <c r="Q38" s="18">
        <f>IF(AND(M38="Planned",K38&gt;0),WORKDAY.INTL(Settings!$B$2-1,MAX(1,ROUNDUP(O38-0.000000001,0)),Settings!$B$4,Holidays!$A$2:$A$101),"")</f>
        <v>46613</v>
      </c>
      <c r="R38" s="17">
        <f t="shared" si="1"/>
        <v>65.882352941176464</v>
      </c>
      <c r="S38" s="4" t="s">
        <v>190</v>
      </c>
      <c r="T38" s="4" t="s">
        <v>191</v>
      </c>
    </row>
    <row r="39" spans="1:20" ht="56" customHeight="1" x14ac:dyDescent="0.35">
      <c r="A39" s="4" t="s">
        <v>192</v>
      </c>
      <c r="B39" s="4" t="s">
        <v>193</v>
      </c>
      <c r="C39" s="2" t="s">
        <v>175</v>
      </c>
      <c r="D39" s="19">
        <f>1</f>
        <v>1</v>
      </c>
      <c r="E39" s="19">
        <f>24</f>
        <v>24</v>
      </c>
      <c r="F39" s="20">
        <f>0</f>
        <v>0</v>
      </c>
      <c r="G39" s="19" t="s">
        <v>115</v>
      </c>
      <c r="H39" s="19" t="s">
        <v>188</v>
      </c>
      <c r="I39" s="19"/>
      <c r="J39" s="19"/>
      <c r="K39" s="17">
        <f>IF(D39=0,0,IF(AND(ISNUMBER(E39),E39&gt;=0,ISNUMBER(F39),F39&gt;=0,F39&lt;=1),E39*(1-F39)*(1+Settings!$B$5),0))</f>
        <v>28.799999999999997</v>
      </c>
      <c r="L39" s="17">
        <f>IFERROR(INDEX(Settings!$B$10:$B$12,MATCH(C39,{"Core","Practice","Delivery"},0)),0)</f>
        <v>0.51</v>
      </c>
      <c r="M39" s="16" t="str">
        <f>IF(D39=0,"Skipped",IF(Settings!$B$15&lt;&gt;"Ready","Invalid settings",IF(OR(D39&lt;&gt;1,COUNTIF($A$2:$A$49,A39)&lt;&gt;1,NOT(ISNUMBER(E39)),E39&lt;0,NOT(ISNUMBER(F39)),F39&lt;0,F39&gt;1),"Invalid input",IF(F39=1,"Complete",IF(OR(L39&lt;=0,COUNTIFS($C$2:C38,C39,$M$2:M38,"Blocked*")+COUNTIFS($C$2:C38,C39,$M$2:M38,"Invalid*")&gt;0,AND(G39&lt;&gt;"",OR(IFERROR(INDEX($D$2:$D$38,MATCH(G39,$A$2:$A$38,0)),0)&lt;&gt;1,IFERROR(INDEX($M$2:$M$38,MATCH(G39,$A$2:$A$38,0)),"Blocked")="Blocked",LEFT(IFERROR(INDEX($M$2:$M$38,MATCH(G39,$A$2:$A$38,0)),"Invalid"),7)="Invalid")),AND(H39&lt;&gt;"",OR(IFERROR(INDEX($D$2:$D$38,MATCH(H39,$A$2:$A$38,0)),0)&lt;&gt;1,IFERROR(INDEX($M$2:$M$38,MATCH(H39,$A$2:$A$38,0)),"Blocked")="Blocked",LEFT(IFERROR(INDEX($M$2:$M$38,MATCH(H39,$A$2:$A$38,0)),"Invalid"),7)="Invalid")),AND(I39&lt;&gt;"",OR(IFERROR(INDEX($D$2:$D$38,MATCH(I39,$A$2:$A$38,0)),0)&lt;&gt;1,IFERROR(INDEX($M$2:$M$38,MATCH(I39,$A$2:$A$38,0)),"Blocked")="Blocked",LEFT(IFERROR(INDEX($M$2:$M$38,MATCH(I39,$A$2:$A$38,0)),"Invalid"),7)="Invalid")),AND(J39&lt;&gt;"",OR(IFERROR(INDEX($D$2:$D$38,MATCH(J39,$A$2:$A$38,0)),0)&lt;&gt;1,IFERROR(INDEX($M$2:$M$38,MATCH(J39,$A$2:$A$38,0)),"Blocked")="Blocked",LEFT(IFERROR(INDEX($M$2:$M$38,MATCH(J39,$A$2:$A$38,0)),"Invalid"),7)="Invalid"))),"Blocked","Planned")))))</f>
        <v>Planned</v>
      </c>
      <c r="N39" s="17">
        <f>IF(M39="Skipped",O38,IF(OR(M39="Planned",M39="Complete"),MAX(O38,IF(G39="",0,IFERROR(INDEX($O$2:$O$38,MATCH(G39,$A$2:$A$38,0)),0)),IF(H39="",0,IFERROR(INDEX($O$2:$O$38,MATCH(H39,$A$2:$A$38,0)),0)),IF(I39="",0,IFERROR(INDEX($O$2:$O$38,MATCH(I39,$A$2:$A$38,0)),0)),IF(J39="",0,IFERROR(INDEX($O$2:$O$38,MATCH(J39,$A$2:$A$38,0)),0))),""))</f>
        <v>320</v>
      </c>
      <c r="O39" s="17">
        <f t="shared" si="0"/>
        <v>376.47058823529409</v>
      </c>
      <c r="P39" s="18">
        <f>IF(AND(M39="Planned",K39&gt;0),WORKDAY.INTL(Settings!$B$2-1,INT(N39+0.000000001)+1,Settings!$B$4,Holidays!$A$2:$A$101),"")</f>
        <v>46693</v>
      </c>
      <c r="Q39" s="18">
        <f>IF(AND(M39="Planned",K39&gt;0),WORKDAY.INTL(Settings!$B$2-1,MAX(1,ROUNDUP(O39-0.000000001,0)),Settings!$B$4,Holidays!$A$2:$A$101),"")</f>
        <v>46758</v>
      </c>
      <c r="R39" s="17">
        <f t="shared" si="1"/>
        <v>56.470588235294088</v>
      </c>
      <c r="S39" s="4" t="s">
        <v>194</v>
      </c>
      <c r="T39" s="4" t="s">
        <v>118</v>
      </c>
    </row>
    <row r="40" spans="1:20" ht="56" customHeight="1" x14ac:dyDescent="0.35">
      <c r="A40" s="4" t="s">
        <v>195</v>
      </c>
      <c r="B40" s="4" t="s">
        <v>196</v>
      </c>
      <c r="C40" s="2" t="s">
        <v>175</v>
      </c>
      <c r="D40" s="19">
        <f>1</f>
        <v>1</v>
      </c>
      <c r="E40" s="19">
        <f>16</f>
        <v>16</v>
      </c>
      <c r="F40" s="20">
        <f>0</f>
        <v>0</v>
      </c>
      <c r="G40" s="19" t="s">
        <v>127</v>
      </c>
      <c r="H40" s="19" t="s">
        <v>192</v>
      </c>
      <c r="I40" s="19" t="s">
        <v>181</v>
      </c>
      <c r="J40" s="19"/>
      <c r="K40" s="17">
        <f>IF(D40=0,0,IF(AND(ISNUMBER(E40),E40&gt;=0,ISNUMBER(F40),F40&gt;=0,F40&lt;=1),E40*(1-F40)*(1+Settings!$B$5),0))</f>
        <v>19.2</v>
      </c>
      <c r="L40" s="17">
        <f>IFERROR(INDEX(Settings!$B$10:$B$12,MATCH(C40,{"Core","Practice","Delivery"},0)),0)</f>
        <v>0.51</v>
      </c>
      <c r="M40" s="16" t="str">
        <f>IF(D40=0,"Skipped",IF(Settings!$B$15&lt;&gt;"Ready","Invalid settings",IF(OR(D40&lt;&gt;1,COUNTIF($A$2:$A$49,A40)&lt;&gt;1,NOT(ISNUMBER(E40)),E40&lt;0,NOT(ISNUMBER(F40)),F40&lt;0,F40&gt;1),"Invalid input",IF(F40=1,"Complete",IF(OR(L40&lt;=0,COUNTIFS($C$2:C39,C40,$M$2:M39,"Blocked*")+COUNTIFS($C$2:C39,C40,$M$2:M39,"Invalid*")&gt;0,AND(G40&lt;&gt;"",OR(IFERROR(INDEX($D$2:$D$39,MATCH(G40,$A$2:$A$39,0)),0)&lt;&gt;1,IFERROR(INDEX($M$2:$M$39,MATCH(G40,$A$2:$A$39,0)),"Blocked")="Blocked",LEFT(IFERROR(INDEX($M$2:$M$39,MATCH(G40,$A$2:$A$39,0)),"Invalid"),7)="Invalid")),AND(H40&lt;&gt;"",OR(IFERROR(INDEX($D$2:$D$39,MATCH(H40,$A$2:$A$39,0)),0)&lt;&gt;1,IFERROR(INDEX($M$2:$M$39,MATCH(H40,$A$2:$A$39,0)),"Blocked")="Blocked",LEFT(IFERROR(INDEX($M$2:$M$39,MATCH(H40,$A$2:$A$39,0)),"Invalid"),7)="Invalid")),AND(I40&lt;&gt;"",OR(IFERROR(INDEX($D$2:$D$39,MATCH(I40,$A$2:$A$39,0)),0)&lt;&gt;1,IFERROR(INDEX($M$2:$M$39,MATCH(I40,$A$2:$A$39,0)),"Blocked")="Blocked",LEFT(IFERROR(INDEX($M$2:$M$39,MATCH(I40,$A$2:$A$39,0)),"Invalid"),7)="Invalid")),AND(J40&lt;&gt;"",OR(IFERROR(INDEX($D$2:$D$39,MATCH(J40,$A$2:$A$39,0)),0)&lt;&gt;1,IFERROR(INDEX($M$2:$M$39,MATCH(J40,$A$2:$A$39,0)),"Blocked")="Blocked",LEFT(IFERROR(INDEX($M$2:$M$39,MATCH(J40,$A$2:$A$39,0)),"Invalid"),7)="Invalid"))),"Blocked","Planned")))))</f>
        <v>Planned</v>
      </c>
      <c r="N40" s="17">
        <f>IF(M40="Skipped",O39,IF(OR(M40="Planned",M40="Complete"),MAX(O39,IF(G40="",0,IFERROR(INDEX($O$2:$O$39,MATCH(G40,$A$2:$A$39,0)),0)),IF(H40="",0,IFERROR(INDEX($O$2:$O$39,MATCH(H40,$A$2:$A$39,0)),0)),IF(I40="",0,IFERROR(INDEX($O$2:$O$39,MATCH(I40,$A$2:$A$39,0)),0)),IF(J40="",0,IFERROR(INDEX($O$2:$O$39,MATCH(J40,$A$2:$A$39,0)),0))),""))</f>
        <v>378.03921568627447</v>
      </c>
      <c r="O40" s="17">
        <f t="shared" si="0"/>
        <v>415.68627450980387</v>
      </c>
      <c r="P40" s="18">
        <f>IF(AND(M40="Planned",K40&gt;0),WORKDAY.INTL(Settings!$B$2-1,INT(N40+0.000000001)+1,Settings!$B$4,Holidays!$A$2:$A$101),"")</f>
        <v>46760</v>
      </c>
      <c r="Q40" s="18">
        <f>IF(AND(M40="Planned",K40&gt;0),WORKDAY.INTL(Settings!$B$2-1,MAX(1,ROUNDUP(O40-0.000000001,0)),Settings!$B$4,Holidays!$A$2:$A$101),"")</f>
        <v>46804</v>
      </c>
      <c r="R40" s="17">
        <f t="shared" si="1"/>
        <v>37.647058823529392</v>
      </c>
      <c r="S40" s="4" t="s">
        <v>197</v>
      </c>
      <c r="T40" s="4" t="s">
        <v>122</v>
      </c>
    </row>
    <row r="41" spans="1:20" ht="56" customHeight="1" x14ac:dyDescent="0.35">
      <c r="A41" s="4" t="s">
        <v>198</v>
      </c>
      <c r="B41" s="4" t="s">
        <v>199</v>
      </c>
      <c r="C41" s="2" t="s">
        <v>175</v>
      </c>
      <c r="D41" s="19">
        <f>1</f>
        <v>1</v>
      </c>
      <c r="E41" s="19">
        <f>20</f>
        <v>20</v>
      </c>
      <c r="F41" s="20">
        <f>0</f>
        <v>0</v>
      </c>
      <c r="G41" s="19" t="s">
        <v>146</v>
      </c>
      <c r="H41" s="19" t="s">
        <v>195</v>
      </c>
      <c r="I41" s="19"/>
      <c r="J41" s="19"/>
      <c r="K41" s="17">
        <f>IF(D41=0,0,IF(AND(ISNUMBER(E41),E41&gt;=0,ISNUMBER(F41),F41&gt;=0,F41&lt;=1),E41*(1-F41)*(1+Settings!$B$5),0))</f>
        <v>24</v>
      </c>
      <c r="L41" s="17">
        <f>IFERROR(INDEX(Settings!$B$10:$B$12,MATCH(C41,{"Core","Practice","Delivery"},0)),0)</f>
        <v>0.51</v>
      </c>
      <c r="M41" s="16" t="str">
        <f>IF(D41=0,"Skipped",IF(Settings!$B$15&lt;&gt;"Ready","Invalid settings",IF(OR(D41&lt;&gt;1,COUNTIF($A$2:$A$49,A41)&lt;&gt;1,NOT(ISNUMBER(E41)),E41&lt;0,NOT(ISNUMBER(F41)),F41&lt;0,F41&gt;1),"Invalid input",IF(F41=1,"Complete",IF(OR(L41&lt;=0,COUNTIFS($C$2:C40,C41,$M$2:M40,"Blocked*")+COUNTIFS($C$2:C40,C41,$M$2:M40,"Invalid*")&gt;0,AND(G41&lt;&gt;"",OR(IFERROR(INDEX($D$2:$D$40,MATCH(G41,$A$2:$A$40,0)),0)&lt;&gt;1,IFERROR(INDEX($M$2:$M$40,MATCH(G41,$A$2:$A$40,0)),"Blocked")="Blocked",LEFT(IFERROR(INDEX($M$2:$M$40,MATCH(G41,$A$2:$A$40,0)),"Invalid"),7)="Invalid")),AND(H41&lt;&gt;"",OR(IFERROR(INDEX($D$2:$D$40,MATCH(H41,$A$2:$A$40,0)),0)&lt;&gt;1,IFERROR(INDEX($M$2:$M$40,MATCH(H41,$A$2:$A$40,0)),"Blocked")="Blocked",LEFT(IFERROR(INDEX($M$2:$M$40,MATCH(H41,$A$2:$A$40,0)),"Invalid"),7)="Invalid")),AND(I41&lt;&gt;"",OR(IFERROR(INDEX($D$2:$D$40,MATCH(I41,$A$2:$A$40,0)),0)&lt;&gt;1,IFERROR(INDEX($M$2:$M$40,MATCH(I41,$A$2:$A$40,0)),"Blocked")="Blocked",LEFT(IFERROR(INDEX($M$2:$M$40,MATCH(I41,$A$2:$A$40,0)),"Invalid"),7)="Invalid")),AND(J41&lt;&gt;"",OR(IFERROR(INDEX($D$2:$D$40,MATCH(J41,$A$2:$A$40,0)),0)&lt;&gt;1,IFERROR(INDEX($M$2:$M$40,MATCH(J41,$A$2:$A$40,0)),"Blocked")="Blocked",LEFT(IFERROR(INDEX($M$2:$M$40,MATCH(J41,$A$2:$A$40,0)),"Invalid"),7)="Invalid"))),"Blocked","Planned")))))</f>
        <v>Planned</v>
      </c>
      <c r="N41" s="17">
        <f>IF(M41="Skipped",O40,IF(OR(M41="Planned",M41="Complete"),MAX(O40,IF(G41="",0,IFERROR(INDEX($O$2:$O$40,MATCH(G41,$A$2:$A$40,0)),0)),IF(H41="",0,IFERROR(INDEX($O$2:$O$40,MATCH(H41,$A$2:$A$40,0)),0)),IF(I41="",0,IFERROR(INDEX($O$2:$O$40,MATCH(I41,$A$2:$A$40,0)),0)),IF(J41="",0,IFERROR(INDEX($O$2:$O$40,MATCH(J41,$A$2:$A$40,0)),0))),""))</f>
        <v>453.33333333333326</v>
      </c>
      <c r="O41" s="17">
        <f t="shared" si="0"/>
        <v>500.39215686274503</v>
      </c>
      <c r="P41" s="18">
        <f>IF(AND(M41="Planned",K41&gt;0),WORKDAY.INTL(Settings!$B$2-1,INT(N41+0.000000001)+1,Settings!$B$4,Holidays!$A$2:$A$101),"")</f>
        <v>46848</v>
      </c>
      <c r="Q41" s="18">
        <f>IF(AND(M41="Planned",K41&gt;0),WORKDAY.INTL(Settings!$B$2-1,MAX(1,ROUNDUP(O41-0.000000001,0)),Settings!$B$4,Holidays!$A$2:$A$101),"")</f>
        <v>46903</v>
      </c>
      <c r="R41" s="17">
        <f t="shared" si="1"/>
        <v>47.058823529411768</v>
      </c>
      <c r="S41" s="4" t="s">
        <v>200</v>
      </c>
      <c r="T41" s="4" t="s">
        <v>201</v>
      </c>
    </row>
    <row r="42" spans="1:20" ht="56" customHeight="1" x14ac:dyDescent="0.35">
      <c r="A42" s="4" t="s">
        <v>202</v>
      </c>
      <c r="B42" s="4" t="s">
        <v>203</v>
      </c>
      <c r="C42" s="2" t="s">
        <v>175</v>
      </c>
      <c r="D42" s="19">
        <f>1</f>
        <v>1</v>
      </c>
      <c r="E42" s="19">
        <f>14</f>
        <v>14</v>
      </c>
      <c r="F42" s="20">
        <f>0</f>
        <v>0</v>
      </c>
      <c r="G42" s="19" t="s">
        <v>198</v>
      </c>
      <c r="H42" s="19"/>
      <c r="I42" s="19"/>
      <c r="J42" s="19"/>
      <c r="K42" s="17">
        <f>IF(D42=0,0,IF(AND(ISNUMBER(E42),E42&gt;=0,ISNUMBER(F42),F42&gt;=0,F42&lt;=1),E42*(1-F42)*(1+Settings!$B$5),0))</f>
        <v>16.8</v>
      </c>
      <c r="L42" s="17">
        <f>IFERROR(INDEX(Settings!$B$10:$B$12,MATCH(C42,{"Core","Practice","Delivery"},0)),0)</f>
        <v>0.51</v>
      </c>
      <c r="M42" s="16" t="str">
        <f>IF(D42=0,"Skipped",IF(Settings!$B$15&lt;&gt;"Ready","Invalid settings",IF(OR(D42&lt;&gt;1,COUNTIF($A$2:$A$49,A42)&lt;&gt;1,NOT(ISNUMBER(E42)),E42&lt;0,NOT(ISNUMBER(F42)),F42&lt;0,F42&gt;1),"Invalid input",IF(F42=1,"Complete",IF(OR(L42&lt;=0,COUNTIFS($C$2:C41,C42,$M$2:M41,"Blocked*")+COUNTIFS($C$2:C41,C42,$M$2:M41,"Invalid*")&gt;0,AND(G42&lt;&gt;"",OR(IFERROR(INDEX($D$2:$D$41,MATCH(G42,$A$2:$A$41,0)),0)&lt;&gt;1,IFERROR(INDEX($M$2:$M$41,MATCH(G42,$A$2:$A$41,0)),"Blocked")="Blocked",LEFT(IFERROR(INDEX($M$2:$M$41,MATCH(G42,$A$2:$A$41,0)),"Invalid"),7)="Invalid")),AND(H42&lt;&gt;"",OR(IFERROR(INDEX($D$2:$D$41,MATCH(H42,$A$2:$A$41,0)),0)&lt;&gt;1,IFERROR(INDEX($M$2:$M$41,MATCH(H42,$A$2:$A$41,0)),"Blocked")="Blocked",LEFT(IFERROR(INDEX($M$2:$M$41,MATCH(H42,$A$2:$A$41,0)),"Invalid"),7)="Invalid")),AND(I42&lt;&gt;"",OR(IFERROR(INDEX($D$2:$D$41,MATCH(I42,$A$2:$A$41,0)),0)&lt;&gt;1,IFERROR(INDEX($M$2:$M$41,MATCH(I42,$A$2:$A$41,0)),"Blocked")="Blocked",LEFT(IFERROR(INDEX($M$2:$M$41,MATCH(I42,$A$2:$A$41,0)),"Invalid"),7)="Invalid")),AND(J42&lt;&gt;"",OR(IFERROR(INDEX($D$2:$D$41,MATCH(J42,$A$2:$A$41,0)),0)&lt;&gt;1,IFERROR(INDEX($M$2:$M$41,MATCH(J42,$A$2:$A$41,0)),"Blocked")="Blocked",LEFT(IFERROR(INDEX($M$2:$M$41,MATCH(J42,$A$2:$A$41,0)),"Invalid"),7)="Invalid"))),"Blocked","Planned")))))</f>
        <v>Planned</v>
      </c>
      <c r="N42" s="17">
        <f>IF(M42="Skipped",O41,IF(OR(M42="Planned",M42="Complete"),MAX(O41,IF(G42="",0,IFERROR(INDEX($O$2:$O$41,MATCH(G42,$A$2:$A$41,0)),0)),IF(H42="",0,IFERROR(INDEX($O$2:$O$41,MATCH(H42,$A$2:$A$41,0)),0)),IF(I42="",0,IFERROR(INDEX($O$2:$O$41,MATCH(I42,$A$2:$A$41,0)),0)),IF(J42="",0,IFERROR(INDEX($O$2:$O$41,MATCH(J42,$A$2:$A$41,0)),0))),""))</f>
        <v>500.39215686274503</v>
      </c>
      <c r="O42" s="17">
        <f t="shared" si="0"/>
        <v>533.33333333333326</v>
      </c>
      <c r="P42" s="18">
        <f>IF(AND(M42="Planned",K42&gt;0),WORKDAY.INTL(Settings!$B$2-1,INT(N42+0.000000001)+1,Settings!$B$4,Holidays!$A$2:$A$101),"")</f>
        <v>46903</v>
      </c>
      <c r="Q42" s="18">
        <f>IF(AND(M42="Planned",K42&gt;0),WORKDAY.INTL(Settings!$B$2-1,MAX(1,ROUNDUP(O42-0.000000001,0)),Settings!$B$4,Holidays!$A$2:$A$101),"")</f>
        <v>46941</v>
      </c>
      <c r="R42" s="17">
        <f t="shared" si="1"/>
        <v>32.941176470588232</v>
      </c>
      <c r="S42" s="4" t="s">
        <v>204</v>
      </c>
      <c r="T42" s="4" t="s">
        <v>69</v>
      </c>
    </row>
    <row r="43" spans="1:20" ht="56" customHeight="1" x14ac:dyDescent="0.35">
      <c r="A43" s="4" t="s">
        <v>205</v>
      </c>
      <c r="B43" s="4" t="s">
        <v>206</v>
      </c>
      <c r="C43" s="2" t="s">
        <v>175</v>
      </c>
      <c r="D43" s="19">
        <f>1</f>
        <v>1</v>
      </c>
      <c r="E43" s="19">
        <f>12</f>
        <v>12</v>
      </c>
      <c r="F43" s="20">
        <f>0</f>
        <v>0</v>
      </c>
      <c r="G43" s="19" t="s">
        <v>202</v>
      </c>
      <c r="H43" s="19"/>
      <c r="I43" s="19"/>
      <c r="J43" s="19"/>
      <c r="K43" s="17">
        <f>IF(D43=0,0,IF(AND(ISNUMBER(E43),E43&gt;=0,ISNUMBER(F43),F43&gt;=0,F43&lt;=1),E43*(1-F43)*(1+Settings!$B$5),0))</f>
        <v>14.399999999999999</v>
      </c>
      <c r="L43" s="17">
        <f>IFERROR(INDEX(Settings!$B$10:$B$12,MATCH(C43,{"Core","Practice","Delivery"},0)),0)</f>
        <v>0.51</v>
      </c>
      <c r="M43" s="16" t="str">
        <f>IF(D43=0,"Skipped",IF(Settings!$B$15&lt;&gt;"Ready","Invalid settings",IF(OR(D43&lt;&gt;1,COUNTIF($A$2:$A$49,A43)&lt;&gt;1,NOT(ISNUMBER(E43)),E43&lt;0,NOT(ISNUMBER(F43)),F43&lt;0,F43&gt;1),"Invalid input",IF(F43=1,"Complete",IF(OR(L43&lt;=0,COUNTIFS($C$2:C42,C43,$M$2:M42,"Blocked*")+COUNTIFS($C$2:C42,C43,$M$2:M42,"Invalid*")&gt;0,AND(G43&lt;&gt;"",OR(IFERROR(INDEX($D$2:$D$42,MATCH(G43,$A$2:$A$42,0)),0)&lt;&gt;1,IFERROR(INDEX($M$2:$M$42,MATCH(G43,$A$2:$A$42,0)),"Blocked")="Blocked",LEFT(IFERROR(INDEX($M$2:$M$42,MATCH(G43,$A$2:$A$42,0)),"Invalid"),7)="Invalid")),AND(H43&lt;&gt;"",OR(IFERROR(INDEX($D$2:$D$42,MATCH(H43,$A$2:$A$42,0)),0)&lt;&gt;1,IFERROR(INDEX($M$2:$M$42,MATCH(H43,$A$2:$A$42,0)),"Blocked")="Blocked",LEFT(IFERROR(INDEX($M$2:$M$42,MATCH(H43,$A$2:$A$42,0)),"Invalid"),7)="Invalid")),AND(I43&lt;&gt;"",OR(IFERROR(INDEX($D$2:$D$42,MATCH(I43,$A$2:$A$42,0)),0)&lt;&gt;1,IFERROR(INDEX($M$2:$M$42,MATCH(I43,$A$2:$A$42,0)),"Blocked")="Blocked",LEFT(IFERROR(INDEX($M$2:$M$42,MATCH(I43,$A$2:$A$42,0)),"Invalid"),7)="Invalid")),AND(J43&lt;&gt;"",OR(IFERROR(INDEX($D$2:$D$42,MATCH(J43,$A$2:$A$42,0)),0)&lt;&gt;1,IFERROR(INDEX($M$2:$M$42,MATCH(J43,$A$2:$A$42,0)),"Blocked")="Blocked",LEFT(IFERROR(INDEX($M$2:$M$42,MATCH(J43,$A$2:$A$42,0)),"Invalid"),7)="Invalid"))),"Blocked","Planned")))))</f>
        <v>Planned</v>
      </c>
      <c r="N43" s="17">
        <f>IF(M43="Skipped",O42,IF(OR(M43="Planned",M43="Complete"),MAX(O42,IF(G43="",0,IFERROR(INDEX($O$2:$O$42,MATCH(G43,$A$2:$A$42,0)),0)),IF(H43="",0,IFERROR(INDEX($O$2:$O$42,MATCH(H43,$A$2:$A$42,0)),0)),IF(I43="",0,IFERROR(INDEX($O$2:$O$42,MATCH(I43,$A$2:$A$42,0)),0)),IF(J43="",0,IFERROR(INDEX($O$2:$O$42,MATCH(J43,$A$2:$A$42,0)),0))),""))</f>
        <v>533.33333333333326</v>
      </c>
      <c r="O43" s="17">
        <f t="shared" si="0"/>
        <v>561.56862745098033</v>
      </c>
      <c r="P43" s="18">
        <f>IF(AND(M43="Planned",K43&gt;0),WORKDAY.INTL(Settings!$B$2-1,INT(N43+0.000000001)+1,Settings!$B$4,Holidays!$A$2:$A$101),"")</f>
        <v>46941</v>
      </c>
      <c r="Q43" s="18">
        <f>IF(AND(M43="Planned",K43&gt;0),WORKDAY.INTL(Settings!$B$2-1,MAX(1,ROUNDUP(O43-0.000000001,0)),Settings!$B$4,Holidays!$A$2:$A$101),"")</f>
        <v>46974</v>
      </c>
      <c r="R43" s="17">
        <f t="shared" si="1"/>
        <v>28.235294117647072</v>
      </c>
      <c r="S43" s="4" t="s">
        <v>207</v>
      </c>
      <c r="T43" s="4" t="s">
        <v>177</v>
      </c>
    </row>
    <row r="44" spans="1:20" ht="56" customHeight="1" x14ac:dyDescent="0.35">
      <c r="A44" s="4" t="s">
        <v>208</v>
      </c>
      <c r="B44" s="4" t="s">
        <v>209</v>
      </c>
      <c r="C44" s="2" t="s">
        <v>55</v>
      </c>
      <c r="D44" s="19">
        <f>0</f>
        <v>0</v>
      </c>
      <c r="E44" s="19">
        <f>24</f>
        <v>24</v>
      </c>
      <c r="F44" s="20">
        <f>0</f>
        <v>0</v>
      </c>
      <c r="G44" s="19" t="s">
        <v>62</v>
      </c>
      <c r="H44" s="19"/>
      <c r="I44" s="19"/>
      <c r="J44" s="19"/>
      <c r="K44" s="17">
        <f>IF(D44=0,0,IF(AND(ISNUMBER(E44),E44&gt;=0,ISNUMBER(F44),F44&gt;=0,F44&lt;=1),E44*(1-F44)*(1+Settings!$B$5),0))</f>
        <v>0</v>
      </c>
      <c r="L44" s="17">
        <f>IFERROR(INDEX(Settings!$B$10:$B$12,MATCH(C44,{"Core","Practice","Delivery"},0)),0)</f>
        <v>1.5299999999999998</v>
      </c>
      <c r="M44" s="16" t="str">
        <f>IF(D44=0,"Skipped",IF(Settings!$B$15&lt;&gt;"Ready","Invalid settings",IF(OR(D44&lt;&gt;1,COUNTIF($A$2:$A$49,A44)&lt;&gt;1,NOT(ISNUMBER(E44)),E44&lt;0,NOT(ISNUMBER(F44)),F44&lt;0,F44&gt;1),"Invalid input",IF(F44=1,"Complete",IF(OR(L44&lt;=0,COUNTIFS($C$2:C43,C44,$M$2:M43,"Blocked*")+COUNTIFS($C$2:C43,C44,$M$2:M43,"Invalid*")&gt;0,AND(G44&lt;&gt;"",OR(IFERROR(INDEX($D$2:$D$43,MATCH(G44,$A$2:$A$43,0)),0)&lt;&gt;1,IFERROR(INDEX($M$2:$M$43,MATCH(G44,$A$2:$A$43,0)),"Blocked")="Blocked",LEFT(IFERROR(INDEX($M$2:$M$43,MATCH(G44,$A$2:$A$43,0)),"Invalid"),7)="Invalid")),AND(H44&lt;&gt;"",OR(IFERROR(INDEX($D$2:$D$43,MATCH(H44,$A$2:$A$43,0)),0)&lt;&gt;1,IFERROR(INDEX($M$2:$M$43,MATCH(H44,$A$2:$A$43,0)),"Blocked")="Blocked",LEFT(IFERROR(INDEX($M$2:$M$43,MATCH(H44,$A$2:$A$43,0)),"Invalid"),7)="Invalid")),AND(I44&lt;&gt;"",OR(IFERROR(INDEX($D$2:$D$43,MATCH(I44,$A$2:$A$43,0)),0)&lt;&gt;1,IFERROR(INDEX($M$2:$M$43,MATCH(I44,$A$2:$A$43,0)),"Blocked")="Blocked",LEFT(IFERROR(INDEX($M$2:$M$43,MATCH(I44,$A$2:$A$43,0)),"Invalid"),7)="Invalid")),AND(J44&lt;&gt;"",OR(IFERROR(INDEX($D$2:$D$43,MATCH(J44,$A$2:$A$43,0)),0)&lt;&gt;1,IFERROR(INDEX($M$2:$M$43,MATCH(J44,$A$2:$A$43,0)),"Blocked")="Blocked",LEFT(IFERROR(INDEX($M$2:$M$43,MATCH(J44,$A$2:$A$43,0)),"Invalid"),7)="Invalid"))),"Blocked","Planned")))))</f>
        <v>Skipped</v>
      </c>
      <c r="N44" s="17">
        <f>IF(M44="Skipped",O27,IF(OR(M44="Planned",M44="Complete"),MAX(O27,IF(G44="",0,IFERROR(INDEX($O$2:$O$43,MATCH(G44,$A$2:$A$43,0)),0)),IF(H44="",0,IFERROR(INDEX($O$2:$O$43,MATCH(H44,$A$2:$A$43,0)),0)),IF(I44="",0,IFERROR(INDEX($O$2:$O$43,MATCH(I44,$A$2:$A$43,0)),0)),IF(J44="",0,IFERROR(INDEX($O$2:$O$43,MATCH(J44,$A$2:$A$43,0)),0))),""))</f>
        <v>453.33333333333326</v>
      </c>
      <c r="O44" s="17">
        <f t="shared" si="0"/>
        <v>453.33333333333326</v>
      </c>
      <c r="P44" s="18" t="str">
        <f>IF(AND(M44="Planned",K44&gt;0),WORKDAY.INTL(Settings!$B$2-1,INT(N44+0.000000001)+1,Settings!$B$4,Holidays!$A$2:$A$101),"")</f>
        <v/>
      </c>
      <c r="Q44" s="18" t="str">
        <f>IF(AND(M44="Planned",K44&gt;0),WORKDAY.INTL(Settings!$B$2-1,MAX(1,ROUNDUP(O44-0.000000001,0)),Settings!$B$4,Holidays!$A$2:$A$101),"")</f>
        <v/>
      </c>
      <c r="R44" s="17">
        <f t="shared" si="1"/>
        <v>0</v>
      </c>
      <c r="S44" s="4" t="s">
        <v>210</v>
      </c>
      <c r="T44" s="4" t="s">
        <v>211</v>
      </c>
    </row>
    <row r="45" spans="1:20" ht="56" customHeight="1" x14ac:dyDescent="0.35">
      <c r="A45" s="4" t="s">
        <v>212</v>
      </c>
      <c r="B45" s="4" t="s">
        <v>213</v>
      </c>
      <c r="C45" s="2" t="s">
        <v>55</v>
      </c>
      <c r="D45" s="19">
        <f>0</f>
        <v>0</v>
      </c>
      <c r="E45" s="19">
        <f>18</f>
        <v>18</v>
      </c>
      <c r="F45" s="20">
        <f>0</f>
        <v>0</v>
      </c>
      <c r="G45" s="19" t="s">
        <v>134</v>
      </c>
      <c r="H45" s="19"/>
      <c r="I45" s="19"/>
      <c r="J45" s="19"/>
      <c r="K45" s="17">
        <f>IF(D45=0,0,IF(AND(ISNUMBER(E45),E45&gt;=0,ISNUMBER(F45),F45&gt;=0,F45&lt;=1),E45*(1-F45)*(1+Settings!$B$5),0))</f>
        <v>0</v>
      </c>
      <c r="L45" s="17">
        <f>IFERROR(INDEX(Settings!$B$10:$B$12,MATCH(C45,{"Core","Practice","Delivery"},0)),0)</f>
        <v>1.5299999999999998</v>
      </c>
      <c r="M45" s="16" t="str">
        <f>IF(D45=0,"Skipped",IF(Settings!$B$15&lt;&gt;"Ready","Invalid settings",IF(OR(D45&lt;&gt;1,COUNTIF($A$2:$A$49,A45)&lt;&gt;1,NOT(ISNUMBER(E45)),E45&lt;0,NOT(ISNUMBER(F45)),F45&lt;0,F45&gt;1),"Invalid input",IF(F45=1,"Complete",IF(OR(L45&lt;=0,COUNTIFS($C$2:C44,C45,$M$2:M44,"Blocked*")+COUNTIFS($C$2:C44,C45,$M$2:M44,"Invalid*")&gt;0,AND(G45&lt;&gt;"",OR(IFERROR(INDEX($D$2:$D$44,MATCH(G45,$A$2:$A$44,0)),0)&lt;&gt;1,IFERROR(INDEX($M$2:$M$44,MATCH(G45,$A$2:$A$44,0)),"Blocked")="Blocked",LEFT(IFERROR(INDEX($M$2:$M$44,MATCH(G45,$A$2:$A$44,0)),"Invalid"),7)="Invalid")),AND(H45&lt;&gt;"",OR(IFERROR(INDEX($D$2:$D$44,MATCH(H45,$A$2:$A$44,0)),0)&lt;&gt;1,IFERROR(INDEX($M$2:$M$44,MATCH(H45,$A$2:$A$44,0)),"Blocked")="Blocked",LEFT(IFERROR(INDEX($M$2:$M$44,MATCH(H45,$A$2:$A$44,0)),"Invalid"),7)="Invalid")),AND(I45&lt;&gt;"",OR(IFERROR(INDEX($D$2:$D$44,MATCH(I45,$A$2:$A$44,0)),0)&lt;&gt;1,IFERROR(INDEX($M$2:$M$44,MATCH(I45,$A$2:$A$44,0)),"Blocked")="Blocked",LEFT(IFERROR(INDEX($M$2:$M$44,MATCH(I45,$A$2:$A$44,0)),"Invalid"),7)="Invalid")),AND(J45&lt;&gt;"",OR(IFERROR(INDEX($D$2:$D$44,MATCH(J45,$A$2:$A$44,0)),0)&lt;&gt;1,IFERROR(INDEX($M$2:$M$44,MATCH(J45,$A$2:$A$44,0)),"Blocked")="Blocked",LEFT(IFERROR(INDEX($M$2:$M$44,MATCH(J45,$A$2:$A$44,0)),"Invalid"),7)="Invalid"))),"Blocked","Planned")))))</f>
        <v>Skipped</v>
      </c>
      <c r="N45" s="17">
        <f>IF(M45="Skipped",O44,IF(OR(M45="Planned",M45="Complete"),MAX(O44,IF(G45="",0,IFERROR(INDEX($O$2:$O$44,MATCH(G45,$A$2:$A$44,0)),0)),IF(H45="",0,IFERROR(INDEX($O$2:$O$44,MATCH(H45,$A$2:$A$44,0)),0)),IF(I45="",0,IFERROR(INDEX($O$2:$O$44,MATCH(I45,$A$2:$A$44,0)),0)),IF(J45="",0,IFERROR(INDEX($O$2:$O$44,MATCH(J45,$A$2:$A$44,0)),0))),""))</f>
        <v>453.33333333333326</v>
      </c>
      <c r="O45" s="17">
        <f t="shared" si="0"/>
        <v>453.33333333333326</v>
      </c>
      <c r="P45" s="18" t="str">
        <f>IF(AND(M45="Planned",K45&gt;0),WORKDAY.INTL(Settings!$B$2-1,INT(N45+0.000000001)+1,Settings!$B$4,Holidays!$A$2:$A$101),"")</f>
        <v/>
      </c>
      <c r="Q45" s="18" t="str">
        <f>IF(AND(M45="Planned",K45&gt;0),WORKDAY.INTL(Settings!$B$2-1,MAX(1,ROUNDUP(O45-0.000000001,0)),Settings!$B$4,Holidays!$A$2:$A$101),"")</f>
        <v/>
      </c>
      <c r="R45" s="17">
        <f t="shared" si="1"/>
        <v>0</v>
      </c>
      <c r="S45" s="4" t="s">
        <v>214</v>
      </c>
      <c r="T45" s="4" t="s">
        <v>215</v>
      </c>
    </row>
    <row r="46" spans="1:20" ht="56" customHeight="1" x14ac:dyDescent="0.35">
      <c r="A46" s="4" t="s">
        <v>216</v>
      </c>
      <c r="B46" s="4" t="s">
        <v>217</v>
      </c>
      <c r="C46" s="2" t="s">
        <v>55</v>
      </c>
      <c r="D46" s="19">
        <f>0</f>
        <v>0</v>
      </c>
      <c r="E46" s="19">
        <f>22</f>
        <v>22</v>
      </c>
      <c r="F46" s="20">
        <f>0</f>
        <v>0</v>
      </c>
      <c r="G46" s="19" t="s">
        <v>82</v>
      </c>
      <c r="H46" s="19"/>
      <c r="I46" s="19"/>
      <c r="J46" s="19"/>
      <c r="K46" s="17">
        <f>IF(D46=0,0,IF(AND(ISNUMBER(E46),E46&gt;=0,ISNUMBER(F46),F46&gt;=0,F46&lt;=1),E46*(1-F46)*(1+Settings!$B$5),0))</f>
        <v>0</v>
      </c>
      <c r="L46" s="17">
        <f>IFERROR(INDEX(Settings!$B$10:$B$12,MATCH(C46,{"Core","Practice","Delivery"},0)),0)</f>
        <v>1.5299999999999998</v>
      </c>
      <c r="M46" s="16" t="str">
        <f>IF(D46=0,"Skipped",IF(Settings!$B$15&lt;&gt;"Ready","Invalid settings",IF(OR(D46&lt;&gt;1,COUNTIF($A$2:$A$49,A46)&lt;&gt;1,NOT(ISNUMBER(E46)),E46&lt;0,NOT(ISNUMBER(F46)),F46&lt;0,F46&gt;1),"Invalid input",IF(F46=1,"Complete",IF(OR(L46&lt;=0,COUNTIFS($C$2:C45,C46,$M$2:M45,"Blocked*")+COUNTIFS($C$2:C45,C46,$M$2:M45,"Invalid*")&gt;0,AND(G46&lt;&gt;"",OR(IFERROR(INDEX($D$2:$D$45,MATCH(G46,$A$2:$A$45,0)),0)&lt;&gt;1,IFERROR(INDEX($M$2:$M$45,MATCH(G46,$A$2:$A$45,0)),"Blocked")="Blocked",LEFT(IFERROR(INDEX($M$2:$M$45,MATCH(G46,$A$2:$A$45,0)),"Invalid"),7)="Invalid")),AND(H46&lt;&gt;"",OR(IFERROR(INDEX($D$2:$D$45,MATCH(H46,$A$2:$A$45,0)),0)&lt;&gt;1,IFERROR(INDEX($M$2:$M$45,MATCH(H46,$A$2:$A$45,0)),"Blocked")="Blocked",LEFT(IFERROR(INDEX($M$2:$M$45,MATCH(H46,$A$2:$A$45,0)),"Invalid"),7)="Invalid")),AND(I46&lt;&gt;"",OR(IFERROR(INDEX($D$2:$D$45,MATCH(I46,$A$2:$A$45,0)),0)&lt;&gt;1,IFERROR(INDEX($M$2:$M$45,MATCH(I46,$A$2:$A$45,0)),"Blocked")="Blocked",LEFT(IFERROR(INDEX($M$2:$M$45,MATCH(I46,$A$2:$A$45,0)),"Invalid"),7)="Invalid")),AND(J46&lt;&gt;"",OR(IFERROR(INDEX($D$2:$D$45,MATCH(J46,$A$2:$A$45,0)),0)&lt;&gt;1,IFERROR(INDEX($M$2:$M$45,MATCH(J46,$A$2:$A$45,0)),"Blocked")="Blocked",LEFT(IFERROR(INDEX($M$2:$M$45,MATCH(J46,$A$2:$A$45,0)),"Invalid"),7)="Invalid"))),"Blocked","Planned")))))</f>
        <v>Skipped</v>
      </c>
      <c r="N46" s="17">
        <f>IF(M46="Skipped",O45,IF(OR(M46="Planned",M46="Complete"),MAX(O45,IF(G46="",0,IFERROR(INDEX($O$2:$O$45,MATCH(G46,$A$2:$A$45,0)),0)),IF(H46="",0,IFERROR(INDEX($O$2:$O$45,MATCH(H46,$A$2:$A$45,0)),0)),IF(I46="",0,IFERROR(INDEX($O$2:$O$45,MATCH(I46,$A$2:$A$45,0)),0)),IF(J46="",0,IFERROR(INDEX($O$2:$O$45,MATCH(J46,$A$2:$A$45,0)),0))),""))</f>
        <v>453.33333333333326</v>
      </c>
      <c r="O46" s="17">
        <f t="shared" si="0"/>
        <v>453.33333333333326</v>
      </c>
      <c r="P46" s="18" t="str">
        <f>IF(AND(M46="Planned",K46&gt;0),WORKDAY.INTL(Settings!$B$2-1,INT(N46+0.000000001)+1,Settings!$B$4,Holidays!$A$2:$A$101),"")</f>
        <v/>
      </c>
      <c r="Q46" s="18" t="str">
        <f>IF(AND(M46="Planned",K46&gt;0),WORKDAY.INTL(Settings!$B$2-1,MAX(1,ROUNDUP(O46-0.000000001,0)),Settings!$B$4,Holidays!$A$2:$A$101),"")</f>
        <v/>
      </c>
      <c r="R46" s="17">
        <f t="shared" si="1"/>
        <v>0</v>
      </c>
      <c r="S46" s="4" t="s">
        <v>218</v>
      </c>
      <c r="T46" s="4" t="s">
        <v>85</v>
      </c>
    </row>
    <row r="47" spans="1:20" ht="56" customHeight="1" x14ac:dyDescent="0.35">
      <c r="A47" s="4" t="s">
        <v>219</v>
      </c>
      <c r="B47" s="4" t="s">
        <v>220</v>
      </c>
      <c r="C47" s="2" t="s">
        <v>55</v>
      </c>
      <c r="D47" s="19">
        <f>0</f>
        <v>0</v>
      </c>
      <c r="E47" s="19">
        <f>18</f>
        <v>18</v>
      </c>
      <c r="F47" s="20">
        <f>0</f>
        <v>0</v>
      </c>
      <c r="G47" s="19" t="s">
        <v>134</v>
      </c>
      <c r="H47" s="19"/>
      <c r="I47" s="19"/>
      <c r="J47" s="19"/>
      <c r="K47" s="17">
        <f>IF(D47=0,0,IF(AND(ISNUMBER(E47),E47&gt;=0,ISNUMBER(F47),F47&gt;=0,F47&lt;=1),E47*(1-F47)*(1+Settings!$B$5),0))</f>
        <v>0</v>
      </c>
      <c r="L47" s="17">
        <f>IFERROR(INDEX(Settings!$B$10:$B$12,MATCH(C47,{"Core","Practice","Delivery"},0)),0)</f>
        <v>1.5299999999999998</v>
      </c>
      <c r="M47" s="16" t="str">
        <f>IF(D47=0,"Skipped",IF(Settings!$B$15&lt;&gt;"Ready","Invalid settings",IF(OR(D47&lt;&gt;1,COUNTIF($A$2:$A$49,A47)&lt;&gt;1,NOT(ISNUMBER(E47)),E47&lt;0,NOT(ISNUMBER(F47)),F47&lt;0,F47&gt;1),"Invalid input",IF(F47=1,"Complete",IF(OR(L47&lt;=0,COUNTIFS($C$2:C46,C47,$M$2:M46,"Blocked*")+COUNTIFS($C$2:C46,C47,$M$2:M46,"Invalid*")&gt;0,AND(G47&lt;&gt;"",OR(IFERROR(INDEX($D$2:$D$46,MATCH(G47,$A$2:$A$46,0)),0)&lt;&gt;1,IFERROR(INDEX($M$2:$M$46,MATCH(G47,$A$2:$A$46,0)),"Blocked")="Blocked",LEFT(IFERROR(INDEX($M$2:$M$46,MATCH(G47,$A$2:$A$46,0)),"Invalid"),7)="Invalid")),AND(H47&lt;&gt;"",OR(IFERROR(INDEX($D$2:$D$46,MATCH(H47,$A$2:$A$46,0)),0)&lt;&gt;1,IFERROR(INDEX($M$2:$M$46,MATCH(H47,$A$2:$A$46,0)),"Blocked")="Blocked",LEFT(IFERROR(INDEX($M$2:$M$46,MATCH(H47,$A$2:$A$46,0)),"Invalid"),7)="Invalid")),AND(I47&lt;&gt;"",OR(IFERROR(INDEX($D$2:$D$46,MATCH(I47,$A$2:$A$46,0)),0)&lt;&gt;1,IFERROR(INDEX($M$2:$M$46,MATCH(I47,$A$2:$A$46,0)),"Blocked")="Blocked",LEFT(IFERROR(INDEX($M$2:$M$46,MATCH(I47,$A$2:$A$46,0)),"Invalid"),7)="Invalid")),AND(J47&lt;&gt;"",OR(IFERROR(INDEX($D$2:$D$46,MATCH(J47,$A$2:$A$46,0)),0)&lt;&gt;1,IFERROR(INDEX($M$2:$M$46,MATCH(J47,$A$2:$A$46,0)),"Blocked")="Blocked",LEFT(IFERROR(INDEX($M$2:$M$46,MATCH(J47,$A$2:$A$46,0)),"Invalid"),7)="Invalid"))),"Blocked","Planned")))))</f>
        <v>Skipped</v>
      </c>
      <c r="N47" s="17">
        <f>IF(M47="Skipped",O46,IF(OR(M47="Planned",M47="Complete"),MAX(O46,IF(G47="",0,IFERROR(INDEX($O$2:$O$46,MATCH(G47,$A$2:$A$46,0)),0)),IF(H47="",0,IFERROR(INDEX($O$2:$O$46,MATCH(H47,$A$2:$A$46,0)),0)),IF(I47="",0,IFERROR(INDEX($O$2:$O$46,MATCH(I47,$A$2:$A$46,0)),0)),IF(J47="",0,IFERROR(INDEX($O$2:$O$46,MATCH(J47,$A$2:$A$46,0)),0))),""))</f>
        <v>453.33333333333326</v>
      </c>
      <c r="O47" s="17">
        <f t="shared" si="0"/>
        <v>453.33333333333326</v>
      </c>
      <c r="P47" s="18" t="str">
        <f>IF(AND(M47="Planned",K47&gt;0),WORKDAY.INTL(Settings!$B$2-1,INT(N47+0.000000001)+1,Settings!$B$4,Holidays!$A$2:$A$101),"")</f>
        <v/>
      </c>
      <c r="Q47" s="18" t="str">
        <f>IF(AND(M47="Planned",K47&gt;0),WORKDAY.INTL(Settings!$B$2-1,MAX(1,ROUNDUP(O47-0.000000001,0)),Settings!$B$4,Holidays!$A$2:$A$101),"")</f>
        <v/>
      </c>
      <c r="R47" s="17">
        <f t="shared" si="1"/>
        <v>0</v>
      </c>
      <c r="S47" s="4" t="s">
        <v>221</v>
      </c>
      <c r="T47" s="4" t="s">
        <v>222</v>
      </c>
    </row>
    <row r="48" spans="1:20" ht="56" customHeight="1" x14ac:dyDescent="0.35">
      <c r="A48" s="4" t="s">
        <v>223</v>
      </c>
      <c r="B48" s="4" t="s">
        <v>224</v>
      </c>
      <c r="C48" s="2" t="s">
        <v>55</v>
      </c>
      <c r="D48" s="19">
        <f>0</f>
        <v>0</v>
      </c>
      <c r="E48" s="19">
        <f>18</f>
        <v>18</v>
      </c>
      <c r="F48" s="20">
        <f>0</f>
        <v>0</v>
      </c>
      <c r="G48" s="19" t="s">
        <v>70</v>
      </c>
      <c r="H48" s="19"/>
      <c r="I48" s="19"/>
      <c r="J48" s="19"/>
      <c r="K48" s="17">
        <f>IF(D48=0,0,IF(AND(ISNUMBER(E48),E48&gt;=0,ISNUMBER(F48),F48&gt;=0,F48&lt;=1),E48*(1-F48)*(1+Settings!$B$5),0))</f>
        <v>0</v>
      </c>
      <c r="L48" s="17">
        <f>IFERROR(INDEX(Settings!$B$10:$B$12,MATCH(C48,{"Core","Practice","Delivery"},0)),0)</f>
        <v>1.5299999999999998</v>
      </c>
      <c r="M48" s="16" t="str">
        <f>IF(D48=0,"Skipped",IF(Settings!$B$15&lt;&gt;"Ready","Invalid settings",IF(OR(D48&lt;&gt;1,COUNTIF($A$2:$A$49,A48)&lt;&gt;1,NOT(ISNUMBER(E48)),E48&lt;0,NOT(ISNUMBER(F48)),F48&lt;0,F48&gt;1),"Invalid input",IF(F48=1,"Complete",IF(OR(L48&lt;=0,COUNTIFS($C$2:C47,C48,$M$2:M47,"Blocked*")+COUNTIFS($C$2:C47,C48,$M$2:M47,"Invalid*")&gt;0,AND(G48&lt;&gt;"",OR(IFERROR(INDEX($D$2:$D$47,MATCH(G48,$A$2:$A$47,0)),0)&lt;&gt;1,IFERROR(INDEX($M$2:$M$47,MATCH(G48,$A$2:$A$47,0)),"Blocked")="Blocked",LEFT(IFERROR(INDEX($M$2:$M$47,MATCH(G48,$A$2:$A$47,0)),"Invalid"),7)="Invalid")),AND(H48&lt;&gt;"",OR(IFERROR(INDEX($D$2:$D$47,MATCH(H48,$A$2:$A$47,0)),0)&lt;&gt;1,IFERROR(INDEX($M$2:$M$47,MATCH(H48,$A$2:$A$47,0)),"Blocked")="Blocked",LEFT(IFERROR(INDEX($M$2:$M$47,MATCH(H48,$A$2:$A$47,0)),"Invalid"),7)="Invalid")),AND(I48&lt;&gt;"",OR(IFERROR(INDEX($D$2:$D$47,MATCH(I48,$A$2:$A$47,0)),0)&lt;&gt;1,IFERROR(INDEX($M$2:$M$47,MATCH(I48,$A$2:$A$47,0)),"Blocked")="Blocked",LEFT(IFERROR(INDEX($M$2:$M$47,MATCH(I48,$A$2:$A$47,0)),"Invalid"),7)="Invalid")),AND(J48&lt;&gt;"",OR(IFERROR(INDEX($D$2:$D$47,MATCH(J48,$A$2:$A$47,0)),0)&lt;&gt;1,IFERROR(INDEX($M$2:$M$47,MATCH(J48,$A$2:$A$47,0)),"Blocked")="Blocked",LEFT(IFERROR(INDEX($M$2:$M$47,MATCH(J48,$A$2:$A$47,0)),"Invalid"),7)="Invalid"))),"Blocked","Planned")))))</f>
        <v>Skipped</v>
      </c>
      <c r="N48" s="17">
        <f>IF(M48="Skipped",O47,IF(OR(M48="Planned",M48="Complete"),MAX(O47,IF(G48="",0,IFERROR(INDEX($O$2:$O$47,MATCH(G48,$A$2:$A$47,0)),0)),IF(H48="",0,IFERROR(INDEX($O$2:$O$47,MATCH(H48,$A$2:$A$47,0)),0)),IF(I48="",0,IFERROR(INDEX($O$2:$O$47,MATCH(I48,$A$2:$A$47,0)),0)),IF(J48="",0,IFERROR(INDEX($O$2:$O$47,MATCH(J48,$A$2:$A$47,0)),0))),""))</f>
        <v>453.33333333333326</v>
      </c>
      <c r="O48" s="17">
        <f t="shared" si="0"/>
        <v>453.33333333333326</v>
      </c>
      <c r="P48" s="18" t="str">
        <f>IF(AND(M48="Planned",K48&gt;0),WORKDAY.INTL(Settings!$B$2-1,INT(N48+0.000000001)+1,Settings!$B$4,Holidays!$A$2:$A$101),"")</f>
        <v/>
      </c>
      <c r="Q48" s="18" t="str">
        <f>IF(AND(M48="Planned",K48&gt;0),WORKDAY.INTL(Settings!$B$2-1,MAX(1,ROUNDUP(O48-0.000000001,0)),Settings!$B$4,Holidays!$A$2:$A$101),"")</f>
        <v/>
      </c>
      <c r="R48" s="17">
        <f t="shared" si="1"/>
        <v>0</v>
      </c>
      <c r="S48" s="4" t="s">
        <v>225</v>
      </c>
      <c r="T48" s="4" t="s">
        <v>73</v>
      </c>
    </row>
    <row r="49" spans="1:20" ht="56" customHeight="1" x14ac:dyDescent="0.35">
      <c r="A49" s="4" t="s">
        <v>226</v>
      </c>
      <c r="B49" s="4" t="s">
        <v>227</v>
      </c>
      <c r="C49" s="2" t="s">
        <v>55</v>
      </c>
      <c r="D49" s="21">
        <f>0</f>
        <v>0</v>
      </c>
      <c r="E49" s="21">
        <f>8</f>
        <v>8</v>
      </c>
      <c r="F49" s="22">
        <f>0</f>
        <v>0</v>
      </c>
      <c r="G49" s="21" t="s">
        <v>130</v>
      </c>
      <c r="H49" s="21"/>
      <c r="I49" s="21"/>
      <c r="J49" s="21"/>
      <c r="K49" s="17">
        <f>IF(D49=0,0,IF(AND(ISNUMBER(E49),E49&gt;=0,ISNUMBER(F49),F49&gt;=0,F49&lt;=1),E49*(1-F49)*(1+Settings!$B$5),0))</f>
        <v>0</v>
      </c>
      <c r="L49" s="17">
        <f>IFERROR(INDEX(Settings!$B$10:$B$12,MATCH(C49,{"Core","Practice","Delivery"},0)),0)</f>
        <v>1.5299999999999998</v>
      </c>
      <c r="M49" s="16" t="str">
        <f>IF(D49=0,"Skipped",IF(Settings!$B$15&lt;&gt;"Ready","Invalid settings",IF(OR(D49&lt;&gt;1,COUNTIF($A$2:$A$49,A49)&lt;&gt;1,NOT(ISNUMBER(E49)),E49&lt;0,NOT(ISNUMBER(F49)),F49&lt;0,F49&gt;1),"Invalid input",IF(F49=1,"Complete",IF(OR(L49&lt;=0,COUNTIFS($C$2:C48,C49,$M$2:M48,"Blocked*")+COUNTIFS($C$2:C48,C49,$M$2:M48,"Invalid*")&gt;0,AND(G49&lt;&gt;"",OR(IFERROR(INDEX($D$2:$D$48,MATCH(G49,$A$2:$A$48,0)),0)&lt;&gt;1,IFERROR(INDEX($M$2:$M$48,MATCH(G49,$A$2:$A$48,0)),"Blocked")="Blocked",LEFT(IFERROR(INDEX($M$2:$M$48,MATCH(G49,$A$2:$A$48,0)),"Invalid"),7)="Invalid")),AND(H49&lt;&gt;"",OR(IFERROR(INDEX($D$2:$D$48,MATCH(H49,$A$2:$A$48,0)),0)&lt;&gt;1,IFERROR(INDEX($M$2:$M$48,MATCH(H49,$A$2:$A$48,0)),"Blocked")="Blocked",LEFT(IFERROR(INDEX($M$2:$M$48,MATCH(H49,$A$2:$A$48,0)),"Invalid"),7)="Invalid")),AND(I49&lt;&gt;"",OR(IFERROR(INDEX($D$2:$D$48,MATCH(I49,$A$2:$A$48,0)),0)&lt;&gt;1,IFERROR(INDEX($M$2:$M$48,MATCH(I49,$A$2:$A$48,0)),"Blocked")="Blocked",LEFT(IFERROR(INDEX($M$2:$M$48,MATCH(I49,$A$2:$A$48,0)),"Invalid"),7)="Invalid")),AND(J49&lt;&gt;"",OR(IFERROR(INDEX($D$2:$D$48,MATCH(J49,$A$2:$A$48,0)),0)&lt;&gt;1,IFERROR(INDEX($M$2:$M$48,MATCH(J49,$A$2:$A$48,0)),"Blocked")="Blocked",LEFT(IFERROR(INDEX($M$2:$M$48,MATCH(J49,$A$2:$A$48,0)),"Invalid"),7)="Invalid"))),"Blocked","Planned")))))</f>
        <v>Skipped</v>
      </c>
      <c r="N49" s="17">
        <f>IF(M49="Skipped",O48,IF(OR(M49="Planned",M49="Complete"),MAX(O48,IF(G49="",0,IFERROR(INDEX($O$2:$O$48,MATCH(G49,$A$2:$A$48,0)),0)),IF(H49="",0,IFERROR(INDEX($O$2:$O$48,MATCH(H49,$A$2:$A$48,0)),0)),IF(I49="",0,IFERROR(INDEX($O$2:$O$48,MATCH(I49,$A$2:$A$48,0)),0)),IF(J49="",0,IFERROR(INDEX($O$2:$O$48,MATCH(J49,$A$2:$A$48,0)),0))),""))</f>
        <v>453.33333333333326</v>
      </c>
      <c r="O49" s="17">
        <f t="shared" si="0"/>
        <v>453.33333333333326</v>
      </c>
      <c r="P49" s="18" t="str">
        <f>IF(AND(M49="Planned",K49&gt;0),WORKDAY.INTL(Settings!$B$2-1,INT(N49+0.000000001)+1,Settings!$B$4,Holidays!$A$2:$A$101),"")</f>
        <v/>
      </c>
      <c r="Q49" s="18" t="str">
        <f>IF(AND(M49="Planned",K49&gt;0),WORKDAY.INTL(Settings!$B$2-1,MAX(1,ROUNDUP(O49-0.000000001,0)),Settings!$B$4,Holidays!$A$2:$A$101),"")</f>
        <v/>
      </c>
      <c r="R49" s="17">
        <f t="shared" si="1"/>
        <v>0</v>
      </c>
      <c r="S49" s="4" t="s">
        <v>228</v>
      </c>
      <c r="T49" s="4" t="s">
        <v>133</v>
      </c>
    </row>
  </sheetData>
  <sheetProtection sheet="1" objects="1" scenarios="1" formatColumns="0" formatRows="0" autoFilter="0"/>
  <autoFilter ref="A1:T49" xr:uid="{CD0E013C-E1D0-46FB-9436-8F747FD0B304}"/>
  <mergeCells count="1">
    <mergeCell ref="V1:V2"/>
  </mergeCells>
  <conditionalFormatting sqref="A2:E49 G2:L49 N2:T49">
    <cfRule type="expression" dxfId="16" priority="1" stopIfTrue="1">
      <formula>AND(MOD(ROW(),2)=0,OR(COLUMN()&lt;4,COLUMN()&gt;10))</formula>
    </cfRule>
  </conditionalFormatting>
  <conditionalFormatting sqref="C2:C49">
    <cfRule type="expression" dxfId="15" priority="8" stopIfTrue="1">
      <formula>$C2="Core"</formula>
    </cfRule>
    <cfRule type="expression" dxfId="14" priority="9" stopIfTrue="1">
      <formula>$C2="Practice"</formula>
    </cfRule>
    <cfRule type="expression" dxfId="13" priority="10" stopIfTrue="1">
      <formula>$C2="Delivery"</formula>
    </cfRule>
  </conditionalFormatting>
  <conditionalFormatting sqref="F2:F49">
    <cfRule type="dataBar" priority="2">
      <dataBar>
        <cfvo type="num" val="0"/>
        <cfvo type="num" val="1"/>
        <color rgb="FF18735C"/>
      </dataBar>
      <extLst>
        <ext xmlns:x14="http://schemas.microsoft.com/office/spreadsheetml/2009/9/main" uri="{B025F937-C7B1-47D3-B67F-A62EFF666E3E}">
          <x14:id>{22AEC192-DB71-4F42-B13E-671524CE7367}</x14:id>
        </ext>
      </extLst>
    </cfRule>
  </conditionalFormatting>
  <conditionalFormatting sqref="M2:M49">
    <cfRule type="expression" dxfId="12" priority="3" stopIfTrue="1">
      <formula>$M2="Planned"</formula>
    </cfRule>
    <cfRule type="expression" dxfId="11" priority="4" stopIfTrue="1">
      <formula>$M2="Complete"</formula>
    </cfRule>
    <cfRule type="expression" dxfId="10" priority="5" stopIfTrue="1">
      <formula>$M2="Blocked"</formula>
    </cfRule>
    <cfRule type="expression" dxfId="9" priority="6" stopIfTrue="1">
      <formula>LEFT($M2,7)="Invalid"</formula>
    </cfRule>
    <cfRule type="expression" dxfId="8" priority="7" stopIfTrue="1">
      <formula>$M2="Skipped"</formula>
    </cfRule>
  </conditionalFormatting>
  <dataValidations count="3">
    <dataValidation type="whole" allowBlank="1" showInputMessage="1" showErrorMessage="1" sqref="D2:D49" xr:uid="{71F46110-87FD-4420-A70D-97486F405430}">
      <formula1>0</formula1>
      <formula2>1</formula2>
    </dataValidation>
    <dataValidation type="decimal" allowBlank="1" showInputMessage="1" showErrorMessage="1" sqref="E2:E49" xr:uid="{89003A24-3037-4C21-BDF7-CB0F0C0A1D76}">
      <formula1>0</formula1>
      <formula2>1000</formula2>
    </dataValidation>
    <dataValidation type="decimal" allowBlank="1" showInputMessage="1" showErrorMessage="1" sqref="F2:F49" xr:uid="{4F270B6A-A818-4836-9E75-209465AA6D9B}">
      <formula1>0</formula1>
      <formula2>1</formula2>
    </dataValidation>
  </dataValidations>
  <hyperlinks>
    <hyperlink ref="V1:V2" location="'Overview'!A1" tooltip="Return to the executive overview." display="Overview" xr:uid="{6B3FFFA4-6819-4295-BE0D-EE7CCCA89BCC}"/>
  </hyperlinks>
  <pageMargins left="0.3" right="0.3" top="0.4" bottom="0.4" header="0.3" footer="0.3"/>
  <pageSetup paperSize="9" scale="70" fitToWidth="2" fitToHeight="0" orientation="landscape" r:id="rId1"/>
  <headerFooter>
    <oddFooter>&amp;LFDE Study Planner | &amp;A&amp;R&amp;P / &amp;N</oddFooter>
  </headerFooter>
  <extLst>
    <ext xmlns:x14="http://schemas.microsoft.com/office/spreadsheetml/2009/9/main" uri="{78C0D931-6437-407d-A8EE-F0AAD7539E65}">
      <x14:conditionalFormattings>
        <x14:conditionalFormatting xmlns:xm="http://schemas.microsoft.com/office/excel/2006/main">
          <x14:cfRule type="dataBar" id="{22AEC192-DB71-4F42-B13E-671524CE7367}">
            <x14:dataBar minLength="0" maxLength="100" negativeBarColorSameAsPositive="1" axisPosition="none">
              <x14:cfvo type="num">
                <xm:f>0</xm:f>
              </x14:cfvo>
              <x14:cfvo type="num">
                <xm:f>1</xm:f>
              </x14:cfvo>
            </x14:dataBar>
          </x14:cfRule>
          <xm:sqref>F2:F49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02F0-E8EC-4788-92EE-892430BC2AF7}">
  <sheetPr>
    <tabColor rgb="FF18735C"/>
    <pageSetUpPr fitToPage="1"/>
  </sheetPr>
  <dimension ref="A1:DE49"/>
  <sheetViews>
    <sheetView showGridLines="0" zoomScale="85" zoomScaleNormal="85" workbookViewId="0">
      <pane xSplit="4" ySplit="1" topLeftCell="E2" activePane="bottomRight" state="frozenSplit"/>
      <selection pane="topRight" activeCell="E1" sqref="E1"/>
      <selection pane="bottomLeft" activeCell="A2" sqref="A2"/>
      <selection pane="bottomRight" sqref="A1:XFD1048576"/>
    </sheetView>
  </sheetViews>
  <sheetFormatPr defaultRowHeight="14.5" x14ac:dyDescent="0.35"/>
  <cols>
    <col min="1" max="1" width="39.36328125" bestFit="1" customWidth="1"/>
    <col min="2" max="2" width="7.453125" bestFit="1" customWidth="1"/>
    <col min="3" max="4" width="10.08984375" bestFit="1" customWidth="1"/>
    <col min="5" max="6" width="6.1796875" bestFit="1" customWidth="1"/>
    <col min="7" max="10" width="6.36328125" bestFit="1" customWidth="1"/>
    <col min="11" max="14" width="6.453125" bestFit="1" customWidth="1"/>
    <col min="15" max="19" width="5.90625" customWidth="1"/>
    <col min="20" max="27" width="6.26953125" bestFit="1" customWidth="1"/>
    <col min="28" max="31" width="6.08984375" bestFit="1" customWidth="1"/>
    <col min="32" max="36" width="6.54296875" bestFit="1" customWidth="1"/>
    <col min="37" max="40" width="6" bestFit="1" customWidth="1"/>
    <col min="41" max="45" width="5.453125" bestFit="1" customWidth="1"/>
    <col min="46" max="53" width="6.36328125" bestFit="1" customWidth="1"/>
    <col min="54" max="58" width="6.1796875" bestFit="1" customWidth="1"/>
    <col min="59" max="62" width="6.36328125" bestFit="1" customWidth="1"/>
    <col min="63" max="66" width="6.453125" bestFit="1" customWidth="1"/>
    <col min="67" max="71" width="5.90625" customWidth="1"/>
    <col min="72" max="79" width="6.26953125" bestFit="1" customWidth="1"/>
    <col min="80" max="84" width="6.08984375" bestFit="1" customWidth="1"/>
    <col min="85" max="88" width="6.54296875" bestFit="1" customWidth="1"/>
    <col min="89" max="92" width="6" bestFit="1" customWidth="1"/>
    <col min="93" max="97" width="5.453125" bestFit="1" customWidth="1"/>
    <col min="98" max="106" width="6.36328125" bestFit="1" customWidth="1"/>
    <col min="107" max="108" width="6.1796875" bestFit="1" customWidth="1"/>
    <col min="109" max="109" width="8.36328125" bestFit="1" customWidth="1"/>
    <col min="110" max="110" width="18.6328125" customWidth="1"/>
  </cols>
  <sheetData>
    <row r="1" spans="1:109" ht="40" customHeight="1" x14ac:dyDescent="0.35">
      <c r="A1" s="5" t="s">
        <v>253</v>
      </c>
      <c r="B1" s="5" t="s">
        <v>35</v>
      </c>
      <c r="C1" s="5" t="s">
        <v>254</v>
      </c>
      <c r="D1" s="5" t="s">
        <v>255</v>
      </c>
      <c r="E1" s="23">
        <f>Settings!$B$2+0</f>
        <v>46319</v>
      </c>
      <c r="F1" s="23">
        <f>Settings!$B$2+7</f>
        <v>46326</v>
      </c>
      <c r="G1" s="23">
        <f>Settings!$B$2+14</f>
        <v>46333</v>
      </c>
      <c r="H1" s="23">
        <f>Settings!$B$2+21</f>
        <v>46340</v>
      </c>
      <c r="I1" s="23">
        <f>Settings!$B$2+28</f>
        <v>46347</v>
      </c>
      <c r="J1" s="23">
        <f>Settings!$B$2+35</f>
        <v>46354</v>
      </c>
      <c r="K1" s="23">
        <f>Settings!$B$2+42</f>
        <v>46361</v>
      </c>
      <c r="L1" s="23">
        <f>Settings!$B$2+49</f>
        <v>46368</v>
      </c>
      <c r="M1" s="23">
        <f>Settings!$B$2+56</f>
        <v>46375</v>
      </c>
      <c r="N1" s="23">
        <f>Settings!$B$2+63</f>
        <v>46382</v>
      </c>
      <c r="O1" s="23">
        <f>Settings!$B$2+70</f>
        <v>46389</v>
      </c>
      <c r="P1" s="23">
        <f>Settings!$B$2+77</f>
        <v>46396</v>
      </c>
      <c r="Q1" s="23">
        <f>Settings!$B$2+84</f>
        <v>46403</v>
      </c>
      <c r="R1" s="23">
        <f>Settings!$B$2+91</f>
        <v>46410</v>
      </c>
      <c r="S1" s="23">
        <f>Settings!$B$2+98</f>
        <v>46417</v>
      </c>
      <c r="T1" s="23">
        <f>Settings!$B$2+105</f>
        <v>46424</v>
      </c>
      <c r="U1" s="23">
        <f>Settings!$B$2+112</f>
        <v>46431</v>
      </c>
      <c r="V1" s="23">
        <f>Settings!$B$2+119</f>
        <v>46438</v>
      </c>
      <c r="W1" s="23">
        <f>Settings!$B$2+126</f>
        <v>46445</v>
      </c>
      <c r="X1" s="23">
        <f>Settings!$B$2+133</f>
        <v>46452</v>
      </c>
      <c r="Y1" s="23">
        <f>Settings!$B$2+140</f>
        <v>46459</v>
      </c>
      <c r="Z1" s="23">
        <f>Settings!$B$2+147</f>
        <v>46466</v>
      </c>
      <c r="AA1" s="23">
        <f>Settings!$B$2+154</f>
        <v>46473</v>
      </c>
      <c r="AB1" s="23">
        <f>Settings!$B$2+161</f>
        <v>46480</v>
      </c>
      <c r="AC1" s="23">
        <f>Settings!$B$2+168</f>
        <v>46487</v>
      </c>
      <c r="AD1" s="23">
        <f>Settings!$B$2+175</f>
        <v>46494</v>
      </c>
      <c r="AE1" s="23">
        <f>Settings!$B$2+182</f>
        <v>46501</v>
      </c>
      <c r="AF1" s="23">
        <f>Settings!$B$2+189</f>
        <v>46508</v>
      </c>
      <c r="AG1" s="23">
        <f>Settings!$B$2+196</f>
        <v>46515</v>
      </c>
      <c r="AH1" s="23">
        <f>Settings!$B$2+203</f>
        <v>46522</v>
      </c>
      <c r="AI1" s="23">
        <f>Settings!$B$2+210</f>
        <v>46529</v>
      </c>
      <c r="AJ1" s="23">
        <f>Settings!$B$2+217</f>
        <v>46536</v>
      </c>
      <c r="AK1" s="23">
        <f>Settings!$B$2+224</f>
        <v>46543</v>
      </c>
      <c r="AL1" s="23">
        <f>Settings!$B$2+231</f>
        <v>46550</v>
      </c>
      <c r="AM1" s="23">
        <f>Settings!$B$2+238</f>
        <v>46557</v>
      </c>
      <c r="AN1" s="23">
        <f>Settings!$B$2+245</f>
        <v>46564</v>
      </c>
      <c r="AO1" s="23">
        <f>Settings!$B$2+252</f>
        <v>46571</v>
      </c>
      <c r="AP1" s="23">
        <f>Settings!$B$2+259</f>
        <v>46578</v>
      </c>
      <c r="AQ1" s="23">
        <f>Settings!$B$2+266</f>
        <v>46585</v>
      </c>
      <c r="AR1" s="23">
        <f>Settings!$B$2+273</f>
        <v>46592</v>
      </c>
      <c r="AS1" s="23">
        <f>Settings!$B$2+280</f>
        <v>46599</v>
      </c>
      <c r="AT1" s="23">
        <f>Settings!$B$2+287</f>
        <v>46606</v>
      </c>
      <c r="AU1" s="23">
        <f>Settings!$B$2+294</f>
        <v>46613</v>
      </c>
      <c r="AV1" s="23">
        <f>Settings!$B$2+301</f>
        <v>46620</v>
      </c>
      <c r="AW1" s="23">
        <f>Settings!$B$2+308</f>
        <v>46627</v>
      </c>
      <c r="AX1" s="23">
        <f>Settings!$B$2+315</f>
        <v>46634</v>
      </c>
      <c r="AY1" s="23">
        <f>Settings!$B$2+322</f>
        <v>46641</v>
      </c>
      <c r="AZ1" s="23">
        <f>Settings!$B$2+329</f>
        <v>46648</v>
      </c>
      <c r="BA1" s="23">
        <f>Settings!$B$2+336</f>
        <v>46655</v>
      </c>
      <c r="BB1" s="23">
        <f>Settings!$B$2+343</f>
        <v>46662</v>
      </c>
      <c r="BC1" s="23">
        <f>Settings!$B$2+350</f>
        <v>46669</v>
      </c>
      <c r="BD1" s="23">
        <f>Settings!$B$2+357</f>
        <v>46676</v>
      </c>
      <c r="BE1" s="23">
        <f>Settings!$B$2+364</f>
        <v>46683</v>
      </c>
      <c r="BF1" s="23">
        <f>Settings!$B$2+371</f>
        <v>46690</v>
      </c>
      <c r="BG1" s="23">
        <f>Settings!$B$2+378</f>
        <v>46697</v>
      </c>
      <c r="BH1" s="23">
        <f>Settings!$B$2+385</f>
        <v>46704</v>
      </c>
      <c r="BI1" s="23">
        <f>Settings!$B$2+392</f>
        <v>46711</v>
      </c>
      <c r="BJ1" s="23">
        <f>Settings!$B$2+399</f>
        <v>46718</v>
      </c>
      <c r="BK1" s="23">
        <f>Settings!$B$2+406</f>
        <v>46725</v>
      </c>
      <c r="BL1" s="23">
        <f>Settings!$B$2+413</f>
        <v>46732</v>
      </c>
      <c r="BM1" s="23">
        <f>Settings!$B$2+420</f>
        <v>46739</v>
      </c>
      <c r="BN1" s="23">
        <f>Settings!$B$2+427</f>
        <v>46746</v>
      </c>
      <c r="BO1" s="23">
        <f>Settings!$B$2+434</f>
        <v>46753</v>
      </c>
      <c r="BP1" s="23">
        <f>Settings!$B$2+441</f>
        <v>46760</v>
      </c>
      <c r="BQ1" s="23">
        <f>Settings!$B$2+448</f>
        <v>46767</v>
      </c>
      <c r="BR1" s="23">
        <f>Settings!$B$2+455</f>
        <v>46774</v>
      </c>
      <c r="BS1" s="23">
        <f>Settings!$B$2+462</f>
        <v>46781</v>
      </c>
      <c r="BT1" s="23">
        <f>Settings!$B$2+469</f>
        <v>46788</v>
      </c>
      <c r="BU1" s="23">
        <f>Settings!$B$2+476</f>
        <v>46795</v>
      </c>
      <c r="BV1" s="23">
        <f>Settings!$B$2+483</f>
        <v>46802</v>
      </c>
      <c r="BW1" s="23">
        <f>Settings!$B$2+490</f>
        <v>46809</v>
      </c>
      <c r="BX1" s="23">
        <f>Settings!$B$2+497</f>
        <v>46816</v>
      </c>
      <c r="BY1" s="23">
        <f>Settings!$B$2+504</f>
        <v>46823</v>
      </c>
      <c r="BZ1" s="23">
        <f>Settings!$B$2+511</f>
        <v>46830</v>
      </c>
      <c r="CA1" s="23">
        <f>Settings!$B$2+518</f>
        <v>46837</v>
      </c>
      <c r="CB1" s="23">
        <f>Settings!$B$2+525</f>
        <v>46844</v>
      </c>
      <c r="CC1" s="23">
        <f>Settings!$B$2+532</f>
        <v>46851</v>
      </c>
      <c r="CD1" s="23">
        <f>Settings!$B$2+539</f>
        <v>46858</v>
      </c>
      <c r="CE1" s="23">
        <f>Settings!$B$2+546</f>
        <v>46865</v>
      </c>
      <c r="CF1" s="23">
        <f>Settings!$B$2+553</f>
        <v>46872</v>
      </c>
      <c r="CG1" s="23">
        <f>Settings!$B$2+560</f>
        <v>46879</v>
      </c>
      <c r="CH1" s="23">
        <f>Settings!$B$2+567</f>
        <v>46886</v>
      </c>
      <c r="CI1" s="23">
        <f>Settings!$B$2+574</f>
        <v>46893</v>
      </c>
      <c r="CJ1" s="23">
        <f>Settings!$B$2+581</f>
        <v>46900</v>
      </c>
      <c r="CK1" s="23">
        <f>Settings!$B$2+588</f>
        <v>46907</v>
      </c>
      <c r="CL1" s="23">
        <f>Settings!$B$2+595</f>
        <v>46914</v>
      </c>
      <c r="CM1" s="23">
        <f>Settings!$B$2+602</f>
        <v>46921</v>
      </c>
      <c r="CN1" s="23">
        <f>Settings!$B$2+609</f>
        <v>46928</v>
      </c>
      <c r="CO1" s="23">
        <f>Settings!$B$2+616</f>
        <v>46935</v>
      </c>
      <c r="CP1" s="23">
        <f>Settings!$B$2+623</f>
        <v>46942</v>
      </c>
      <c r="CQ1" s="23">
        <f>Settings!$B$2+630</f>
        <v>46949</v>
      </c>
      <c r="CR1" s="23">
        <f>Settings!$B$2+637</f>
        <v>46956</v>
      </c>
      <c r="CS1" s="23">
        <f>Settings!$B$2+644</f>
        <v>46963</v>
      </c>
      <c r="CT1" s="23">
        <f>Settings!$B$2+651</f>
        <v>46970</v>
      </c>
      <c r="CU1" s="23">
        <f>Settings!$B$2+658</f>
        <v>46977</v>
      </c>
      <c r="CV1" s="23">
        <f>Settings!$B$2+665</f>
        <v>46984</v>
      </c>
      <c r="CW1" s="23">
        <f>Settings!$B$2+672</f>
        <v>46991</v>
      </c>
      <c r="CX1" s="23">
        <f>Settings!$B$2+679</f>
        <v>46998</v>
      </c>
      <c r="CY1" s="23">
        <f>Settings!$B$2+686</f>
        <v>47005</v>
      </c>
      <c r="CZ1" s="23">
        <f>Settings!$B$2+693</f>
        <v>47012</v>
      </c>
      <c r="DA1" s="23">
        <f>Settings!$B$2+700</f>
        <v>47019</v>
      </c>
      <c r="DB1" s="23">
        <f>Settings!$B$2+707</f>
        <v>47026</v>
      </c>
      <c r="DC1" s="23">
        <f>Settings!$B$2+714</f>
        <v>47033</v>
      </c>
      <c r="DD1" s="23">
        <f>Settings!$B$2+721</f>
        <v>47040</v>
      </c>
      <c r="DE1" s="44" t="s">
        <v>533</v>
      </c>
    </row>
    <row r="2" spans="1:109" ht="28" customHeight="1" x14ac:dyDescent="0.35">
      <c r="A2" s="24" t="str">
        <f>Schedule!B2</f>
        <v>FDE role and delivery orientation</v>
      </c>
      <c r="B2" s="4" t="str">
        <f>Schedule!C2</f>
        <v>Core</v>
      </c>
      <c r="C2" s="3">
        <f>IF(Schedule!P2="","",Schedule!P2)</f>
        <v>46319</v>
      </c>
      <c r="D2" s="3">
        <f>IF(Schedule!Q2="","",Schedule!Q2)</f>
        <v>46323</v>
      </c>
      <c r="E2" s="6">
        <f t="shared" ref="E2:N11" si="0">IF(AND(ISNUMBER($C2),ISNUMBER($D2),E$1&lt;=$D2,E$1+6&gt;=$C2),1,"")</f>
        <v>1</v>
      </c>
      <c r="F2" s="6" t="str">
        <f t="shared" si="0"/>
        <v/>
      </c>
      <c r="G2" s="6" t="str">
        <f t="shared" si="0"/>
        <v/>
      </c>
      <c r="H2" s="6" t="str">
        <f t="shared" si="0"/>
        <v/>
      </c>
      <c r="I2" s="6" t="str">
        <f t="shared" si="0"/>
        <v/>
      </c>
      <c r="J2" s="6" t="str">
        <f t="shared" si="0"/>
        <v/>
      </c>
      <c r="K2" s="6" t="str">
        <f t="shared" si="0"/>
        <v/>
      </c>
      <c r="L2" s="6" t="str">
        <f t="shared" si="0"/>
        <v/>
      </c>
      <c r="M2" s="6" t="str">
        <f t="shared" si="0"/>
        <v/>
      </c>
      <c r="N2" s="6" t="str">
        <f t="shared" si="0"/>
        <v/>
      </c>
      <c r="O2" s="6" t="str">
        <f t="shared" ref="O2:X11" si="1">IF(AND(ISNUMBER($C2),ISNUMBER($D2),O$1&lt;=$D2,O$1+6&gt;=$C2),1,"")</f>
        <v/>
      </c>
      <c r="P2" s="6" t="str">
        <f t="shared" si="1"/>
        <v/>
      </c>
      <c r="Q2" s="6" t="str">
        <f t="shared" si="1"/>
        <v/>
      </c>
      <c r="R2" s="6" t="str">
        <f t="shared" si="1"/>
        <v/>
      </c>
      <c r="S2" s="6" t="str">
        <f t="shared" si="1"/>
        <v/>
      </c>
      <c r="T2" s="6" t="str">
        <f t="shared" si="1"/>
        <v/>
      </c>
      <c r="U2" s="6" t="str">
        <f t="shared" si="1"/>
        <v/>
      </c>
      <c r="V2" s="6" t="str">
        <f t="shared" si="1"/>
        <v/>
      </c>
      <c r="W2" s="6" t="str">
        <f t="shared" si="1"/>
        <v/>
      </c>
      <c r="X2" s="6" t="str">
        <f t="shared" si="1"/>
        <v/>
      </c>
      <c r="Y2" s="6" t="str">
        <f t="shared" ref="Y2:AH11" si="2">IF(AND(ISNUMBER($C2),ISNUMBER($D2),Y$1&lt;=$D2,Y$1+6&gt;=$C2),1,"")</f>
        <v/>
      </c>
      <c r="Z2" s="6" t="str">
        <f t="shared" si="2"/>
        <v/>
      </c>
      <c r="AA2" s="6" t="str">
        <f t="shared" si="2"/>
        <v/>
      </c>
      <c r="AB2" s="6" t="str">
        <f t="shared" si="2"/>
        <v/>
      </c>
      <c r="AC2" s="6" t="str">
        <f t="shared" si="2"/>
        <v/>
      </c>
      <c r="AD2" s="6" t="str">
        <f t="shared" si="2"/>
        <v/>
      </c>
      <c r="AE2" s="6" t="str">
        <f t="shared" si="2"/>
        <v/>
      </c>
      <c r="AF2" s="6" t="str">
        <f t="shared" si="2"/>
        <v/>
      </c>
      <c r="AG2" s="6" t="str">
        <f t="shared" si="2"/>
        <v/>
      </c>
      <c r="AH2" s="6" t="str">
        <f t="shared" si="2"/>
        <v/>
      </c>
      <c r="AI2" s="6" t="str">
        <f t="shared" ref="AI2:AR11" si="3">IF(AND(ISNUMBER($C2),ISNUMBER($D2),AI$1&lt;=$D2,AI$1+6&gt;=$C2),1,"")</f>
        <v/>
      </c>
      <c r="AJ2" s="6" t="str">
        <f t="shared" si="3"/>
        <v/>
      </c>
      <c r="AK2" s="6" t="str">
        <f t="shared" si="3"/>
        <v/>
      </c>
      <c r="AL2" s="6" t="str">
        <f t="shared" si="3"/>
        <v/>
      </c>
      <c r="AM2" s="6" t="str">
        <f t="shared" si="3"/>
        <v/>
      </c>
      <c r="AN2" s="6" t="str">
        <f t="shared" si="3"/>
        <v/>
      </c>
      <c r="AO2" s="6" t="str">
        <f t="shared" si="3"/>
        <v/>
      </c>
      <c r="AP2" s="6" t="str">
        <f t="shared" si="3"/>
        <v/>
      </c>
      <c r="AQ2" s="6" t="str">
        <f t="shared" si="3"/>
        <v/>
      </c>
      <c r="AR2" s="6" t="str">
        <f t="shared" si="3"/>
        <v/>
      </c>
      <c r="AS2" s="6" t="str">
        <f t="shared" ref="AS2:BB11" si="4">IF(AND(ISNUMBER($C2),ISNUMBER($D2),AS$1&lt;=$D2,AS$1+6&gt;=$C2),1,"")</f>
        <v/>
      </c>
      <c r="AT2" s="6" t="str">
        <f t="shared" si="4"/>
        <v/>
      </c>
      <c r="AU2" s="6" t="str">
        <f t="shared" si="4"/>
        <v/>
      </c>
      <c r="AV2" s="6" t="str">
        <f t="shared" si="4"/>
        <v/>
      </c>
      <c r="AW2" s="6" t="str">
        <f t="shared" si="4"/>
        <v/>
      </c>
      <c r="AX2" s="6" t="str">
        <f t="shared" si="4"/>
        <v/>
      </c>
      <c r="AY2" s="6" t="str">
        <f t="shared" si="4"/>
        <v/>
      </c>
      <c r="AZ2" s="6" t="str">
        <f t="shared" si="4"/>
        <v/>
      </c>
      <c r="BA2" s="6" t="str">
        <f t="shared" si="4"/>
        <v/>
      </c>
      <c r="BB2" s="6" t="str">
        <f t="shared" si="4"/>
        <v/>
      </c>
      <c r="BC2" s="6" t="str">
        <f t="shared" ref="BC2:BL11" si="5">IF(AND(ISNUMBER($C2),ISNUMBER($D2),BC$1&lt;=$D2,BC$1+6&gt;=$C2),1,"")</f>
        <v/>
      </c>
      <c r="BD2" s="6" t="str">
        <f t="shared" si="5"/>
        <v/>
      </c>
      <c r="BE2" s="6" t="str">
        <f t="shared" si="5"/>
        <v/>
      </c>
      <c r="BF2" s="6" t="str">
        <f t="shared" si="5"/>
        <v/>
      </c>
      <c r="BG2" s="6" t="str">
        <f t="shared" si="5"/>
        <v/>
      </c>
      <c r="BH2" s="6" t="str">
        <f t="shared" si="5"/>
        <v/>
      </c>
      <c r="BI2" s="6" t="str">
        <f t="shared" si="5"/>
        <v/>
      </c>
      <c r="BJ2" s="6" t="str">
        <f t="shared" si="5"/>
        <v/>
      </c>
      <c r="BK2" s="6" t="str">
        <f t="shared" si="5"/>
        <v/>
      </c>
      <c r="BL2" s="6" t="str">
        <f t="shared" si="5"/>
        <v/>
      </c>
      <c r="BM2" s="6" t="str">
        <f t="shared" ref="BM2:BV11" si="6">IF(AND(ISNUMBER($C2),ISNUMBER($D2),BM$1&lt;=$D2,BM$1+6&gt;=$C2),1,"")</f>
        <v/>
      </c>
      <c r="BN2" s="6" t="str">
        <f t="shared" si="6"/>
        <v/>
      </c>
      <c r="BO2" s="6" t="str">
        <f t="shared" si="6"/>
        <v/>
      </c>
      <c r="BP2" s="6" t="str">
        <f t="shared" si="6"/>
        <v/>
      </c>
      <c r="BQ2" s="6" t="str">
        <f t="shared" si="6"/>
        <v/>
      </c>
      <c r="BR2" s="6" t="str">
        <f t="shared" si="6"/>
        <v/>
      </c>
      <c r="BS2" s="6" t="str">
        <f t="shared" si="6"/>
        <v/>
      </c>
      <c r="BT2" s="6" t="str">
        <f t="shared" si="6"/>
        <v/>
      </c>
      <c r="BU2" s="6" t="str">
        <f t="shared" si="6"/>
        <v/>
      </c>
      <c r="BV2" s="6" t="str">
        <f t="shared" si="6"/>
        <v/>
      </c>
      <c r="BW2" s="6" t="str">
        <f t="shared" ref="BW2:CF11" si="7">IF(AND(ISNUMBER($C2),ISNUMBER($D2),BW$1&lt;=$D2,BW$1+6&gt;=$C2),1,"")</f>
        <v/>
      </c>
      <c r="BX2" s="6" t="str">
        <f t="shared" si="7"/>
        <v/>
      </c>
      <c r="BY2" s="6" t="str">
        <f t="shared" si="7"/>
        <v/>
      </c>
      <c r="BZ2" s="6" t="str">
        <f t="shared" si="7"/>
        <v/>
      </c>
      <c r="CA2" s="6" t="str">
        <f t="shared" si="7"/>
        <v/>
      </c>
      <c r="CB2" s="6" t="str">
        <f t="shared" si="7"/>
        <v/>
      </c>
      <c r="CC2" s="6" t="str">
        <f t="shared" si="7"/>
        <v/>
      </c>
      <c r="CD2" s="6" t="str">
        <f t="shared" si="7"/>
        <v/>
      </c>
      <c r="CE2" s="6" t="str">
        <f t="shared" si="7"/>
        <v/>
      </c>
      <c r="CF2" s="6" t="str">
        <f t="shared" si="7"/>
        <v/>
      </c>
      <c r="CG2" s="6" t="str">
        <f t="shared" ref="CG2:CP11" si="8">IF(AND(ISNUMBER($C2),ISNUMBER($D2),CG$1&lt;=$D2,CG$1+6&gt;=$C2),1,"")</f>
        <v/>
      </c>
      <c r="CH2" s="6" t="str">
        <f t="shared" si="8"/>
        <v/>
      </c>
      <c r="CI2" s="6" t="str">
        <f t="shared" si="8"/>
        <v/>
      </c>
      <c r="CJ2" s="6" t="str">
        <f t="shared" si="8"/>
        <v/>
      </c>
      <c r="CK2" s="6" t="str">
        <f t="shared" si="8"/>
        <v/>
      </c>
      <c r="CL2" s="6" t="str">
        <f t="shared" si="8"/>
        <v/>
      </c>
      <c r="CM2" s="6" t="str">
        <f t="shared" si="8"/>
        <v/>
      </c>
      <c r="CN2" s="6" t="str">
        <f t="shared" si="8"/>
        <v/>
      </c>
      <c r="CO2" s="6" t="str">
        <f t="shared" si="8"/>
        <v/>
      </c>
      <c r="CP2" s="6" t="str">
        <f t="shared" si="8"/>
        <v/>
      </c>
      <c r="CQ2" s="6" t="str">
        <f t="shared" ref="CQ2:DD11" si="9">IF(AND(ISNUMBER($C2),ISNUMBER($D2),CQ$1&lt;=$D2,CQ$1+6&gt;=$C2),1,"")</f>
        <v/>
      </c>
      <c r="CR2" s="6" t="str">
        <f t="shared" si="9"/>
        <v/>
      </c>
      <c r="CS2" s="6" t="str">
        <f t="shared" si="9"/>
        <v/>
      </c>
      <c r="CT2" s="6" t="str">
        <f t="shared" si="9"/>
        <v/>
      </c>
      <c r="CU2" s="6" t="str">
        <f t="shared" si="9"/>
        <v/>
      </c>
      <c r="CV2" s="6" t="str">
        <f t="shared" si="9"/>
        <v/>
      </c>
      <c r="CW2" s="6" t="str">
        <f t="shared" si="9"/>
        <v/>
      </c>
      <c r="CX2" s="6" t="str">
        <f t="shared" si="9"/>
        <v/>
      </c>
      <c r="CY2" s="6" t="str">
        <f t="shared" si="9"/>
        <v/>
      </c>
      <c r="CZ2" s="6" t="str">
        <f t="shared" si="9"/>
        <v/>
      </c>
      <c r="DA2" s="6" t="str">
        <f t="shared" si="9"/>
        <v/>
      </c>
      <c r="DB2" s="6" t="str">
        <f t="shared" si="9"/>
        <v/>
      </c>
      <c r="DC2" s="6" t="str">
        <f t="shared" si="9"/>
        <v/>
      </c>
      <c r="DD2" s="6" t="str">
        <f t="shared" si="9"/>
        <v/>
      </c>
      <c r="DE2" s="45"/>
    </row>
    <row r="3" spans="1:109" ht="28" customHeight="1" x14ac:dyDescent="0.35">
      <c r="A3" s="24" t="str">
        <f>Schedule!B3</f>
        <v>Primary language: Python</v>
      </c>
      <c r="B3" s="4" t="str">
        <f>Schedule!C3</f>
        <v>Core</v>
      </c>
      <c r="C3" s="3">
        <f>IF(Schedule!P3="","",Schedule!P3)</f>
        <v>46323</v>
      </c>
      <c r="D3" s="3">
        <f>IF(Schedule!Q3="","",Schedule!Q3)</f>
        <v>46352</v>
      </c>
      <c r="E3" s="6">
        <f t="shared" si="0"/>
        <v>1</v>
      </c>
      <c r="F3" s="6">
        <f t="shared" si="0"/>
        <v>1</v>
      </c>
      <c r="G3" s="6">
        <f t="shared" si="0"/>
        <v>1</v>
      </c>
      <c r="H3" s="6">
        <f t="shared" si="0"/>
        <v>1</v>
      </c>
      <c r="I3" s="6">
        <f t="shared" si="0"/>
        <v>1</v>
      </c>
      <c r="J3" s="6" t="str">
        <f t="shared" si="0"/>
        <v/>
      </c>
      <c r="K3" s="6" t="str">
        <f t="shared" si="0"/>
        <v/>
      </c>
      <c r="L3" s="6" t="str">
        <f t="shared" si="0"/>
        <v/>
      </c>
      <c r="M3" s="6" t="str">
        <f t="shared" si="0"/>
        <v/>
      </c>
      <c r="N3" s="6" t="str">
        <f t="shared" si="0"/>
        <v/>
      </c>
      <c r="O3" s="6" t="str">
        <f t="shared" si="1"/>
        <v/>
      </c>
      <c r="P3" s="6" t="str">
        <f t="shared" si="1"/>
        <v/>
      </c>
      <c r="Q3" s="6" t="str">
        <f t="shared" si="1"/>
        <v/>
      </c>
      <c r="R3" s="6" t="str">
        <f t="shared" si="1"/>
        <v/>
      </c>
      <c r="S3" s="6" t="str">
        <f t="shared" si="1"/>
        <v/>
      </c>
      <c r="T3" s="6" t="str">
        <f t="shared" si="1"/>
        <v/>
      </c>
      <c r="U3" s="6" t="str">
        <f t="shared" si="1"/>
        <v/>
      </c>
      <c r="V3" s="6" t="str">
        <f t="shared" si="1"/>
        <v/>
      </c>
      <c r="W3" s="6" t="str">
        <f t="shared" si="1"/>
        <v/>
      </c>
      <c r="X3" s="6" t="str">
        <f t="shared" si="1"/>
        <v/>
      </c>
      <c r="Y3" s="6" t="str">
        <f t="shared" si="2"/>
        <v/>
      </c>
      <c r="Z3" s="6" t="str">
        <f t="shared" si="2"/>
        <v/>
      </c>
      <c r="AA3" s="6" t="str">
        <f t="shared" si="2"/>
        <v/>
      </c>
      <c r="AB3" s="6" t="str">
        <f t="shared" si="2"/>
        <v/>
      </c>
      <c r="AC3" s="6" t="str">
        <f t="shared" si="2"/>
        <v/>
      </c>
      <c r="AD3" s="6" t="str">
        <f t="shared" si="2"/>
        <v/>
      </c>
      <c r="AE3" s="6" t="str">
        <f t="shared" si="2"/>
        <v/>
      </c>
      <c r="AF3" s="6" t="str">
        <f t="shared" si="2"/>
        <v/>
      </c>
      <c r="AG3" s="6" t="str">
        <f t="shared" si="2"/>
        <v/>
      </c>
      <c r="AH3" s="6" t="str">
        <f t="shared" si="2"/>
        <v/>
      </c>
      <c r="AI3" s="6" t="str">
        <f t="shared" si="3"/>
        <v/>
      </c>
      <c r="AJ3" s="6" t="str">
        <f t="shared" si="3"/>
        <v/>
      </c>
      <c r="AK3" s="6" t="str">
        <f t="shared" si="3"/>
        <v/>
      </c>
      <c r="AL3" s="6" t="str">
        <f t="shared" si="3"/>
        <v/>
      </c>
      <c r="AM3" s="6" t="str">
        <f t="shared" si="3"/>
        <v/>
      </c>
      <c r="AN3" s="6" t="str">
        <f t="shared" si="3"/>
        <v/>
      </c>
      <c r="AO3" s="6" t="str">
        <f t="shared" si="3"/>
        <v/>
      </c>
      <c r="AP3" s="6" t="str">
        <f t="shared" si="3"/>
        <v/>
      </c>
      <c r="AQ3" s="6" t="str">
        <f t="shared" si="3"/>
        <v/>
      </c>
      <c r="AR3" s="6" t="str">
        <f t="shared" si="3"/>
        <v/>
      </c>
      <c r="AS3" s="6" t="str">
        <f t="shared" si="4"/>
        <v/>
      </c>
      <c r="AT3" s="6" t="str">
        <f t="shared" si="4"/>
        <v/>
      </c>
      <c r="AU3" s="6" t="str">
        <f t="shared" si="4"/>
        <v/>
      </c>
      <c r="AV3" s="6" t="str">
        <f t="shared" si="4"/>
        <v/>
      </c>
      <c r="AW3" s="6" t="str">
        <f t="shared" si="4"/>
        <v/>
      </c>
      <c r="AX3" s="6" t="str">
        <f t="shared" si="4"/>
        <v/>
      </c>
      <c r="AY3" s="6" t="str">
        <f t="shared" si="4"/>
        <v/>
      </c>
      <c r="AZ3" s="6" t="str">
        <f t="shared" si="4"/>
        <v/>
      </c>
      <c r="BA3" s="6" t="str">
        <f t="shared" si="4"/>
        <v/>
      </c>
      <c r="BB3" s="6" t="str">
        <f t="shared" si="4"/>
        <v/>
      </c>
      <c r="BC3" s="6" t="str">
        <f t="shared" si="5"/>
        <v/>
      </c>
      <c r="BD3" s="6" t="str">
        <f t="shared" si="5"/>
        <v/>
      </c>
      <c r="BE3" s="6" t="str">
        <f t="shared" si="5"/>
        <v/>
      </c>
      <c r="BF3" s="6" t="str">
        <f t="shared" si="5"/>
        <v/>
      </c>
      <c r="BG3" s="6" t="str">
        <f t="shared" si="5"/>
        <v/>
      </c>
      <c r="BH3" s="6" t="str">
        <f t="shared" si="5"/>
        <v/>
      </c>
      <c r="BI3" s="6" t="str">
        <f t="shared" si="5"/>
        <v/>
      </c>
      <c r="BJ3" s="6" t="str">
        <f t="shared" si="5"/>
        <v/>
      </c>
      <c r="BK3" s="6" t="str">
        <f t="shared" si="5"/>
        <v/>
      </c>
      <c r="BL3" s="6" t="str">
        <f t="shared" si="5"/>
        <v/>
      </c>
      <c r="BM3" s="6" t="str">
        <f t="shared" si="6"/>
        <v/>
      </c>
      <c r="BN3" s="6" t="str">
        <f t="shared" si="6"/>
        <v/>
      </c>
      <c r="BO3" s="6" t="str">
        <f t="shared" si="6"/>
        <v/>
      </c>
      <c r="BP3" s="6" t="str">
        <f t="shared" si="6"/>
        <v/>
      </c>
      <c r="BQ3" s="6" t="str">
        <f t="shared" si="6"/>
        <v/>
      </c>
      <c r="BR3" s="6" t="str">
        <f t="shared" si="6"/>
        <v/>
      </c>
      <c r="BS3" s="6" t="str">
        <f t="shared" si="6"/>
        <v/>
      </c>
      <c r="BT3" s="6" t="str">
        <f t="shared" si="6"/>
        <v/>
      </c>
      <c r="BU3" s="6" t="str">
        <f t="shared" si="6"/>
        <v/>
      </c>
      <c r="BV3" s="6" t="str">
        <f t="shared" si="6"/>
        <v/>
      </c>
      <c r="BW3" s="6" t="str">
        <f t="shared" si="7"/>
        <v/>
      </c>
      <c r="BX3" s="6" t="str">
        <f t="shared" si="7"/>
        <v/>
      </c>
      <c r="BY3" s="6" t="str">
        <f t="shared" si="7"/>
        <v/>
      </c>
      <c r="BZ3" s="6" t="str">
        <f t="shared" si="7"/>
        <v/>
      </c>
      <c r="CA3" s="6" t="str">
        <f t="shared" si="7"/>
        <v/>
      </c>
      <c r="CB3" s="6" t="str">
        <f t="shared" si="7"/>
        <v/>
      </c>
      <c r="CC3" s="6" t="str">
        <f t="shared" si="7"/>
        <v/>
      </c>
      <c r="CD3" s="6" t="str">
        <f t="shared" si="7"/>
        <v/>
      </c>
      <c r="CE3" s="6" t="str">
        <f t="shared" si="7"/>
        <v/>
      </c>
      <c r="CF3" s="6" t="str">
        <f t="shared" si="7"/>
        <v/>
      </c>
      <c r="CG3" s="6" t="str">
        <f t="shared" si="8"/>
        <v/>
      </c>
      <c r="CH3" s="6" t="str">
        <f t="shared" si="8"/>
        <v/>
      </c>
      <c r="CI3" s="6" t="str">
        <f t="shared" si="8"/>
        <v/>
      </c>
      <c r="CJ3" s="6" t="str">
        <f t="shared" si="8"/>
        <v/>
      </c>
      <c r="CK3" s="6" t="str">
        <f t="shared" si="8"/>
        <v/>
      </c>
      <c r="CL3" s="6" t="str">
        <f t="shared" si="8"/>
        <v/>
      </c>
      <c r="CM3" s="6" t="str">
        <f t="shared" si="8"/>
        <v/>
      </c>
      <c r="CN3" s="6" t="str">
        <f t="shared" si="8"/>
        <v/>
      </c>
      <c r="CO3" s="6" t="str">
        <f t="shared" si="8"/>
        <v/>
      </c>
      <c r="CP3" s="6" t="str">
        <f t="shared" si="8"/>
        <v/>
      </c>
      <c r="CQ3" s="6" t="str">
        <f t="shared" si="9"/>
        <v/>
      </c>
      <c r="CR3" s="6" t="str">
        <f t="shared" si="9"/>
        <v/>
      </c>
      <c r="CS3" s="6" t="str">
        <f t="shared" si="9"/>
        <v/>
      </c>
      <c r="CT3" s="6" t="str">
        <f t="shared" si="9"/>
        <v/>
      </c>
      <c r="CU3" s="6" t="str">
        <f t="shared" si="9"/>
        <v/>
      </c>
      <c r="CV3" s="6" t="str">
        <f t="shared" si="9"/>
        <v/>
      </c>
      <c r="CW3" s="6" t="str">
        <f t="shared" si="9"/>
        <v/>
      </c>
      <c r="CX3" s="6" t="str">
        <f t="shared" si="9"/>
        <v/>
      </c>
      <c r="CY3" s="6" t="str">
        <f t="shared" si="9"/>
        <v/>
      </c>
      <c r="CZ3" s="6" t="str">
        <f t="shared" si="9"/>
        <v/>
      </c>
      <c r="DA3" s="6" t="str">
        <f t="shared" si="9"/>
        <v/>
      </c>
      <c r="DB3" s="6" t="str">
        <f t="shared" si="9"/>
        <v/>
      </c>
      <c r="DC3" s="6" t="str">
        <f t="shared" si="9"/>
        <v/>
      </c>
      <c r="DD3" s="6" t="str">
        <f t="shared" si="9"/>
        <v/>
      </c>
    </row>
    <row r="4" spans="1:109" ht="28" customHeight="1" x14ac:dyDescent="0.35">
      <c r="A4" s="24" t="str">
        <f>Schedule!B4</f>
        <v>Git Linux and debugging foundations</v>
      </c>
      <c r="B4" s="4" t="str">
        <f>Schedule!C4</f>
        <v>Core</v>
      </c>
      <c r="C4" s="3">
        <f>IF(Schedule!P4="","",Schedule!P4)</f>
        <v>46352</v>
      </c>
      <c r="D4" s="3">
        <f>IF(Schedule!Q4="","",Schedule!Q4)</f>
        <v>46368</v>
      </c>
      <c r="E4" s="6" t="str">
        <f t="shared" si="0"/>
        <v/>
      </c>
      <c r="F4" s="6" t="str">
        <f t="shared" si="0"/>
        <v/>
      </c>
      <c r="G4" s="6" t="str">
        <f t="shared" si="0"/>
        <v/>
      </c>
      <c r="H4" s="6" t="str">
        <f t="shared" si="0"/>
        <v/>
      </c>
      <c r="I4" s="6">
        <f t="shared" si="0"/>
        <v>1</v>
      </c>
      <c r="J4" s="6">
        <f t="shared" si="0"/>
        <v>1</v>
      </c>
      <c r="K4" s="6">
        <f t="shared" si="0"/>
        <v>1</v>
      </c>
      <c r="L4" s="6">
        <f t="shared" si="0"/>
        <v>1</v>
      </c>
      <c r="M4" s="6" t="str">
        <f t="shared" si="0"/>
        <v/>
      </c>
      <c r="N4" s="6" t="str">
        <f t="shared" si="0"/>
        <v/>
      </c>
      <c r="O4" s="6" t="str">
        <f t="shared" si="1"/>
        <v/>
      </c>
      <c r="P4" s="6" t="str">
        <f t="shared" si="1"/>
        <v/>
      </c>
      <c r="Q4" s="6" t="str">
        <f t="shared" si="1"/>
        <v/>
      </c>
      <c r="R4" s="6" t="str">
        <f t="shared" si="1"/>
        <v/>
      </c>
      <c r="S4" s="6" t="str">
        <f t="shared" si="1"/>
        <v/>
      </c>
      <c r="T4" s="6" t="str">
        <f t="shared" si="1"/>
        <v/>
      </c>
      <c r="U4" s="6" t="str">
        <f t="shared" si="1"/>
        <v/>
      </c>
      <c r="V4" s="6" t="str">
        <f t="shared" si="1"/>
        <v/>
      </c>
      <c r="W4" s="6" t="str">
        <f t="shared" si="1"/>
        <v/>
      </c>
      <c r="X4" s="6" t="str">
        <f t="shared" si="1"/>
        <v/>
      </c>
      <c r="Y4" s="6" t="str">
        <f t="shared" si="2"/>
        <v/>
      </c>
      <c r="Z4" s="6" t="str">
        <f t="shared" si="2"/>
        <v/>
      </c>
      <c r="AA4" s="6" t="str">
        <f t="shared" si="2"/>
        <v/>
      </c>
      <c r="AB4" s="6" t="str">
        <f t="shared" si="2"/>
        <v/>
      </c>
      <c r="AC4" s="6" t="str">
        <f t="shared" si="2"/>
        <v/>
      </c>
      <c r="AD4" s="6" t="str">
        <f t="shared" si="2"/>
        <v/>
      </c>
      <c r="AE4" s="6" t="str">
        <f t="shared" si="2"/>
        <v/>
      </c>
      <c r="AF4" s="6" t="str">
        <f t="shared" si="2"/>
        <v/>
      </c>
      <c r="AG4" s="6" t="str">
        <f t="shared" si="2"/>
        <v/>
      </c>
      <c r="AH4" s="6" t="str">
        <f t="shared" si="2"/>
        <v/>
      </c>
      <c r="AI4" s="6" t="str">
        <f t="shared" si="3"/>
        <v/>
      </c>
      <c r="AJ4" s="6" t="str">
        <f t="shared" si="3"/>
        <v/>
      </c>
      <c r="AK4" s="6" t="str">
        <f t="shared" si="3"/>
        <v/>
      </c>
      <c r="AL4" s="6" t="str">
        <f t="shared" si="3"/>
        <v/>
      </c>
      <c r="AM4" s="6" t="str">
        <f t="shared" si="3"/>
        <v/>
      </c>
      <c r="AN4" s="6" t="str">
        <f t="shared" si="3"/>
        <v/>
      </c>
      <c r="AO4" s="6" t="str">
        <f t="shared" si="3"/>
        <v/>
      </c>
      <c r="AP4" s="6" t="str">
        <f t="shared" si="3"/>
        <v/>
      </c>
      <c r="AQ4" s="6" t="str">
        <f t="shared" si="3"/>
        <v/>
      </c>
      <c r="AR4" s="6" t="str">
        <f t="shared" si="3"/>
        <v/>
      </c>
      <c r="AS4" s="6" t="str">
        <f t="shared" si="4"/>
        <v/>
      </c>
      <c r="AT4" s="6" t="str">
        <f t="shared" si="4"/>
        <v/>
      </c>
      <c r="AU4" s="6" t="str">
        <f t="shared" si="4"/>
        <v/>
      </c>
      <c r="AV4" s="6" t="str">
        <f t="shared" si="4"/>
        <v/>
      </c>
      <c r="AW4" s="6" t="str">
        <f t="shared" si="4"/>
        <v/>
      </c>
      <c r="AX4" s="6" t="str">
        <f t="shared" si="4"/>
        <v/>
      </c>
      <c r="AY4" s="6" t="str">
        <f t="shared" si="4"/>
        <v/>
      </c>
      <c r="AZ4" s="6" t="str">
        <f t="shared" si="4"/>
        <v/>
      </c>
      <c r="BA4" s="6" t="str">
        <f t="shared" si="4"/>
        <v/>
      </c>
      <c r="BB4" s="6" t="str">
        <f t="shared" si="4"/>
        <v/>
      </c>
      <c r="BC4" s="6" t="str">
        <f t="shared" si="5"/>
        <v/>
      </c>
      <c r="BD4" s="6" t="str">
        <f t="shared" si="5"/>
        <v/>
      </c>
      <c r="BE4" s="6" t="str">
        <f t="shared" si="5"/>
        <v/>
      </c>
      <c r="BF4" s="6" t="str">
        <f t="shared" si="5"/>
        <v/>
      </c>
      <c r="BG4" s="6" t="str">
        <f t="shared" si="5"/>
        <v/>
      </c>
      <c r="BH4" s="6" t="str">
        <f t="shared" si="5"/>
        <v/>
      </c>
      <c r="BI4" s="6" t="str">
        <f t="shared" si="5"/>
        <v/>
      </c>
      <c r="BJ4" s="6" t="str">
        <f t="shared" si="5"/>
        <v/>
      </c>
      <c r="BK4" s="6" t="str">
        <f t="shared" si="5"/>
        <v/>
      </c>
      <c r="BL4" s="6" t="str">
        <f t="shared" si="5"/>
        <v/>
      </c>
      <c r="BM4" s="6" t="str">
        <f t="shared" si="6"/>
        <v/>
      </c>
      <c r="BN4" s="6" t="str">
        <f t="shared" si="6"/>
        <v/>
      </c>
      <c r="BO4" s="6" t="str">
        <f t="shared" si="6"/>
        <v/>
      </c>
      <c r="BP4" s="6" t="str">
        <f t="shared" si="6"/>
        <v/>
      </c>
      <c r="BQ4" s="6" t="str">
        <f t="shared" si="6"/>
        <v/>
      </c>
      <c r="BR4" s="6" t="str">
        <f t="shared" si="6"/>
        <v/>
      </c>
      <c r="BS4" s="6" t="str">
        <f t="shared" si="6"/>
        <v/>
      </c>
      <c r="BT4" s="6" t="str">
        <f t="shared" si="6"/>
        <v/>
      </c>
      <c r="BU4" s="6" t="str">
        <f t="shared" si="6"/>
        <v/>
      </c>
      <c r="BV4" s="6" t="str">
        <f t="shared" si="6"/>
        <v/>
      </c>
      <c r="BW4" s="6" t="str">
        <f t="shared" si="7"/>
        <v/>
      </c>
      <c r="BX4" s="6" t="str">
        <f t="shared" si="7"/>
        <v/>
      </c>
      <c r="BY4" s="6" t="str">
        <f t="shared" si="7"/>
        <v/>
      </c>
      <c r="BZ4" s="6" t="str">
        <f t="shared" si="7"/>
        <v/>
      </c>
      <c r="CA4" s="6" t="str">
        <f t="shared" si="7"/>
        <v/>
      </c>
      <c r="CB4" s="6" t="str">
        <f t="shared" si="7"/>
        <v/>
      </c>
      <c r="CC4" s="6" t="str">
        <f t="shared" si="7"/>
        <v/>
      </c>
      <c r="CD4" s="6" t="str">
        <f t="shared" si="7"/>
        <v/>
      </c>
      <c r="CE4" s="6" t="str">
        <f t="shared" si="7"/>
        <v/>
      </c>
      <c r="CF4" s="6" t="str">
        <f t="shared" si="7"/>
        <v/>
      </c>
      <c r="CG4" s="6" t="str">
        <f t="shared" si="8"/>
        <v/>
      </c>
      <c r="CH4" s="6" t="str">
        <f t="shared" si="8"/>
        <v/>
      </c>
      <c r="CI4" s="6" t="str">
        <f t="shared" si="8"/>
        <v/>
      </c>
      <c r="CJ4" s="6" t="str">
        <f t="shared" si="8"/>
        <v/>
      </c>
      <c r="CK4" s="6" t="str">
        <f t="shared" si="8"/>
        <v/>
      </c>
      <c r="CL4" s="6" t="str">
        <f t="shared" si="8"/>
        <v/>
      </c>
      <c r="CM4" s="6" t="str">
        <f t="shared" si="8"/>
        <v/>
      </c>
      <c r="CN4" s="6" t="str">
        <f t="shared" si="8"/>
        <v/>
      </c>
      <c r="CO4" s="6" t="str">
        <f t="shared" si="8"/>
        <v/>
      </c>
      <c r="CP4" s="6" t="str">
        <f t="shared" si="8"/>
        <v/>
      </c>
      <c r="CQ4" s="6" t="str">
        <f t="shared" si="9"/>
        <v/>
      </c>
      <c r="CR4" s="6" t="str">
        <f t="shared" si="9"/>
        <v/>
      </c>
      <c r="CS4" s="6" t="str">
        <f t="shared" si="9"/>
        <v/>
      </c>
      <c r="CT4" s="6" t="str">
        <f t="shared" si="9"/>
        <v/>
      </c>
      <c r="CU4" s="6" t="str">
        <f t="shared" si="9"/>
        <v/>
      </c>
      <c r="CV4" s="6" t="str">
        <f t="shared" si="9"/>
        <v/>
      </c>
      <c r="CW4" s="6" t="str">
        <f t="shared" si="9"/>
        <v/>
      </c>
      <c r="CX4" s="6" t="str">
        <f t="shared" si="9"/>
        <v/>
      </c>
      <c r="CY4" s="6" t="str">
        <f t="shared" si="9"/>
        <v/>
      </c>
      <c r="CZ4" s="6" t="str">
        <f t="shared" si="9"/>
        <v/>
      </c>
      <c r="DA4" s="6" t="str">
        <f t="shared" si="9"/>
        <v/>
      </c>
      <c r="DB4" s="6" t="str">
        <f t="shared" si="9"/>
        <v/>
      </c>
      <c r="DC4" s="6" t="str">
        <f t="shared" si="9"/>
        <v/>
      </c>
      <c r="DD4" s="6" t="str">
        <f t="shared" si="9"/>
        <v/>
      </c>
    </row>
    <row r="5" spans="1:109" ht="28" customHeight="1" x14ac:dyDescent="0.35">
      <c r="A5" s="24" t="str">
        <f>Schedule!B5</f>
        <v>Testing and reproducible project bridge</v>
      </c>
      <c r="B5" s="4" t="str">
        <f>Schedule!C5</f>
        <v>Core</v>
      </c>
      <c r="C5" s="3">
        <f>IF(Schedule!P5="","",Schedule!P5)</f>
        <v>46368</v>
      </c>
      <c r="D5" s="3">
        <f>IF(Schedule!Q5="","",Schedule!Q5)</f>
        <v>46387</v>
      </c>
      <c r="E5" s="6" t="str">
        <f t="shared" si="0"/>
        <v/>
      </c>
      <c r="F5" s="6" t="str">
        <f t="shared" si="0"/>
        <v/>
      </c>
      <c r="G5" s="6" t="str">
        <f t="shared" si="0"/>
        <v/>
      </c>
      <c r="H5" s="6" t="str">
        <f t="shared" si="0"/>
        <v/>
      </c>
      <c r="I5" s="6" t="str">
        <f t="shared" si="0"/>
        <v/>
      </c>
      <c r="J5" s="6" t="str">
        <f t="shared" si="0"/>
        <v/>
      </c>
      <c r="K5" s="6" t="str">
        <f t="shared" si="0"/>
        <v/>
      </c>
      <c r="L5" s="6">
        <f t="shared" si="0"/>
        <v>1</v>
      </c>
      <c r="M5" s="6">
        <f t="shared" si="0"/>
        <v>1</v>
      </c>
      <c r="N5" s="6">
        <f t="shared" si="0"/>
        <v>1</v>
      </c>
      <c r="O5" s="6" t="str">
        <f t="shared" si="1"/>
        <v/>
      </c>
      <c r="P5" s="6" t="str">
        <f t="shared" si="1"/>
        <v/>
      </c>
      <c r="Q5" s="6" t="str">
        <f t="shared" si="1"/>
        <v/>
      </c>
      <c r="R5" s="6" t="str">
        <f t="shared" si="1"/>
        <v/>
      </c>
      <c r="S5" s="6" t="str">
        <f t="shared" si="1"/>
        <v/>
      </c>
      <c r="T5" s="6" t="str">
        <f t="shared" si="1"/>
        <v/>
      </c>
      <c r="U5" s="6" t="str">
        <f t="shared" si="1"/>
        <v/>
      </c>
      <c r="V5" s="6" t="str">
        <f t="shared" si="1"/>
        <v/>
      </c>
      <c r="W5" s="6" t="str">
        <f t="shared" si="1"/>
        <v/>
      </c>
      <c r="X5" s="6" t="str">
        <f t="shared" si="1"/>
        <v/>
      </c>
      <c r="Y5" s="6" t="str">
        <f t="shared" si="2"/>
        <v/>
      </c>
      <c r="Z5" s="6" t="str">
        <f t="shared" si="2"/>
        <v/>
      </c>
      <c r="AA5" s="6" t="str">
        <f t="shared" si="2"/>
        <v/>
      </c>
      <c r="AB5" s="6" t="str">
        <f t="shared" si="2"/>
        <v/>
      </c>
      <c r="AC5" s="6" t="str">
        <f t="shared" si="2"/>
        <v/>
      </c>
      <c r="AD5" s="6" t="str">
        <f t="shared" si="2"/>
        <v/>
      </c>
      <c r="AE5" s="6" t="str">
        <f t="shared" si="2"/>
        <v/>
      </c>
      <c r="AF5" s="6" t="str">
        <f t="shared" si="2"/>
        <v/>
      </c>
      <c r="AG5" s="6" t="str">
        <f t="shared" si="2"/>
        <v/>
      </c>
      <c r="AH5" s="6" t="str">
        <f t="shared" si="2"/>
        <v/>
      </c>
      <c r="AI5" s="6" t="str">
        <f t="shared" si="3"/>
        <v/>
      </c>
      <c r="AJ5" s="6" t="str">
        <f t="shared" si="3"/>
        <v/>
      </c>
      <c r="AK5" s="6" t="str">
        <f t="shared" si="3"/>
        <v/>
      </c>
      <c r="AL5" s="6" t="str">
        <f t="shared" si="3"/>
        <v/>
      </c>
      <c r="AM5" s="6" t="str">
        <f t="shared" si="3"/>
        <v/>
      </c>
      <c r="AN5" s="6" t="str">
        <f t="shared" si="3"/>
        <v/>
      </c>
      <c r="AO5" s="6" t="str">
        <f t="shared" si="3"/>
        <v/>
      </c>
      <c r="AP5" s="6" t="str">
        <f t="shared" si="3"/>
        <v/>
      </c>
      <c r="AQ5" s="6" t="str">
        <f t="shared" si="3"/>
        <v/>
      </c>
      <c r="AR5" s="6" t="str">
        <f t="shared" si="3"/>
        <v/>
      </c>
      <c r="AS5" s="6" t="str">
        <f t="shared" si="4"/>
        <v/>
      </c>
      <c r="AT5" s="6" t="str">
        <f t="shared" si="4"/>
        <v/>
      </c>
      <c r="AU5" s="6" t="str">
        <f t="shared" si="4"/>
        <v/>
      </c>
      <c r="AV5" s="6" t="str">
        <f t="shared" si="4"/>
        <v/>
      </c>
      <c r="AW5" s="6" t="str">
        <f t="shared" si="4"/>
        <v/>
      </c>
      <c r="AX5" s="6" t="str">
        <f t="shared" si="4"/>
        <v/>
      </c>
      <c r="AY5" s="6" t="str">
        <f t="shared" si="4"/>
        <v/>
      </c>
      <c r="AZ5" s="6" t="str">
        <f t="shared" si="4"/>
        <v/>
      </c>
      <c r="BA5" s="6" t="str">
        <f t="shared" si="4"/>
        <v/>
      </c>
      <c r="BB5" s="6" t="str">
        <f t="shared" si="4"/>
        <v/>
      </c>
      <c r="BC5" s="6" t="str">
        <f t="shared" si="5"/>
        <v/>
      </c>
      <c r="BD5" s="6" t="str">
        <f t="shared" si="5"/>
        <v/>
      </c>
      <c r="BE5" s="6" t="str">
        <f t="shared" si="5"/>
        <v/>
      </c>
      <c r="BF5" s="6" t="str">
        <f t="shared" si="5"/>
        <v/>
      </c>
      <c r="BG5" s="6" t="str">
        <f t="shared" si="5"/>
        <v/>
      </c>
      <c r="BH5" s="6" t="str">
        <f t="shared" si="5"/>
        <v/>
      </c>
      <c r="BI5" s="6" t="str">
        <f t="shared" si="5"/>
        <v/>
      </c>
      <c r="BJ5" s="6" t="str">
        <f t="shared" si="5"/>
        <v/>
      </c>
      <c r="BK5" s="6" t="str">
        <f t="shared" si="5"/>
        <v/>
      </c>
      <c r="BL5" s="6" t="str">
        <f t="shared" si="5"/>
        <v/>
      </c>
      <c r="BM5" s="6" t="str">
        <f t="shared" si="6"/>
        <v/>
      </c>
      <c r="BN5" s="6" t="str">
        <f t="shared" si="6"/>
        <v/>
      </c>
      <c r="BO5" s="6" t="str">
        <f t="shared" si="6"/>
        <v/>
      </c>
      <c r="BP5" s="6" t="str">
        <f t="shared" si="6"/>
        <v/>
      </c>
      <c r="BQ5" s="6" t="str">
        <f t="shared" si="6"/>
        <v/>
      </c>
      <c r="BR5" s="6" t="str">
        <f t="shared" si="6"/>
        <v/>
      </c>
      <c r="BS5" s="6" t="str">
        <f t="shared" si="6"/>
        <v/>
      </c>
      <c r="BT5" s="6" t="str">
        <f t="shared" si="6"/>
        <v/>
      </c>
      <c r="BU5" s="6" t="str">
        <f t="shared" si="6"/>
        <v/>
      </c>
      <c r="BV5" s="6" t="str">
        <f t="shared" si="6"/>
        <v/>
      </c>
      <c r="BW5" s="6" t="str">
        <f t="shared" si="7"/>
        <v/>
      </c>
      <c r="BX5" s="6" t="str">
        <f t="shared" si="7"/>
        <v/>
      </c>
      <c r="BY5" s="6" t="str">
        <f t="shared" si="7"/>
        <v/>
      </c>
      <c r="BZ5" s="6" t="str">
        <f t="shared" si="7"/>
        <v/>
      </c>
      <c r="CA5" s="6" t="str">
        <f t="shared" si="7"/>
        <v/>
      </c>
      <c r="CB5" s="6" t="str">
        <f t="shared" si="7"/>
        <v/>
      </c>
      <c r="CC5" s="6" t="str">
        <f t="shared" si="7"/>
        <v/>
      </c>
      <c r="CD5" s="6" t="str">
        <f t="shared" si="7"/>
        <v/>
      </c>
      <c r="CE5" s="6" t="str">
        <f t="shared" si="7"/>
        <v/>
      </c>
      <c r="CF5" s="6" t="str">
        <f t="shared" si="7"/>
        <v/>
      </c>
      <c r="CG5" s="6" t="str">
        <f t="shared" si="8"/>
        <v/>
      </c>
      <c r="CH5" s="6" t="str">
        <f t="shared" si="8"/>
        <v/>
      </c>
      <c r="CI5" s="6" t="str">
        <f t="shared" si="8"/>
        <v/>
      </c>
      <c r="CJ5" s="6" t="str">
        <f t="shared" si="8"/>
        <v/>
      </c>
      <c r="CK5" s="6" t="str">
        <f t="shared" si="8"/>
        <v/>
      </c>
      <c r="CL5" s="6" t="str">
        <f t="shared" si="8"/>
        <v/>
      </c>
      <c r="CM5" s="6" t="str">
        <f t="shared" si="8"/>
        <v/>
      </c>
      <c r="CN5" s="6" t="str">
        <f t="shared" si="8"/>
        <v/>
      </c>
      <c r="CO5" s="6" t="str">
        <f t="shared" si="8"/>
        <v/>
      </c>
      <c r="CP5" s="6" t="str">
        <f t="shared" si="8"/>
        <v/>
      </c>
      <c r="CQ5" s="6" t="str">
        <f t="shared" si="9"/>
        <v/>
      </c>
      <c r="CR5" s="6" t="str">
        <f t="shared" si="9"/>
        <v/>
      </c>
      <c r="CS5" s="6" t="str">
        <f t="shared" si="9"/>
        <v/>
      </c>
      <c r="CT5" s="6" t="str">
        <f t="shared" si="9"/>
        <v/>
      </c>
      <c r="CU5" s="6" t="str">
        <f t="shared" si="9"/>
        <v/>
      </c>
      <c r="CV5" s="6" t="str">
        <f t="shared" si="9"/>
        <v/>
      </c>
      <c r="CW5" s="6" t="str">
        <f t="shared" si="9"/>
        <v/>
      </c>
      <c r="CX5" s="6" t="str">
        <f t="shared" si="9"/>
        <v/>
      </c>
      <c r="CY5" s="6" t="str">
        <f t="shared" si="9"/>
        <v/>
      </c>
      <c r="CZ5" s="6" t="str">
        <f t="shared" si="9"/>
        <v/>
      </c>
      <c r="DA5" s="6" t="str">
        <f t="shared" si="9"/>
        <v/>
      </c>
      <c r="DB5" s="6" t="str">
        <f t="shared" si="9"/>
        <v/>
      </c>
      <c r="DC5" s="6" t="str">
        <f t="shared" si="9"/>
        <v/>
      </c>
      <c r="DD5" s="6" t="str">
        <f t="shared" si="9"/>
        <v/>
      </c>
    </row>
    <row r="6" spans="1:109" ht="28" customHeight="1" x14ac:dyDescent="0.35">
      <c r="A6" s="24" t="str">
        <f>Schedule!B6</f>
        <v>HTTP backend and API contracts</v>
      </c>
      <c r="B6" s="4" t="str">
        <f>Schedule!C6</f>
        <v>Core</v>
      </c>
      <c r="C6" s="3">
        <f>IF(Schedule!P6="","",Schedule!P6)</f>
        <v>46387</v>
      </c>
      <c r="D6" s="3">
        <f>IF(Schedule!Q6="","",Schedule!Q6)</f>
        <v>46414</v>
      </c>
      <c r="E6" s="6" t="str">
        <f t="shared" si="0"/>
        <v/>
      </c>
      <c r="F6" s="6" t="str">
        <f t="shared" si="0"/>
        <v/>
      </c>
      <c r="G6" s="6" t="str">
        <f t="shared" si="0"/>
        <v/>
      </c>
      <c r="H6" s="6" t="str">
        <f t="shared" si="0"/>
        <v/>
      </c>
      <c r="I6" s="6" t="str">
        <f t="shared" si="0"/>
        <v/>
      </c>
      <c r="J6" s="6" t="str">
        <f t="shared" si="0"/>
        <v/>
      </c>
      <c r="K6" s="6" t="str">
        <f t="shared" si="0"/>
        <v/>
      </c>
      <c r="L6" s="6" t="str">
        <f t="shared" si="0"/>
        <v/>
      </c>
      <c r="M6" s="6" t="str">
        <f t="shared" si="0"/>
        <v/>
      </c>
      <c r="N6" s="6">
        <f t="shared" si="0"/>
        <v>1</v>
      </c>
      <c r="O6" s="6">
        <f t="shared" si="1"/>
        <v>1</v>
      </c>
      <c r="P6" s="6">
        <f t="shared" si="1"/>
        <v>1</v>
      </c>
      <c r="Q6" s="6">
        <f t="shared" si="1"/>
        <v>1</v>
      </c>
      <c r="R6" s="6">
        <f t="shared" si="1"/>
        <v>1</v>
      </c>
      <c r="S6" s="6" t="str">
        <f t="shared" si="1"/>
        <v/>
      </c>
      <c r="T6" s="6" t="str">
        <f t="shared" si="1"/>
        <v/>
      </c>
      <c r="U6" s="6" t="str">
        <f t="shared" si="1"/>
        <v/>
      </c>
      <c r="V6" s="6" t="str">
        <f t="shared" si="1"/>
        <v/>
      </c>
      <c r="W6" s="6" t="str">
        <f t="shared" si="1"/>
        <v/>
      </c>
      <c r="X6" s="6" t="str">
        <f t="shared" si="1"/>
        <v/>
      </c>
      <c r="Y6" s="6" t="str">
        <f t="shared" si="2"/>
        <v/>
      </c>
      <c r="Z6" s="6" t="str">
        <f t="shared" si="2"/>
        <v/>
      </c>
      <c r="AA6" s="6" t="str">
        <f t="shared" si="2"/>
        <v/>
      </c>
      <c r="AB6" s="6" t="str">
        <f t="shared" si="2"/>
        <v/>
      </c>
      <c r="AC6" s="6" t="str">
        <f t="shared" si="2"/>
        <v/>
      </c>
      <c r="AD6" s="6" t="str">
        <f t="shared" si="2"/>
        <v/>
      </c>
      <c r="AE6" s="6" t="str">
        <f t="shared" si="2"/>
        <v/>
      </c>
      <c r="AF6" s="6" t="str">
        <f t="shared" si="2"/>
        <v/>
      </c>
      <c r="AG6" s="6" t="str">
        <f t="shared" si="2"/>
        <v/>
      </c>
      <c r="AH6" s="6" t="str">
        <f t="shared" si="2"/>
        <v/>
      </c>
      <c r="AI6" s="6" t="str">
        <f t="shared" si="3"/>
        <v/>
      </c>
      <c r="AJ6" s="6" t="str">
        <f t="shared" si="3"/>
        <v/>
      </c>
      <c r="AK6" s="6" t="str">
        <f t="shared" si="3"/>
        <v/>
      </c>
      <c r="AL6" s="6" t="str">
        <f t="shared" si="3"/>
        <v/>
      </c>
      <c r="AM6" s="6" t="str">
        <f t="shared" si="3"/>
        <v/>
      </c>
      <c r="AN6" s="6" t="str">
        <f t="shared" si="3"/>
        <v/>
      </c>
      <c r="AO6" s="6" t="str">
        <f t="shared" si="3"/>
        <v/>
      </c>
      <c r="AP6" s="6" t="str">
        <f t="shared" si="3"/>
        <v/>
      </c>
      <c r="AQ6" s="6" t="str">
        <f t="shared" si="3"/>
        <v/>
      </c>
      <c r="AR6" s="6" t="str">
        <f t="shared" si="3"/>
        <v/>
      </c>
      <c r="AS6" s="6" t="str">
        <f t="shared" si="4"/>
        <v/>
      </c>
      <c r="AT6" s="6" t="str">
        <f t="shared" si="4"/>
        <v/>
      </c>
      <c r="AU6" s="6" t="str">
        <f t="shared" si="4"/>
        <v/>
      </c>
      <c r="AV6" s="6" t="str">
        <f t="shared" si="4"/>
        <v/>
      </c>
      <c r="AW6" s="6" t="str">
        <f t="shared" si="4"/>
        <v/>
      </c>
      <c r="AX6" s="6" t="str">
        <f t="shared" si="4"/>
        <v/>
      </c>
      <c r="AY6" s="6" t="str">
        <f t="shared" si="4"/>
        <v/>
      </c>
      <c r="AZ6" s="6" t="str">
        <f t="shared" si="4"/>
        <v/>
      </c>
      <c r="BA6" s="6" t="str">
        <f t="shared" si="4"/>
        <v/>
      </c>
      <c r="BB6" s="6" t="str">
        <f t="shared" si="4"/>
        <v/>
      </c>
      <c r="BC6" s="6" t="str">
        <f t="shared" si="5"/>
        <v/>
      </c>
      <c r="BD6" s="6" t="str">
        <f t="shared" si="5"/>
        <v/>
      </c>
      <c r="BE6" s="6" t="str">
        <f t="shared" si="5"/>
        <v/>
      </c>
      <c r="BF6" s="6" t="str">
        <f t="shared" si="5"/>
        <v/>
      </c>
      <c r="BG6" s="6" t="str">
        <f t="shared" si="5"/>
        <v/>
      </c>
      <c r="BH6" s="6" t="str">
        <f t="shared" si="5"/>
        <v/>
      </c>
      <c r="BI6" s="6" t="str">
        <f t="shared" si="5"/>
        <v/>
      </c>
      <c r="BJ6" s="6" t="str">
        <f t="shared" si="5"/>
        <v/>
      </c>
      <c r="BK6" s="6" t="str">
        <f t="shared" si="5"/>
        <v/>
      </c>
      <c r="BL6" s="6" t="str">
        <f t="shared" si="5"/>
        <v/>
      </c>
      <c r="BM6" s="6" t="str">
        <f t="shared" si="6"/>
        <v/>
      </c>
      <c r="BN6" s="6" t="str">
        <f t="shared" si="6"/>
        <v/>
      </c>
      <c r="BO6" s="6" t="str">
        <f t="shared" si="6"/>
        <v/>
      </c>
      <c r="BP6" s="6" t="str">
        <f t="shared" si="6"/>
        <v/>
      </c>
      <c r="BQ6" s="6" t="str">
        <f t="shared" si="6"/>
        <v/>
      </c>
      <c r="BR6" s="6" t="str">
        <f t="shared" si="6"/>
        <v/>
      </c>
      <c r="BS6" s="6" t="str">
        <f t="shared" si="6"/>
        <v/>
      </c>
      <c r="BT6" s="6" t="str">
        <f t="shared" si="6"/>
        <v/>
      </c>
      <c r="BU6" s="6" t="str">
        <f t="shared" si="6"/>
        <v/>
      </c>
      <c r="BV6" s="6" t="str">
        <f t="shared" si="6"/>
        <v/>
      </c>
      <c r="BW6" s="6" t="str">
        <f t="shared" si="7"/>
        <v/>
      </c>
      <c r="BX6" s="6" t="str">
        <f t="shared" si="7"/>
        <v/>
      </c>
      <c r="BY6" s="6" t="str">
        <f t="shared" si="7"/>
        <v/>
      </c>
      <c r="BZ6" s="6" t="str">
        <f t="shared" si="7"/>
        <v/>
      </c>
      <c r="CA6" s="6" t="str">
        <f t="shared" si="7"/>
        <v/>
      </c>
      <c r="CB6" s="6" t="str">
        <f t="shared" si="7"/>
        <v/>
      </c>
      <c r="CC6" s="6" t="str">
        <f t="shared" si="7"/>
        <v/>
      </c>
      <c r="CD6" s="6" t="str">
        <f t="shared" si="7"/>
        <v/>
      </c>
      <c r="CE6" s="6" t="str">
        <f t="shared" si="7"/>
        <v/>
      </c>
      <c r="CF6" s="6" t="str">
        <f t="shared" si="7"/>
        <v/>
      </c>
      <c r="CG6" s="6" t="str">
        <f t="shared" si="8"/>
        <v/>
      </c>
      <c r="CH6" s="6" t="str">
        <f t="shared" si="8"/>
        <v/>
      </c>
      <c r="CI6" s="6" t="str">
        <f t="shared" si="8"/>
        <v/>
      </c>
      <c r="CJ6" s="6" t="str">
        <f t="shared" si="8"/>
        <v/>
      </c>
      <c r="CK6" s="6" t="str">
        <f t="shared" si="8"/>
        <v/>
      </c>
      <c r="CL6" s="6" t="str">
        <f t="shared" si="8"/>
        <v/>
      </c>
      <c r="CM6" s="6" t="str">
        <f t="shared" si="8"/>
        <v/>
      </c>
      <c r="CN6" s="6" t="str">
        <f t="shared" si="8"/>
        <v/>
      </c>
      <c r="CO6" s="6" t="str">
        <f t="shared" si="8"/>
        <v/>
      </c>
      <c r="CP6" s="6" t="str">
        <f t="shared" si="8"/>
        <v/>
      </c>
      <c r="CQ6" s="6" t="str">
        <f t="shared" si="9"/>
        <v/>
      </c>
      <c r="CR6" s="6" t="str">
        <f t="shared" si="9"/>
        <v/>
      </c>
      <c r="CS6" s="6" t="str">
        <f t="shared" si="9"/>
        <v/>
      </c>
      <c r="CT6" s="6" t="str">
        <f t="shared" si="9"/>
        <v/>
      </c>
      <c r="CU6" s="6" t="str">
        <f t="shared" si="9"/>
        <v/>
      </c>
      <c r="CV6" s="6" t="str">
        <f t="shared" si="9"/>
        <v/>
      </c>
      <c r="CW6" s="6" t="str">
        <f t="shared" si="9"/>
        <v/>
      </c>
      <c r="CX6" s="6" t="str">
        <f t="shared" si="9"/>
        <v/>
      </c>
      <c r="CY6" s="6" t="str">
        <f t="shared" si="9"/>
        <v/>
      </c>
      <c r="CZ6" s="6" t="str">
        <f t="shared" si="9"/>
        <v/>
      </c>
      <c r="DA6" s="6" t="str">
        <f t="shared" si="9"/>
        <v/>
      </c>
      <c r="DB6" s="6" t="str">
        <f t="shared" si="9"/>
        <v/>
      </c>
      <c r="DC6" s="6" t="str">
        <f t="shared" si="9"/>
        <v/>
      </c>
      <c r="DD6" s="6" t="str">
        <f t="shared" si="9"/>
        <v/>
      </c>
    </row>
    <row r="7" spans="1:109" ht="28" customHeight="1" x14ac:dyDescent="0.35">
      <c r="A7" s="24" t="str">
        <f>Schedule!B7</f>
        <v>SQL relational modeling and PostgreSQL</v>
      </c>
      <c r="B7" s="4" t="str">
        <f>Schedule!C7</f>
        <v>Core</v>
      </c>
      <c r="C7" s="3">
        <f>IF(Schedule!P7="","",Schedule!P7)</f>
        <v>46414</v>
      </c>
      <c r="D7" s="3">
        <f>IF(Schedule!Q7="","",Schedule!Q7)</f>
        <v>46443</v>
      </c>
      <c r="E7" s="6" t="str">
        <f t="shared" si="0"/>
        <v/>
      </c>
      <c r="F7" s="6" t="str">
        <f t="shared" si="0"/>
        <v/>
      </c>
      <c r="G7" s="6" t="str">
        <f t="shared" si="0"/>
        <v/>
      </c>
      <c r="H7" s="6" t="str">
        <f t="shared" si="0"/>
        <v/>
      </c>
      <c r="I7" s="6" t="str">
        <f t="shared" si="0"/>
        <v/>
      </c>
      <c r="J7" s="6" t="str">
        <f t="shared" si="0"/>
        <v/>
      </c>
      <c r="K7" s="6" t="str">
        <f t="shared" si="0"/>
        <v/>
      </c>
      <c r="L7" s="6" t="str">
        <f t="shared" si="0"/>
        <v/>
      </c>
      <c r="M7" s="6" t="str">
        <f t="shared" si="0"/>
        <v/>
      </c>
      <c r="N7" s="6" t="str">
        <f t="shared" si="0"/>
        <v/>
      </c>
      <c r="O7" s="6" t="str">
        <f t="shared" si="1"/>
        <v/>
      </c>
      <c r="P7" s="6" t="str">
        <f t="shared" si="1"/>
        <v/>
      </c>
      <c r="Q7" s="6" t="str">
        <f t="shared" si="1"/>
        <v/>
      </c>
      <c r="R7" s="6">
        <f t="shared" si="1"/>
        <v>1</v>
      </c>
      <c r="S7" s="6">
        <f t="shared" si="1"/>
        <v>1</v>
      </c>
      <c r="T7" s="6">
        <f t="shared" si="1"/>
        <v>1</v>
      </c>
      <c r="U7" s="6">
        <f t="shared" si="1"/>
        <v>1</v>
      </c>
      <c r="V7" s="6">
        <f t="shared" si="1"/>
        <v>1</v>
      </c>
      <c r="W7" s="6" t="str">
        <f t="shared" si="1"/>
        <v/>
      </c>
      <c r="X7" s="6" t="str">
        <f t="shared" si="1"/>
        <v/>
      </c>
      <c r="Y7" s="6" t="str">
        <f t="shared" si="2"/>
        <v/>
      </c>
      <c r="Z7" s="6" t="str">
        <f t="shared" si="2"/>
        <v/>
      </c>
      <c r="AA7" s="6" t="str">
        <f t="shared" si="2"/>
        <v/>
      </c>
      <c r="AB7" s="6" t="str">
        <f t="shared" si="2"/>
        <v/>
      </c>
      <c r="AC7" s="6" t="str">
        <f t="shared" si="2"/>
        <v/>
      </c>
      <c r="AD7" s="6" t="str">
        <f t="shared" si="2"/>
        <v/>
      </c>
      <c r="AE7" s="6" t="str">
        <f t="shared" si="2"/>
        <v/>
      </c>
      <c r="AF7" s="6" t="str">
        <f t="shared" si="2"/>
        <v/>
      </c>
      <c r="AG7" s="6" t="str">
        <f t="shared" si="2"/>
        <v/>
      </c>
      <c r="AH7" s="6" t="str">
        <f t="shared" si="2"/>
        <v/>
      </c>
      <c r="AI7" s="6" t="str">
        <f t="shared" si="3"/>
        <v/>
      </c>
      <c r="AJ7" s="6" t="str">
        <f t="shared" si="3"/>
        <v/>
      </c>
      <c r="AK7" s="6" t="str">
        <f t="shared" si="3"/>
        <v/>
      </c>
      <c r="AL7" s="6" t="str">
        <f t="shared" si="3"/>
        <v/>
      </c>
      <c r="AM7" s="6" t="str">
        <f t="shared" si="3"/>
        <v/>
      </c>
      <c r="AN7" s="6" t="str">
        <f t="shared" si="3"/>
        <v/>
      </c>
      <c r="AO7" s="6" t="str">
        <f t="shared" si="3"/>
        <v/>
      </c>
      <c r="AP7" s="6" t="str">
        <f t="shared" si="3"/>
        <v/>
      </c>
      <c r="AQ7" s="6" t="str">
        <f t="shared" si="3"/>
        <v/>
      </c>
      <c r="AR7" s="6" t="str">
        <f t="shared" si="3"/>
        <v/>
      </c>
      <c r="AS7" s="6" t="str">
        <f t="shared" si="4"/>
        <v/>
      </c>
      <c r="AT7" s="6" t="str">
        <f t="shared" si="4"/>
        <v/>
      </c>
      <c r="AU7" s="6" t="str">
        <f t="shared" si="4"/>
        <v/>
      </c>
      <c r="AV7" s="6" t="str">
        <f t="shared" si="4"/>
        <v/>
      </c>
      <c r="AW7" s="6" t="str">
        <f t="shared" si="4"/>
        <v/>
      </c>
      <c r="AX7" s="6" t="str">
        <f t="shared" si="4"/>
        <v/>
      </c>
      <c r="AY7" s="6" t="str">
        <f t="shared" si="4"/>
        <v/>
      </c>
      <c r="AZ7" s="6" t="str">
        <f t="shared" si="4"/>
        <v/>
      </c>
      <c r="BA7" s="6" t="str">
        <f t="shared" si="4"/>
        <v/>
      </c>
      <c r="BB7" s="6" t="str">
        <f t="shared" si="4"/>
        <v/>
      </c>
      <c r="BC7" s="6" t="str">
        <f t="shared" si="5"/>
        <v/>
      </c>
      <c r="BD7" s="6" t="str">
        <f t="shared" si="5"/>
        <v/>
      </c>
      <c r="BE7" s="6" t="str">
        <f t="shared" si="5"/>
        <v/>
      </c>
      <c r="BF7" s="6" t="str">
        <f t="shared" si="5"/>
        <v/>
      </c>
      <c r="BG7" s="6" t="str">
        <f t="shared" si="5"/>
        <v/>
      </c>
      <c r="BH7" s="6" t="str">
        <f t="shared" si="5"/>
        <v/>
      </c>
      <c r="BI7" s="6" t="str">
        <f t="shared" si="5"/>
        <v/>
      </c>
      <c r="BJ7" s="6" t="str">
        <f t="shared" si="5"/>
        <v/>
      </c>
      <c r="BK7" s="6" t="str">
        <f t="shared" si="5"/>
        <v/>
      </c>
      <c r="BL7" s="6" t="str">
        <f t="shared" si="5"/>
        <v/>
      </c>
      <c r="BM7" s="6" t="str">
        <f t="shared" si="6"/>
        <v/>
      </c>
      <c r="BN7" s="6" t="str">
        <f t="shared" si="6"/>
        <v/>
      </c>
      <c r="BO7" s="6" t="str">
        <f t="shared" si="6"/>
        <v/>
      </c>
      <c r="BP7" s="6" t="str">
        <f t="shared" si="6"/>
        <v/>
      </c>
      <c r="BQ7" s="6" t="str">
        <f t="shared" si="6"/>
        <v/>
      </c>
      <c r="BR7" s="6" t="str">
        <f t="shared" si="6"/>
        <v/>
      </c>
      <c r="BS7" s="6" t="str">
        <f t="shared" si="6"/>
        <v/>
      </c>
      <c r="BT7" s="6" t="str">
        <f t="shared" si="6"/>
        <v/>
      </c>
      <c r="BU7" s="6" t="str">
        <f t="shared" si="6"/>
        <v/>
      </c>
      <c r="BV7" s="6" t="str">
        <f t="shared" si="6"/>
        <v/>
      </c>
      <c r="BW7" s="6" t="str">
        <f t="shared" si="7"/>
        <v/>
      </c>
      <c r="BX7" s="6" t="str">
        <f t="shared" si="7"/>
        <v/>
      </c>
      <c r="BY7" s="6" t="str">
        <f t="shared" si="7"/>
        <v/>
      </c>
      <c r="BZ7" s="6" t="str">
        <f t="shared" si="7"/>
        <v/>
      </c>
      <c r="CA7" s="6" t="str">
        <f t="shared" si="7"/>
        <v/>
      </c>
      <c r="CB7" s="6" t="str">
        <f t="shared" si="7"/>
        <v/>
      </c>
      <c r="CC7" s="6" t="str">
        <f t="shared" si="7"/>
        <v/>
      </c>
      <c r="CD7" s="6" t="str">
        <f t="shared" si="7"/>
        <v/>
      </c>
      <c r="CE7" s="6" t="str">
        <f t="shared" si="7"/>
        <v/>
      </c>
      <c r="CF7" s="6" t="str">
        <f t="shared" si="7"/>
        <v/>
      </c>
      <c r="CG7" s="6" t="str">
        <f t="shared" si="8"/>
        <v/>
      </c>
      <c r="CH7" s="6" t="str">
        <f t="shared" si="8"/>
        <v/>
      </c>
      <c r="CI7" s="6" t="str">
        <f t="shared" si="8"/>
        <v/>
      </c>
      <c r="CJ7" s="6" t="str">
        <f t="shared" si="8"/>
        <v/>
      </c>
      <c r="CK7" s="6" t="str">
        <f t="shared" si="8"/>
        <v/>
      </c>
      <c r="CL7" s="6" t="str">
        <f t="shared" si="8"/>
        <v/>
      </c>
      <c r="CM7" s="6" t="str">
        <f t="shared" si="8"/>
        <v/>
      </c>
      <c r="CN7" s="6" t="str">
        <f t="shared" si="8"/>
        <v/>
      </c>
      <c r="CO7" s="6" t="str">
        <f t="shared" si="8"/>
        <v/>
      </c>
      <c r="CP7" s="6" t="str">
        <f t="shared" si="8"/>
        <v/>
      </c>
      <c r="CQ7" s="6" t="str">
        <f t="shared" si="9"/>
        <v/>
      </c>
      <c r="CR7" s="6" t="str">
        <f t="shared" si="9"/>
        <v/>
      </c>
      <c r="CS7" s="6" t="str">
        <f t="shared" si="9"/>
        <v/>
      </c>
      <c r="CT7" s="6" t="str">
        <f t="shared" si="9"/>
        <v/>
      </c>
      <c r="CU7" s="6" t="str">
        <f t="shared" si="9"/>
        <v/>
      </c>
      <c r="CV7" s="6" t="str">
        <f t="shared" si="9"/>
        <v/>
      </c>
      <c r="CW7" s="6" t="str">
        <f t="shared" si="9"/>
        <v/>
      </c>
      <c r="CX7" s="6" t="str">
        <f t="shared" si="9"/>
        <v/>
      </c>
      <c r="CY7" s="6" t="str">
        <f t="shared" si="9"/>
        <v/>
      </c>
      <c r="CZ7" s="6" t="str">
        <f t="shared" si="9"/>
        <v/>
      </c>
      <c r="DA7" s="6" t="str">
        <f t="shared" si="9"/>
        <v/>
      </c>
      <c r="DB7" s="6" t="str">
        <f t="shared" si="9"/>
        <v/>
      </c>
      <c r="DC7" s="6" t="str">
        <f t="shared" si="9"/>
        <v/>
      </c>
      <c r="DD7" s="6" t="str">
        <f t="shared" si="9"/>
        <v/>
      </c>
    </row>
    <row r="8" spans="1:109" ht="28" customHeight="1" x14ac:dyDescent="0.35">
      <c r="A8" s="24" t="str">
        <f>Schedule!B8</f>
        <v>One usable frontend stack</v>
      </c>
      <c r="B8" s="4" t="str">
        <f>Schedule!C8</f>
        <v>Core</v>
      </c>
      <c r="C8" s="3">
        <f>IF(Schedule!P8="","",Schedule!P8)</f>
        <v>46443</v>
      </c>
      <c r="D8" s="3">
        <f>IF(Schedule!Q8="","",Schedule!Q8)</f>
        <v>46472</v>
      </c>
      <c r="E8" s="6" t="str">
        <f t="shared" si="0"/>
        <v/>
      </c>
      <c r="F8" s="6" t="str">
        <f t="shared" si="0"/>
        <v/>
      </c>
      <c r="G8" s="6" t="str">
        <f t="shared" si="0"/>
        <v/>
      </c>
      <c r="H8" s="6" t="str">
        <f t="shared" si="0"/>
        <v/>
      </c>
      <c r="I8" s="6" t="str">
        <f t="shared" si="0"/>
        <v/>
      </c>
      <c r="J8" s="6" t="str">
        <f t="shared" si="0"/>
        <v/>
      </c>
      <c r="K8" s="6" t="str">
        <f t="shared" si="0"/>
        <v/>
      </c>
      <c r="L8" s="6" t="str">
        <f t="shared" si="0"/>
        <v/>
      </c>
      <c r="M8" s="6" t="str">
        <f t="shared" si="0"/>
        <v/>
      </c>
      <c r="N8" s="6" t="str">
        <f t="shared" si="0"/>
        <v/>
      </c>
      <c r="O8" s="6" t="str">
        <f t="shared" si="1"/>
        <v/>
      </c>
      <c r="P8" s="6" t="str">
        <f t="shared" si="1"/>
        <v/>
      </c>
      <c r="Q8" s="6" t="str">
        <f t="shared" si="1"/>
        <v/>
      </c>
      <c r="R8" s="6" t="str">
        <f t="shared" si="1"/>
        <v/>
      </c>
      <c r="S8" s="6" t="str">
        <f t="shared" si="1"/>
        <v/>
      </c>
      <c r="T8" s="6" t="str">
        <f t="shared" si="1"/>
        <v/>
      </c>
      <c r="U8" s="6" t="str">
        <f t="shared" si="1"/>
        <v/>
      </c>
      <c r="V8" s="6">
        <f t="shared" si="1"/>
        <v>1</v>
      </c>
      <c r="W8" s="6">
        <f t="shared" si="1"/>
        <v>1</v>
      </c>
      <c r="X8" s="6">
        <f t="shared" si="1"/>
        <v>1</v>
      </c>
      <c r="Y8" s="6">
        <f t="shared" si="2"/>
        <v>1</v>
      </c>
      <c r="Z8" s="6">
        <f t="shared" si="2"/>
        <v>1</v>
      </c>
      <c r="AA8" s="6" t="str">
        <f t="shared" si="2"/>
        <v/>
      </c>
      <c r="AB8" s="6" t="str">
        <f t="shared" si="2"/>
        <v/>
      </c>
      <c r="AC8" s="6" t="str">
        <f t="shared" si="2"/>
        <v/>
      </c>
      <c r="AD8" s="6" t="str">
        <f t="shared" si="2"/>
        <v/>
      </c>
      <c r="AE8" s="6" t="str">
        <f t="shared" si="2"/>
        <v/>
      </c>
      <c r="AF8" s="6" t="str">
        <f t="shared" si="2"/>
        <v/>
      </c>
      <c r="AG8" s="6" t="str">
        <f t="shared" si="2"/>
        <v/>
      </c>
      <c r="AH8" s="6" t="str">
        <f t="shared" si="2"/>
        <v/>
      </c>
      <c r="AI8" s="6" t="str">
        <f t="shared" si="3"/>
        <v/>
      </c>
      <c r="AJ8" s="6" t="str">
        <f t="shared" si="3"/>
        <v/>
      </c>
      <c r="AK8" s="6" t="str">
        <f t="shared" si="3"/>
        <v/>
      </c>
      <c r="AL8" s="6" t="str">
        <f t="shared" si="3"/>
        <v/>
      </c>
      <c r="AM8" s="6" t="str">
        <f t="shared" si="3"/>
        <v/>
      </c>
      <c r="AN8" s="6" t="str">
        <f t="shared" si="3"/>
        <v/>
      </c>
      <c r="AO8" s="6" t="str">
        <f t="shared" si="3"/>
        <v/>
      </c>
      <c r="AP8" s="6" t="str">
        <f t="shared" si="3"/>
        <v/>
      </c>
      <c r="AQ8" s="6" t="str">
        <f t="shared" si="3"/>
        <v/>
      </c>
      <c r="AR8" s="6" t="str">
        <f t="shared" si="3"/>
        <v/>
      </c>
      <c r="AS8" s="6" t="str">
        <f t="shared" si="4"/>
        <v/>
      </c>
      <c r="AT8" s="6" t="str">
        <f t="shared" si="4"/>
        <v/>
      </c>
      <c r="AU8" s="6" t="str">
        <f t="shared" si="4"/>
        <v/>
      </c>
      <c r="AV8" s="6" t="str">
        <f t="shared" si="4"/>
        <v/>
      </c>
      <c r="AW8" s="6" t="str">
        <f t="shared" si="4"/>
        <v/>
      </c>
      <c r="AX8" s="6" t="str">
        <f t="shared" si="4"/>
        <v/>
      </c>
      <c r="AY8" s="6" t="str">
        <f t="shared" si="4"/>
        <v/>
      </c>
      <c r="AZ8" s="6" t="str">
        <f t="shared" si="4"/>
        <v/>
      </c>
      <c r="BA8" s="6" t="str">
        <f t="shared" si="4"/>
        <v/>
      </c>
      <c r="BB8" s="6" t="str">
        <f t="shared" si="4"/>
        <v/>
      </c>
      <c r="BC8" s="6" t="str">
        <f t="shared" si="5"/>
        <v/>
      </c>
      <c r="BD8" s="6" t="str">
        <f t="shared" si="5"/>
        <v/>
      </c>
      <c r="BE8" s="6" t="str">
        <f t="shared" si="5"/>
        <v/>
      </c>
      <c r="BF8" s="6" t="str">
        <f t="shared" si="5"/>
        <v/>
      </c>
      <c r="BG8" s="6" t="str">
        <f t="shared" si="5"/>
        <v/>
      </c>
      <c r="BH8" s="6" t="str">
        <f t="shared" si="5"/>
        <v/>
      </c>
      <c r="BI8" s="6" t="str">
        <f t="shared" si="5"/>
        <v/>
      </c>
      <c r="BJ8" s="6" t="str">
        <f t="shared" si="5"/>
        <v/>
      </c>
      <c r="BK8" s="6" t="str">
        <f t="shared" si="5"/>
        <v/>
      </c>
      <c r="BL8" s="6" t="str">
        <f t="shared" si="5"/>
        <v/>
      </c>
      <c r="BM8" s="6" t="str">
        <f t="shared" si="6"/>
        <v/>
      </c>
      <c r="BN8" s="6" t="str">
        <f t="shared" si="6"/>
        <v/>
      </c>
      <c r="BO8" s="6" t="str">
        <f t="shared" si="6"/>
        <v/>
      </c>
      <c r="BP8" s="6" t="str">
        <f t="shared" si="6"/>
        <v/>
      </c>
      <c r="BQ8" s="6" t="str">
        <f t="shared" si="6"/>
        <v/>
      </c>
      <c r="BR8" s="6" t="str">
        <f t="shared" si="6"/>
        <v/>
      </c>
      <c r="BS8" s="6" t="str">
        <f t="shared" si="6"/>
        <v/>
      </c>
      <c r="BT8" s="6" t="str">
        <f t="shared" si="6"/>
        <v/>
      </c>
      <c r="BU8" s="6" t="str">
        <f t="shared" si="6"/>
        <v/>
      </c>
      <c r="BV8" s="6" t="str">
        <f t="shared" si="6"/>
        <v/>
      </c>
      <c r="BW8" s="6" t="str">
        <f t="shared" si="7"/>
        <v/>
      </c>
      <c r="BX8" s="6" t="str">
        <f t="shared" si="7"/>
        <v/>
      </c>
      <c r="BY8" s="6" t="str">
        <f t="shared" si="7"/>
        <v/>
      </c>
      <c r="BZ8" s="6" t="str">
        <f t="shared" si="7"/>
        <v/>
      </c>
      <c r="CA8" s="6" t="str">
        <f t="shared" si="7"/>
        <v/>
      </c>
      <c r="CB8" s="6" t="str">
        <f t="shared" si="7"/>
        <v/>
      </c>
      <c r="CC8" s="6" t="str">
        <f t="shared" si="7"/>
        <v/>
      </c>
      <c r="CD8" s="6" t="str">
        <f t="shared" si="7"/>
        <v/>
      </c>
      <c r="CE8" s="6" t="str">
        <f t="shared" si="7"/>
        <v/>
      </c>
      <c r="CF8" s="6" t="str">
        <f t="shared" si="7"/>
        <v/>
      </c>
      <c r="CG8" s="6" t="str">
        <f t="shared" si="8"/>
        <v/>
      </c>
      <c r="CH8" s="6" t="str">
        <f t="shared" si="8"/>
        <v/>
      </c>
      <c r="CI8" s="6" t="str">
        <f t="shared" si="8"/>
        <v/>
      </c>
      <c r="CJ8" s="6" t="str">
        <f t="shared" si="8"/>
        <v/>
      </c>
      <c r="CK8" s="6" t="str">
        <f t="shared" si="8"/>
        <v/>
      </c>
      <c r="CL8" s="6" t="str">
        <f t="shared" si="8"/>
        <v/>
      </c>
      <c r="CM8" s="6" t="str">
        <f t="shared" si="8"/>
        <v/>
      </c>
      <c r="CN8" s="6" t="str">
        <f t="shared" si="8"/>
        <v/>
      </c>
      <c r="CO8" s="6" t="str">
        <f t="shared" si="8"/>
        <v/>
      </c>
      <c r="CP8" s="6" t="str">
        <f t="shared" si="8"/>
        <v/>
      </c>
      <c r="CQ8" s="6" t="str">
        <f t="shared" si="9"/>
        <v/>
      </c>
      <c r="CR8" s="6" t="str">
        <f t="shared" si="9"/>
        <v/>
      </c>
      <c r="CS8" s="6" t="str">
        <f t="shared" si="9"/>
        <v/>
      </c>
      <c r="CT8" s="6" t="str">
        <f t="shared" si="9"/>
        <v/>
      </c>
      <c r="CU8" s="6" t="str">
        <f t="shared" si="9"/>
        <v/>
      </c>
      <c r="CV8" s="6" t="str">
        <f t="shared" si="9"/>
        <v/>
      </c>
      <c r="CW8" s="6" t="str">
        <f t="shared" si="9"/>
        <v/>
      </c>
      <c r="CX8" s="6" t="str">
        <f t="shared" si="9"/>
        <v/>
      </c>
      <c r="CY8" s="6" t="str">
        <f t="shared" si="9"/>
        <v/>
      </c>
      <c r="CZ8" s="6" t="str">
        <f t="shared" si="9"/>
        <v/>
      </c>
      <c r="DA8" s="6" t="str">
        <f t="shared" si="9"/>
        <v/>
      </c>
      <c r="DB8" s="6" t="str">
        <f t="shared" si="9"/>
        <v/>
      </c>
      <c r="DC8" s="6" t="str">
        <f t="shared" si="9"/>
        <v/>
      </c>
      <c r="DD8" s="6" t="str">
        <f t="shared" si="9"/>
        <v/>
      </c>
    </row>
    <row r="9" spans="1:109" ht="28" customHeight="1" x14ac:dyDescent="0.35">
      <c r="A9" s="24" t="str">
        <f>Schedule!B9</f>
        <v>Data lifecycle pipelines and quality</v>
      </c>
      <c r="B9" s="4" t="str">
        <f>Schedule!C9</f>
        <v>Core</v>
      </c>
      <c r="C9" s="3">
        <f>IF(Schedule!P9="","",Schedule!P9)</f>
        <v>46472</v>
      </c>
      <c r="D9" s="3">
        <f>IF(Schedule!Q9="","",Schedule!Q9)</f>
        <v>46498</v>
      </c>
      <c r="E9" s="6" t="str">
        <f t="shared" si="0"/>
        <v/>
      </c>
      <c r="F9" s="6" t="str">
        <f t="shared" si="0"/>
        <v/>
      </c>
      <c r="G9" s="6" t="str">
        <f t="shared" si="0"/>
        <v/>
      </c>
      <c r="H9" s="6" t="str">
        <f t="shared" si="0"/>
        <v/>
      </c>
      <c r="I9" s="6" t="str">
        <f t="shared" si="0"/>
        <v/>
      </c>
      <c r="J9" s="6" t="str">
        <f t="shared" si="0"/>
        <v/>
      </c>
      <c r="K9" s="6" t="str">
        <f t="shared" si="0"/>
        <v/>
      </c>
      <c r="L9" s="6" t="str">
        <f t="shared" si="0"/>
        <v/>
      </c>
      <c r="M9" s="6" t="str">
        <f t="shared" si="0"/>
        <v/>
      </c>
      <c r="N9" s="6" t="str">
        <f t="shared" si="0"/>
        <v/>
      </c>
      <c r="O9" s="6" t="str">
        <f t="shared" si="1"/>
        <v/>
      </c>
      <c r="P9" s="6" t="str">
        <f t="shared" si="1"/>
        <v/>
      </c>
      <c r="Q9" s="6" t="str">
        <f t="shared" si="1"/>
        <v/>
      </c>
      <c r="R9" s="6" t="str">
        <f t="shared" si="1"/>
        <v/>
      </c>
      <c r="S9" s="6" t="str">
        <f t="shared" si="1"/>
        <v/>
      </c>
      <c r="T9" s="6" t="str">
        <f t="shared" si="1"/>
        <v/>
      </c>
      <c r="U9" s="6" t="str">
        <f t="shared" si="1"/>
        <v/>
      </c>
      <c r="V9" s="6" t="str">
        <f t="shared" si="1"/>
        <v/>
      </c>
      <c r="W9" s="6" t="str">
        <f t="shared" si="1"/>
        <v/>
      </c>
      <c r="X9" s="6" t="str">
        <f t="shared" si="1"/>
        <v/>
      </c>
      <c r="Y9" s="6" t="str">
        <f t="shared" si="2"/>
        <v/>
      </c>
      <c r="Z9" s="6">
        <f t="shared" si="2"/>
        <v>1</v>
      </c>
      <c r="AA9" s="6">
        <f t="shared" si="2"/>
        <v>1</v>
      </c>
      <c r="AB9" s="6">
        <f t="shared" si="2"/>
        <v>1</v>
      </c>
      <c r="AC9" s="6">
        <f t="shared" si="2"/>
        <v>1</v>
      </c>
      <c r="AD9" s="6">
        <f t="shared" si="2"/>
        <v>1</v>
      </c>
      <c r="AE9" s="6" t="str">
        <f t="shared" si="2"/>
        <v/>
      </c>
      <c r="AF9" s="6" t="str">
        <f t="shared" si="2"/>
        <v/>
      </c>
      <c r="AG9" s="6" t="str">
        <f t="shared" si="2"/>
        <v/>
      </c>
      <c r="AH9" s="6" t="str">
        <f t="shared" si="2"/>
        <v/>
      </c>
      <c r="AI9" s="6" t="str">
        <f t="shared" si="3"/>
        <v/>
      </c>
      <c r="AJ9" s="6" t="str">
        <f t="shared" si="3"/>
        <v/>
      </c>
      <c r="AK9" s="6" t="str">
        <f t="shared" si="3"/>
        <v/>
      </c>
      <c r="AL9" s="6" t="str">
        <f t="shared" si="3"/>
        <v/>
      </c>
      <c r="AM9" s="6" t="str">
        <f t="shared" si="3"/>
        <v/>
      </c>
      <c r="AN9" s="6" t="str">
        <f t="shared" si="3"/>
        <v/>
      </c>
      <c r="AO9" s="6" t="str">
        <f t="shared" si="3"/>
        <v/>
      </c>
      <c r="AP9" s="6" t="str">
        <f t="shared" si="3"/>
        <v/>
      </c>
      <c r="AQ9" s="6" t="str">
        <f t="shared" si="3"/>
        <v/>
      </c>
      <c r="AR9" s="6" t="str">
        <f t="shared" si="3"/>
        <v/>
      </c>
      <c r="AS9" s="6" t="str">
        <f t="shared" si="4"/>
        <v/>
      </c>
      <c r="AT9" s="6" t="str">
        <f t="shared" si="4"/>
        <v/>
      </c>
      <c r="AU9" s="6" t="str">
        <f t="shared" si="4"/>
        <v/>
      </c>
      <c r="AV9" s="6" t="str">
        <f t="shared" si="4"/>
        <v/>
      </c>
      <c r="AW9" s="6" t="str">
        <f t="shared" si="4"/>
        <v/>
      </c>
      <c r="AX9" s="6" t="str">
        <f t="shared" si="4"/>
        <v/>
      </c>
      <c r="AY9" s="6" t="str">
        <f t="shared" si="4"/>
        <v/>
      </c>
      <c r="AZ9" s="6" t="str">
        <f t="shared" si="4"/>
        <v/>
      </c>
      <c r="BA9" s="6" t="str">
        <f t="shared" si="4"/>
        <v/>
      </c>
      <c r="BB9" s="6" t="str">
        <f t="shared" si="4"/>
        <v/>
      </c>
      <c r="BC9" s="6" t="str">
        <f t="shared" si="5"/>
        <v/>
      </c>
      <c r="BD9" s="6" t="str">
        <f t="shared" si="5"/>
        <v/>
      </c>
      <c r="BE9" s="6" t="str">
        <f t="shared" si="5"/>
        <v/>
      </c>
      <c r="BF9" s="6" t="str">
        <f t="shared" si="5"/>
        <v/>
      </c>
      <c r="BG9" s="6" t="str">
        <f t="shared" si="5"/>
        <v/>
      </c>
      <c r="BH9" s="6" t="str">
        <f t="shared" si="5"/>
        <v/>
      </c>
      <c r="BI9" s="6" t="str">
        <f t="shared" si="5"/>
        <v/>
      </c>
      <c r="BJ9" s="6" t="str">
        <f t="shared" si="5"/>
        <v/>
      </c>
      <c r="BK9" s="6" t="str">
        <f t="shared" si="5"/>
        <v/>
      </c>
      <c r="BL9" s="6" t="str">
        <f t="shared" si="5"/>
        <v/>
      </c>
      <c r="BM9" s="6" t="str">
        <f t="shared" si="6"/>
        <v/>
      </c>
      <c r="BN9" s="6" t="str">
        <f t="shared" si="6"/>
        <v/>
      </c>
      <c r="BO9" s="6" t="str">
        <f t="shared" si="6"/>
        <v/>
      </c>
      <c r="BP9" s="6" t="str">
        <f t="shared" si="6"/>
        <v/>
      </c>
      <c r="BQ9" s="6" t="str">
        <f t="shared" si="6"/>
        <v/>
      </c>
      <c r="BR9" s="6" t="str">
        <f t="shared" si="6"/>
        <v/>
      </c>
      <c r="BS9" s="6" t="str">
        <f t="shared" si="6"/>
        <v/>
      </c>
      <c r="BT9" s="6" t="str">
        <f t="shared" si="6"/>
        <v/>
      </c>
      <c r="BU9" s="6" t="str">
        <f t="shared" si="6"/>
        <v/>
      </c>
      <c r="BV9" s="6" t="str">
        <f t="shared" si="6"/>
        <v/>
      </c>
      <c r="BW9" s="6" t="str">
        <f t="shared" si="7"/>
        <v/>
      </c>
      <c r="BX9" s="6" t="str">
        <f t="shared" si="7"/>
        <v/>
      </c>
      <c r="BY9" s="6" t="str">
        <f t="shared" si="7"/>
        <v/>
      </c>
      <c r="BZ9" s="6" t="str">
        <f t="shared" si="7"/>
        <v/>
      </c>
      <c r="CA9" s="6" t="str">
        <f t="shared" si="7"/>
        <v/>
      </c>
      <c r="CB9" s="6" t="str">
        <f t="shared" si="7"/>
        <v/>
      </c>
      <c r="CC9" s="6" t="str">
        <f t="shared" si="7"/>
        <v/>
      </c>
      <c r="CD9" s="6" t="str">
        <f t="shared" si="7"/>
        <v/>
      </c>
      <c r="CE9" s="6" t="str">
        <f t="shared" si="7"/>
        <v/>
      </c>
      <c r="CF9" s="6" t="str">
        <f t="shared" si="7"/>
        <v/>
      </c>
      <c r="CG9" s="6" t="str">
        <f t="shared" si="8"/>
        <v/>
      </c>
      <c r="CH9" s="6" t="str">
        <f t="shared" si="8"/>
        <v/>
      </c>
      <c r="CI9" s="6" t="str">
        <f t="shared" si="8"/>
        <v/>
      </c>
      <c r="CJ9" s="6" t="str">
        <f t="shared" si="8"/>
        <v/>
      </c>
      <c r="CK9" s="6" t="str">
        <f t="shared" si="8"/>
        <v/>
      </c>
      <c r="CL9" s="6" t="str">
        <f t="shared" si="8"/>
        <v/>
      </c>
      <c r="CM9" s="6" t="str">
        <f t="shared" si="8"/>
        <v/>
      </c>
      <c r="CN9" s="6" t="str">
        <f t="shared" si="8"/>
        <v/>
      </c>
      <c r="CO9" s="6" t="str">
        <f t="shared" si="8"/>
        <v/>
      </c>
      <c r="CP9" s="6" t="str">
        <f t="shared" si="8"/>
        <v/>
      </c>
      <c r="CQ9" s="6" t="str">
        <f t="shared" si="9"/>
        <v/>
      </c>
      <c r="CR9" s="6" t="str">
        <f t="shared" si="9"/>
        <v/>
      </c>
      <c r="CS9" s="6" t="str">
        <f t="shared" si="9"/>
        <v/>
      </c>
      <c r="CT9" s="6" t="str">
        <f t="shared" si="9"/>
        <v/>
      </c>
      <c r="CU9" s="6" t="str">
        <f t="shared" si="9"/>
        <v/>
      </c>
      <c r="CV9" s="6" t="str">
        <f t="shared" si="9"/>
        <v/>
      </c>
      <c r="CW9" s="6" t="str">
        <f t="shared" si="9"/>
        <v/>
      </c>
      <c r="CX9" s="6" t="str">
        <f t="shared" si="9"/>
        <v/>
      </c>
      <c r="CY9" s="6" t="str">
        <f t="shared" si="9"/>
        <v/>
      </c>
      <c r="CZ9" s="6" t="str">
        <f t="shared" si="9"/>
        <v/>
      </c>
      <c r="DA9" s="6" t="str">
        <f t="shared" si="9"/>
        <v/>
      </c>
      <c r="DB9" s="6" t="str">
        <f t="shared" si="9"/>
        <v/>
      </c>
      <c r="DC9" s="6" t="str">
        <f t="shared" si="9"/>
        <v/>
      </c>
      <c r="DD9" s="6" t="str">
        <f t="shared" si="9"/>
        <v/>
      </c>
    </row>
    <row r="10" spans="1:109" ht="28" customHeight="1" x14ac:dyDescent="0.35">
      <c r="A10" s="24" t="str">
        <f>Schedule!B10</f>
        <v>Linear algebra and numerical reasoning bridge</v>
      </c>
      <c r="B10" s="4" t="str">
        <f>Schedule!C10</f>
        <v>Core</v>
      </c>
      <c r="C10" s="3">
        <f>IF(Schedule!P10="","",Schedule!P10)</f>
        <v>46498</v>
      </c>
      <c r="D10" s="3">
        <f>IF(Schedule!Q10="","",Schedule!Q10)</f>
        <v>46514</v>
      </c>
      <c r="E10" s="6" t="str">
        <f t="shared" si="0"/>
        <v/>
      </c>
      <c r="F10" s="6" t="str">
        <f t="shared" si="0"/>
        <v/>
      </c>
      <c r="G10" s="6" t="str">
        <f t="shared" si="0"/>
        <v/>
      </c>
      <c r="H10" s="6" t="str">
        <f t="shared" si="0"/>
        <v/>
      </c>
      <c r="I10" s="6" t="str">
        <f t="shared" si="0"/>
        <v/>
      </c>
      <c r="J10" s="6" t="str">
        <f t="shared" si="0"/>
        <v/>
      </c>
      <c r="K10" s="6" t="str">
        <f t="shared" si="0"/>
        <v/>
      </c>
      <c r="L10" s="6" t="str">
        <f t="shared" si="0"/>
        <v/>
      </c>
      <c r="M10" s="6" t="str">
        <f t="shared" si="0"/>
        <v/>
      </c>
      <c r="N10" s="6" t="str">
        <f t="shared" si="0"/>
        <v/>
      </c>
      <c r="O10" s="6" t="str">
        <f t="shared" si="1"/>
        <v/>
      </c>
      <c r="P10" s="6" t="str">
        <f t="shared" si="1"/>
        <v/>
      </c>
      <c r="Q10" s="6" t="str">
        <f t="shared" si="1"/>
        <v/>
      </c>
      <c r="R10" s="6" t="str">
        <f t="shared" si="1"/>
        <v/>
      </c>
      <c r="S10" s="6" t="str">
        <f t="shared" si="1"/>
        <v/>
      </c>
      <c r="T10" s="6" t="str">
        <f t="shared" si="1"/>
        <v/>
      </c>
      <c r="U10" s="6" t="str">
        <f t="shared" si="1"/>
        <v/>
      </c>
      <c r="V10" s="6" t="str">
        <f t="shared" si="1"/>
        <v/>
      </c>
      <c r="W10" s="6" t="str">
        <f t="shared" si="1"/>
        <v/>
      </c>
      <c r="X10" s="6" t="str">
        <f t="shared" si="1"/>
        <v/>
      </c>
      <c r="Y10" s="6" t="str">
        <f t="shared" si="2"/>
        <v/>
      </c>
      <c r="Z10" s="6" t="str">
        <f t="shared" si="2"/>
        <v/>
      </c>
      <c r="AA10" s="6" t="str">
        <f t="shared" si="2"/>
        <v/>
      </c>
      <c r="AB10" s="6" t="str">
        <f t="shared" si="2"/>
        <v/>
      </c>
      <c r="AC10" s="6" t="str">
        <f t="shared" si="2"/>
        <v/>
      </c>
      <c r="AD10" s="6">
        <f t="shared" si="2"/>
        <v>1</v>
      </c>
      <c r="AE10" s="6">
        <f t="shared" si="2"/>
        <v>1</v>
      </c>
      <c r="AF10" s="6">
        <f t="shared" si="2"/>
        <v>1</v>
      </c>
      <c r="AG10" s="6" t="str">
        <f t="shared" si="2"/>
        <v/>
      </c>
      <c r="AH10" s="6" t="str">
        <f t="shared" si="2"/>
        <v/>
      </c>
      <c r="AI10" s="6" t="str">
        <f t="shared" si="3"/>
        <v/>
      </c>
      <c r="AJ10" s="6" t="str">
        <f t="shared" si="3"/>
        <v/>
      </c>
      <c r="AK10" s="6" t="str">
        <f t="shared" si="3"/>
        <v/>
      </c>
      <c r="AL10" s="6" t="str">
        <f t="shared" si="3"/>
        <v/>
      </c>
      <c r="AM10" s="6" t="str">
        <f t="shared" si="3"/>
        <v/>
      </c>
      <c r="AN10" s="6" t="str">
        <f t="shared" si="3"/>
        <v/>
      </c>
      <c r="AO10" s="6" t="str">
        <f t="shared" si="3"/>
        <v/>
      </c>
      <c r="AP10" s="6" t="str">
        <f t="shared" si="3"/>
        <v/>
      </c>
      <c r="AQ10" s="6" t="str">
        <f t="shared" si="3"/>
        <v/>
      </c>
      <c r="AR10" s="6" t="str">
        <f t="shared" si="3"/>
        <v/>
      </c>
      <c r="AS10" s="6" t="str">
        <f t="shared" si="4"/>
        <v/>
      </c>
      <c r="AT10" s="6" t="str">
        <f t="shared" si="4"/>
        <v/>
      </c>
      <c r="AU10" s="6" t="str">
        <f t="shared" si="4"/>
        <v/>
      </c>
      <c r="AV10" s="6" t="str">
        <f t="shared" si="4"/>
        <v/>
      </c>
      <c r="AW10" s="6" t="str">
        <f t="shared" si="4"/>
        <v/>
      </c>
      <c r="AX10" s="6" t="str">
        <f t="shared" si="4"/>
        <v/>
      </c>
      <c r="AY10" s="6" t="str">
        <f t="shared" si="4"/>
        <v/>
      </c>
      <c r="AZ10" s="6" t="str">
        <f t="shared" si="4"/>
        <v/>
      </c>
      <c r="BA10" s="6" t="str">
        <f t="shared" si="4"/>
        <v/>
      </c>
      <c r="BB10" s="6" t="str">
        <f t="shared" si="4"/>
        <v/>
      </c>
      <c r="BC10" s="6" t="str">
        <f t="shared" si="5"/>
        <v/>
      </c>
      <c r="BD10" s="6" t="str">
        <f t="shared" si="5"/>
        <v/>
      </c>
      <c r="BE10" s="6" t="str">
        <f t="shared" si="5"/>
        <v/>
      </c>
      <c r="BF10" s="6" t="str">
        <f t="shared" si="5"/>
        <v/>
      </c>
      <c r="BG10" s="6" t="str">
        <f t="shared" si="5"/>
        <v/>
      </c>
      <c r="BH10" s="6" t="str">
        <f t="shared" si="5"/>
        <v/>
      </c>
      <c r="BI10" s="6" t="str">
        <f t="shared" si="5"/>
        <v/>
      </c>
      <c r="BJ10" s="6" t="str">
        <f t="shared" si="5"/>
        <v/>
      </c>
      <c r="BK10" s="6" t="str">
        <f t="shared" si="5"/>
        <v/>
      </c>
      <c r="BL10" s="6" t="str">
        <f t="shared" si="5"/>
        <v/>
      </c>
      <c r="BM10" s="6" t="str">
        <f t="shared" si="6"/>
        <v/>
      </c>
      <c r="BN10" s="6" t="str">
        <f t="shared" si="6"/>
        <v/>
      </c>
      <c r="BO10" s="6" t="str">
        <f t="shared" si="6"/>
        <v/>
      </c>
      <c r="BP10" s="6" t="str">
        <f t="shared" si="6"/>
        <v/>
      </c>
      <c r="BQ10" s="6" t="str">
        <f t="shared" si="6"/>
        <v/>
      </c>
      <c r="BR10" s="6" t="str">
        <f t="shared" si="6"/>
        <v/>
      </c>
      <c r="BS10" s="6" t="str">
        <f t="shared" si="6"/>
        <v/>
      </c>
      <c r="BT10" s="6" t="str">
        <f t="shared" si="6"/>
        <v/>
      </c>
      <c r="BU10" s="6" t="str">
        <f t="shared" si="6"/>
        <v/>
      </c>
      <c r="BV10" s="6" t="str">
        <f t="shared" si="6"/>
        <v/>
      </c>
      <c r="BW10" s="6" t="str">
        <f t="shared" si="7"/>
        <v/>
      </c>
      <c r="BX10" s="6" t="str">
        <f t="shared" si="7"/>
        <v/>
      </c>
      <c r="BY10" s="6" t="str">
        <f t="shared" si="7"/>
        <v/>
      </c>
      <c r="BZ10" s="6" t="str">
        <f t="shared" si="7"/>
        <v/>
      </c>
      <c r="CA10" s="6" t="str">
        <f t="shared" si="7"/>
        <v/>
      </c>
      <c r="CB10" s="6" t="str">
        <f t="shared" si="7"/>
        <v/>
      </c>
      <c r="CC10" s="6" t="str">
        <f t="shared" si="7"/>
        <v/>
      </c>
      <c r="CD10" s="6" t="str">
        <f t="shared" si="7"/>
        <v/>
      </c>
      <c r="CE10" s="6" t="str">
        <f t="shared" si="7"/>
        <v/>
      </c>
      <c r="CF10" s="6" t="str">
        <f t="shared" si="7"/>
        <v/>
      </c>
      <c r="CG10" s="6" t="str">
        <f t="shared" si="8"/>
        <v/>
      </c>
      <c r="CH10" s="6" t="str">
        <f t="shared" si="8"/>
        <v/>
      </c>
      <c r="CI10" s="6" t="str">
        <f t="shared" si="8"/>
        <v/>
      </c>
      <c r="CJ10" s="6" t="str">
        <f t="shared" si="8"/>
        <v/>
      </c>
      <c r="CK10" s="6" t="str">
        <f t="shared" si="8"/>
        <v/>
      </c>
      <c r="CL10" s="6" t="str">
        <f t="shared" si="8"/>
        <v/>
      </c>
      <c r="CM10" s="6" t="str">
        <f t="shared" si="8"/>
        <v/>
      </c>
      <c r="CN10" s="6" t="str">
        <f t="shared" si="8"/>
        <v/>
      </c>
      <c r="CO10" s="6" t="str">
        <f t="shared" si="8"/>
        <v/>
      </c>
      <c r="CP10" s="6" t="str">
        <f t="shared" si="8"/>
        <v/>
      </c>
      <c r="CQ10" s="6" t="str">
        <f t="shared" si="9"/>
        <v/>
      </c>
      <c r="CR10" s="6" t="str">
        <f t="shared" si="9"/>
        <v/>
      </c>
      <c r="CS10" s="6" t="str">
        <f t="shared" si="9"/>
        <v/>
      </c>
      <c r="CT10" s="6" t="str">
        <f t="shared" si="9"/>
        <v/>
      </c>
      <c r="CU10" s="6" t="str">
        <f t="shared" si="9"/>
        <v/>
      </c>
      <c r="CV10" s="6" t="str">
        <f t="shared" si="9"/>
        <v/>
      </c>
      <c r="CW10" s="6" t="str">
        <f t="shared" si="9"/>
        <v/>
      </c>
      <c r="CX10" s="6" t="str">
        <f t="shared" si="9"/>
        <v/>
      </c>
      <c r="CY10" s="6" t="str">
        <f t="shared" si="9"/>
        <v/>
      </c>
      <c r="CZ10" s="6" t="str">
        <f t="shared" si="9"/>
        <v/>
      </c>
      <c r="DA10" s="6" t="str">
        <f t="shared" si="9"/>
        <v/>
      </c>
      <c r="DB10" s="6" t="str">
        <f t="shared" si="9"/>
        <v/>
      </c>
      <c r="DC10" s="6" t="str">
        <f t="shared" si="9"/>
        <v/>
      </c>
      <c r="DD10" s="6" t="str">
        <f t="shared" si="9"/>
        <v/>
      </c>
    </row>
    <row r="11" spans="1:109" ht="28" customHeight="1" x14ac:dyDescent="0.35">
      <c r="A11" s="24" t="str">
        <f>Schedule!B11</f>
        <v>Probability statistics and uncertainty bridge</v>
      </c>
      <c r="B11" s="4" t="str">
        <f>Schedule!C11</f>
        <v>Core</v>
      </c>
      <c r="C11" s="3">
        <f>IF(Schedule!P11="","",Schedule!P11)</f>
        <v>46514</v>
      </c>
      <c r="D11" s="3">
        <f>IF(Schedule!Q11="","",Schedule!Q11)</f>
        <v>46533</v>
      </c>
      <c r="E11" s="6" t="str">
        <f t="shared" si="0"/>
        <v/>
      </c>
      <c r="F11" s="6" t="str">
        <f t="shared" si="0"/>
        <v/>
      </c>
      <c r="G11" s="6" t="str">
        <f t="shared" si="0"/>
        <v/>
      </c>
      <c r="H11" s="6" t="str">
        <f t="shared" si="0"/>
        <v/>
      </c>
      <c r="I11" s="6" t="str">
        <f t="shared" si="0"/>
        <v/>
      </c>
      <c r="J11" s="6" t="str">
        <f t="shared" si="0"/>
        <v/>
      </c>
      <c r="K11" s="6" t="str">
        <f t="shared" si="0"/>
        <v/>
      </c>
      <c r="L11" s="6" t="str">
        <f t="shared" si="0"/>
        <v/>
      </c>
      <c r="M11" s="6" t="str">
        <f t="shared" si="0"/>
        <v/>
      </c>
      <c r="N11" s="6" t="str">
        <f t="shared" si="0"/>
        <v/>
      </c>
      <c r="O11" s="6" t="str">
        <f t="shared" si="1"/>
        <v/>
      </c>
      <c r="P11" s="6" t="str">
        <f t="shared" si="1"/>
        <v/>
      </c>
      <c r="Q11" s="6" t="str">
        <f t="shared" si="1"/>
        <v/>
      </c>
      <c r="R11" s="6" t="str">
        <f t="shared" si="1"/>
        <v/>
      </c>
      <c r="S11" s="6" t="str">
        <f t="shared" si="1"/>
        <v/>
      </c>
      <c r="T11" s="6" t="str">
        <f t="shared" si="1"/>
        <v/>
      </c>
      <c r="U11" s="6" t="str">
        <f t="shared" si="1"/>
        <v/>
      </c>
      <c r="V11" s="6" t="str">
        <f t="shared" si="1"/>
        <v/>
      </c>
      <c r="W11" s="6" t="str">
        <f t="shared" si="1"/>
        <v/>
      </c>
      <c r="X11" s="6" t="str">
        <f t="shared" si="1"/>
        <v/>
      </c>
      <c r="Y11" s="6" t="str">
        <f t="shared" si="2"/>
        <v/>
      </c>
      <c r="Z11" s="6" t="str">
        <f t="shared" si="2"/>
        <v/>
      </c>
      <c r="AA11" s="6" t="str">
        <f t="shared" si="2"/>
        <v/>
      </c>
      <c r="AB11" s="6" t="str">
        <f t="shared" si="2"/>
        <v/>
      </c>
      <c r="AC11" s="6" t="str">
        <f t="shared" si="2"/>
        <v/>
      </c>
      <c r="AD11" s="6" t="str">
        <f t="shared" si="2"/>
        <v/>
      </c>
      <c r="AE11" s="6" t="str">
        <f t="shared" si="2"/>
        <v/>
      </c>
      <c r="AF11" s="6">
        <f t="shared" si="2"/>
        <v>1</v>
      </c>
      <c r="AG11" s="6">
        <f t="shared" si="2"/>
        <v>1</v>
      </c>
      <c r="AH11" s="6">
        <f t="shared" si="2"/>
        <v>1</v>
      </c>
      <c r="AI11" s="6">
        <f t="shared" si="3"/>
        <v>1</v>
      </c>
      <c r="AJ11" s="6" t="str">
        <f t="shared" si="3"/>
        <v/>
      </c>
      <c r="AK11" s="6" t="str">
        <f t="shared" si="3"/>
        <v/>
      </c>
      <c r="AL11" s="6" t="str">
        <f t="shared" si="3"/>
        <v/>
      </c>
      <c r="AM11" s="6" t="str">
        <f t="shared" si="3"/>
        <v/>
      </c>
      <c r="AN11" s="6" t="str">
        <f t="shared" si="3"/>
        <v/>
      </c>
      <c r="AO11" s="6" t="str">
        <f t="shared" si="3"/>
        <v/>
      </c>
      <c r="AP11" s="6" t="str">
        <f t="shared" si="3"/>
        <v/>
      </c>
      <c r="AQ11" s="6" t="str">
        <f t="shared" si="3"/>
        <v/>
      </c>
      <c r="AR11" s="6" t="str">
        <f t="shared" si="3"/>
        <v/>
      </c>
      <c r="AS11" s="6" t="str">
        <f t="shared" si="4"/>
        <v/>
      </c>
      <c r="AT11" s="6" t="str">
        <f t="shared" si="4"/>
        <v/>
      </c>
      <c r="AU11" s="6" t="str">
        <f t="shared" si="4"/>
        <v/>
      </c>
      <c r="AV11" s="6" t="str">
        <f t="shared" si="4"/>
        <v/>
      </c>
      <c r="AW11" s="6" t="str">
        <f t="shared" si="4"/>
        <v/>
      </c>
      <c r="AX11" s="6" t="str">
        <f t="shared" si="4"/>
        <v/>
      </c>
      <c r="AY11" s="6" t="str">
        <f t="shared" si="4"/>
        <v/>
      </c>
      <c r="AZ11" s="6" t="str">
        <f t="shared" si="4"/>
        <v/>
      </c>
      <c r="BA11" s="6" t="str">
        <f t="shared" si="4"/>
        <v/>
      </c>
      <c r="BB11" s="6" t="str">
        <f t="shared" si="4"/>
        <v/>
      </c>
      <c r="BC11" s="6" t="str">
        <f t="shared" si="5"/>
        <v/>
      </c>
      <c r="BD11" s="6" t="str">
        <f t="shared" si="5"/>
        <v/>
      </c>
      <c r="BE11" s="6" t="str">
        <f t="shared" si="5"/>
        <v/>
      </c>
      <c r="BF11" s="6" t="str">
        <f t="shared" si="5"/>
        <v/>
      </c>
      <c r="BG11" s="6" t="str">
        <f t="shared" si="5"/>
        <v/>
      </c>
      <c r="BH11" s="6" t="str">
        <f t="shared" si="5"/>
        <v/>
      </c>
      <c r="BI11" s="6" t="str">
        <f t="shared" si="5"/>
        <v/>
      </c>
      <c r="BJ11" s="6" t="str">
        <f t="shared" si="5"/>
        <v/>
      </c>
      <c r="BK11" s="6" t="str">
        <f t="shared" si="5"/>
        <v/>
      </c>
      <c r="BL11" s="6" t="str">
        <f t="shared" si="5"/>
        <v/>
      </c>
      <c r="BM11" s="6" t="str">
        <f t="shared" si="6"/>
        <v/>
      </c>
      <c r="BN11" s="6" t="str">
        <f t="shared" si="6"/>
        <v/>
      </c>
      <c r="BO11" s="6" t="str">
        <f t="shared" si="6"/>
        <v/>
      </c>
      <c r="BP11" s="6" t="str">
        <f t="shared" si="6"/>
        <v/>
      </c>
      <c r="BQ11" s="6" t="str">
        <f t="shared" si="6"/>
        <v/>
      </c>
      <c r="BR11" s="6" t="str">
        <f t="shared" si="6"/>
        <v/>
      </c>
      <c r="BS11" s="6" t="str">
        <f t="shared" si="6"/>
        <v/>
      </c>
      <c r="BT11" s="6" t="str">
        <f t="shared" si="6"/>
        <v/>
      </c>
      <c r="BU11" s="6" t="str">
        <f t="shared" si="6"/>
        <v/>
      </c>
      <c r="BV11" s="6" t="str">
        <f t="shared" si="6"/>
        <v/>
      </c>
      <c r="BW11" s="6" t="str">
        <f t="shared" si="7"/>
        <v/>
      </c>
      <c r="BX11" s="6" t="str">
        <f t="shared" si="7"/>
        <v/>
      </c>
      <c r="BY11" s="6" t="str">
        <f t="shared" si="7"/>
        <v/>
      </c>
      <c r="BZ11" s="6" t="str">
        <f t="shared" si="7"/>
        <v/>
      </c>
      <c r="CA11" s="6" t="str">
        <f t="shared" si="7"/>
        <v/>
      </c>
      <c r="CB11" s="6" t="str">
        <f t="shared" si="7"/>
        <v/>
      </c>
      <c r="CC11" s="6" t="str">
        <f t="shared" si="7"/>
        <v/>
      </c>
      <c r="CD11" s="6" t="str">
        <f t="shared" si="7"/>
        <v/>
      </c>
      <c r="CE11" s="6" t="str">
        <f t="shared" si="7"/>
        <v/>
      </c>
      <c r="CF11" s="6" t="str">
        <f t="shared" si="7"/>
        <v/>
      </c>
      <c r="CG11" s="6" t="str">
        <f t="shared" si="8"/>
        <v/>
      </c>
      <c r="CH11" s="6" t="str">
        <f t="shared" si="8"/>
        <v/>
      </c>
      <c r="CI11" s="6" t="str">
        <f t="shared" si="8"/>
        <v/>
      </c>
      <c r="CJ11" s="6" t="str">
        <f t="shared" si="8"/>
        <v/>
      </c>
      <c r="CK11" s="6" t="str">
        <f t="shared" si="8"/>
        <v/>
      </c>
      <c r="CL11" s="6" t="str">
        <f t="shared" si="8"/>
        <v/>
      </c>
      <c r="CM11" s="6" t="str">
        <f t="shared" si="8"/>
        <v/>
      </c>
      <c r="CN11" s="6" t="str">
        <f t="shared" si="8"/>
        <v/>
      </c>
      <c r="CO11" s="6" t="str">
        <f t="shared" si="8"/>
        <v/>
      </c>
      <c r="CP11" s="6" t="str">
        <f t="shared" si="8"/>
        <v/>
      </c>
      <c r="CQ11" s="6" t="str">
        <f t="shared" si="9"/>
        <v/>
      </c>
      <c r="CR11" s="6" t="str">
        <f t="shared" si="9"/>
        <v/>
      </c>
      <c r="CS11" s="6" t="str">
        <f t="shared" si="9"/>
        <v/>
      </c>
      <c r="CT11" s="6" t="str">
        <f t="shared" si="9"/>
        <v/>
      </c>
      <c r="CU11" s="6" t="str">
        <f t="shared" si="9"/>
        <v/>
      </c>
      <c r="CV11" s="6" t="str">
        <f t="shared" si="9"/>
        <v/>
      </c>
      <c r="CW11" s="6" t="str">
        <f t="shared" si="9"/>
        <v/>
      </c>
      <c r="CX11" s="6" t="str">
        <f t="shared" si="9"/>
        <v/>
      </c>
      <c r="CY11" s="6" t="str">
        <f t="shared" si="9"/>
        <v/>
      </c>
      <c r="CZ11" s="6" t="str">
        <f t="shared" si="9"/>
        <v/>
      </c>
      <c r="DA11" s="6" t="str">
        <f t="shared" si="9"/>
        <v/>
      </c>
      <c r="DB11" s="6" t="str">
        <f t="shared" si="9"/>
        <v/>
      </c>
      <c r="DC11" s="6" t="str">
        <f t="shared" si="9"/>
        <v/>
      </c>
      <c r="DD11" s="6" t="str">
        <f t="shared" si="9"/>
        <v/>
      </c>
    </row>
    <row r="12" spans="1:109" ht="28" customHeight="1" x14ac:dyDescent="0.35">
      <c r="A12" s="24" t="str">
        <f>Schedule!B12</f>
        <v>NumPy pandas and data manipulation bridge</v>
      </c>
      <c r="B12" s="4" t="str">
        <f>Schedule!C12</f>
        <v>Core</v>
      </c>
      <c r="C12" s="3">
        <f>IF(Schedule!P12="","",Schedule!P12)</f>
        <v>46533</v>
      </c>
      <c r="D12" s="3">
        <f>IF(Schedule!Q12="","",Schedule!Q12)</f>
        <v>46549</v>
      </c>
      <c r="E12" s="6" t="str">
        <f t="shared" ref="E12:N21" si="10">IF(AND(ISNUMBER($C12),ISNUMBER($D12),E$1&lt;=$D12,E$1+6&gt;=$C12),1,"")</f>
        <v/>
      </c>
      <c r="F12" s="6" t="str">
        <f t="shared" si="10"/>
        <v/>
      </c>
      <c r="G12" s="6" t="str">
        <f t="shared" si="10"/>
        <v/>
      </c>
      <c r="H12" s="6" t="str">
        <f t="shared" si="10"/>
        <v/>
      </c>
      <c r="I12" s="6" t="str">
        <f t="shared" si="10"/>
        <v/>
      </c>
      <c r="J12" s="6" t="str">
        <f t="shared" si="10"/>
        <v/>
      </c>
      <c r="K12" s="6" t="str">
        <f t="shared" si="10"/>
        <v/>
      </c>
      <c r="L12" s="6" t="str">
        <f t="shared" si="10"/>
        <v/>
      </c>
      <c r="M12" s="6" t="str">
        <f t="shared" si="10"/>
        <v/>
      </c>
      <c r="N12" s="6" t="str">
        <f t="shared" si="10"/>
        <v/>
      </c>
      <c r="O12" s="6" t="str">
        <f t="shared" ref="O12:X21" si="11">IF(AND(ISNUMBER($C12),ISNUMBER($D12),O$1&lt;=$D12,O$1+6&gt;=$C12),1,"")</f>
        <v/>
      </c>
      <c r="P12" s="6" t="str">
        <f t="shared" si="11"/>
        <v/>
      </c>
      <c r="Q12" s="6" t="str">
        <f t="shared" si="11"/>
        <v/>
      </c>
      <c r="R12" s="6" t="str">
        <f t="shared" si="11"/>
        <v/>
      </c>
      <c r="S12" s="6" t="str">
        <f t="shared" si="11"/>
        <v/>
      </c>
      <c r="T12" s="6" t="str">
        <f t="shared" si="11"/>
        <v/>
      </c>
      <c r="U12" s="6" t="str">
        <f t="shared" si="11"/>
        <v/>
      </c>
      <c r="V12" s="6" t="str">
        <f t="shared" si="11"/>
        <v/>
      </c>
      <c r="W12" s="6" t="str">
        <f t="shared" si="11"/>
        <v/>
      </c>
      <c r="X12" s="6" t="str">
        <f t="shared" si="11"/>
        <v/>
      </c>
      <c r="Y12" s="6" t="str">
        <f t="shared" ref="Y12:AH21" si="12">IF(AND(ISNUMBER($C12),ISNUMBER($D12),Y$1&lt;=$D12,Y$1+6&gt;=$C12),1,"")</f>
        <v/>
      </c>
      <c r="Z12" s="6" t="str">
        <f t="shared" si="12"/>
        <v/>
      </c>
      <c r="AA12" s="6" t="str">
        <f t="shared" si="12"/>
        <v/>
      </c>
      <c r="AB12" s="6" t="str">
        <f t="shared" si="12"/>
        <v/>
      </c>
      <c r="AC12" s="6" t="str">
        <f t="shared" si="12"/>
        <v/>
      </c>
      <c r="AD12" s="6" t="str">
        <f t="shared" si="12"/>
        <v/>
      </c>
      <c r="AE12" s="6" t="str">
        <f t="shared" si="12"/>
        <v/>
      </c>
      <c r="AF12" s="6" t="str">
        <f t="shared" si="12"/>
        <v/>
      </c>
      <c r="AG12" s="6" t="str">
        <f t="shared" si="12"/>
        <v/>
      </c>
      <c r="AH12" s="6" t="str">
        <f t="shared" si="12"/>
        <v/>
      </c>
      <c r="AI12" s="6">
        <f t="shared" ref="AI12:AR21" si="13">IF(AND(ISNUMBER($C12),ISNUMBER($D12),AI$1&lt;=$D12,AI$1+6&gt;=$C12),1,"")</f>
        <v>1</v>
      </c>
      <c r="AJ12" s="6">
        <f t="shared" si="13"/>
        <v>1</v>
      </c>
      <c r="AK12" s="6">
        <f t="shared" si="13"/>
        <v>1</v>
      </c>
      <c r="AL12" s="6" t="str">
        <f t="shared" si="13"/>
        <v/>
      </c>
      <c r="AM12" s="6" t="str">
        <f t="shared" si="13"/>
        <v/>
      </c>
      <c r="AN12" s="6" t="str">
        <f t="shared" si="13"/>
        <v/>
      </c>
      <c r="AO12" s="6" t="str">
        <f t="shared" si="13"/>
        <v/>
      </c>
      <c r="AP12" s="6" t="str">
        <f t="shared" si="13"/>
        <v/>
      </c>
      <c r="AQ12" s="6" t="str">
        <f t="shared" si="13"/>
        <v/>
      </c>
      <c r="AR12" s="6" t="str">
        <f t="shared" si="13"/>
        <v/>
      </c>
      <c r="AS12" s="6" t="str">
        <f t="shared" ref="AS12:BB21" si="14">IF(AND(ISNUMBER($C12),ISNUMBER($D12),AS$1&lt;=$D12,AS$1+6&gt;=$C12),1,"")</f>
        <v/>
      </c>
      <c r="AT12" s="6" t="str">
        <f t="shared" si="14"/>
        <v/>
      </c>
      <c r="AU12" s="6" t="str">
        <f t="shared" si="14"/>
        <v/>
      </c>
      <c r="AV12" s="6" t="str">
        <f t="shared" si="14"/>
        <v/>
      </c>
      <c r="AW12" s="6" t="str">
        <f t="shared" si="14"/>
        <v/>
      </c>
      <c r="AX12" s="6" t="str">
        <f t="shared" si="14"/>
        <v/>
      </c>
      <c r="AY12" s="6" t="str">
        <f t="shared" si="14"/>
        <v/>
      </c>
      <c r="AZ12" s="6" t="str">
        <f t="shared" si="14"/>
        <v/>
      </c>
      <c r="BA12" s="6" t="str">
        <f t="shared" si="14"/>
        <v/>
      </c>
      <c r="BB12" s="6" t="str">
        <f t="shared" si="14"/>
        <v/>
      </c>
      <c r="BC12" s="6" t="str">
        <f t="shared" ref="BC12:BL21" si="15">IF(AND(ISNUMBER($C12),ISNUMBER($D12),BC$1&lt;=$D12,BC$1+6&gt;=$C12),1,"")</f>
        <v/>
      </c>
      <c r="BD12" s="6" t="str">
        <f t="shared" si="15"/>
        <v/>
      </c>
      <c r="BE12" s="6" t="str">
        <f t="shared" si="15"/>
        <v/>
      </c>
      <c r="BF12" s="6" t="str">
        <f t="shared" si="15"/>
        <v/>
      </c>
      <c r="BG12" s="6" t="str">
        <f t="shared" si="15"/>
        <v/>
      </c>
      <c r="BH12" s="6" t="str">
        <f t="shared" si="15"/>
        <v/>
      </c>
      <c r="BI12" s="6" t="str">
        <f t="shared" si="15"/>
        <v/>
      </c>
      <c r="BJ12" s="6" t="str">
        <f t="shared" si="15"/>
        <v/>
      </c>
      <c r="BK12" s="6" t="str">
        <f t="shared" si="15"/>
        <v/>
      </c>
      <c r="BL12" s="6" t="str">
        <f t="shared" si="15"/>
        <v/>
      </c>
      <c r="BM12" s="6" t="str">
        <f t="shared" ref="BM12:BV21" si="16">IF(AND(ISNUMBER($C12),ISNUMBER($D12),BM$1&lt;=$D12,BM$1+6&gt;=$C12),1,"")</f>
        <v/>
      </c>
      <c r="BN12" s="6" t="str">
        <f t="shared" si="16"/>
        <v/>
      </c>
      <c r="BO12" s="6" t="str">
        <f t="shared" si="16"/>
        <v/>
      </c>
      <c r="BP12" s="6" t="str">
        <f t="shared" si="16"/>
        <v/>
      </c>
      <c r="BQ12" s="6" t="str">
        <f t="shared" si="16"/>
        <v/>
      </c>
      <c r="BR12" s="6" t="str">
        <f t="shared" si="16"/>
        <v/>
      </c>
      <c r="BS12" s="6" t="str">
        <f t="shared" si="16"/>
        <v/>
      </c>
      <c r="BT12" s="6" t="str">
        <f t="shared" si="16"/>
        <v/>
      </c>
      <c r="BU12" s="6" t="str">
        <f t="shared" si="16"/>
        <v/>
      </c>
      <c r="BV12" s="6" t="str">
        <f t="shared" si="16"/>
        <v/>
      </c>
      <c r="BW12" s="6" t="str">
        <f t="shared" ref="BW12:CF21" si="17">IF(AND(ISNUMBER($C12),ISNUMBER($D12),BW$1&lt;=$D12,BW$1+6&gt;=$C12),1,"")</f>
        <v/>
      </c>
      <c r="BX12" s="6" t="str">
        <f t="shared" si="17"/>
        <v/>
      </c>
      <c r="BY12" s="6" t="str">
        <f t="shared" si="17"/>
        <v/>
      </c>
      <c r="BZ12" s="6" t="str">
        <f t="shared" si="17"/>
        <v/>
      </c>
      <c r="CA12" s="6" t="str">
        <f t="shared" si="17"/>
        <v/>
      </c>
      <c r="CB12" s="6" t="str">
        <f t="shared" si="17"/>
        <v/>
      </c>
      <c r="CC12" s="6" t="str">
        <f t="shared" si="17"/>
        <v/>
      </c>
      <c r="CD12" s="6" t="str">
        <f t="shared" si="17"/>
        <v/>
      </c>
      <c r="CE12" s="6" t="str">
        <f t="shared" si="17"/>
        <v/>
      </c>
      <c r="CF12" s="6" t="str">
        <f t="shared" si="17"/>
        <v/>
      </c>
      <c r="CG12" s="6" t="str">
        <f t="shared" ref="CG12:CP21" si="18">IF(AND(ISNUMBER($C12),ISNUMBER($D12),CG$1&lt;=$D12,CG$1+6&gt;=$C12),1,"")</f>
        <v/>
      </c>
      <c r="CH12" s="6" t="str">
        <f t="shared" si="18"/>
        <v/>
      </c>
      <c r="CI12" s="6" t="str">
        <f t="shared" si="18"/>
        <v/>
      </c>
      <c r="CJ12" s="6" t="str">
        <f t="shared" si="18"/>
        <v/>
      </c>
      <c r="CK12" s="6" t="str">
        <f t="shared" si="18"/>
        <v/>
      </c>
      <c r="CL12" s="6" t="str">
        <f t="shared" si="18"/>
        <v/>
      </c>
      <c r="CM12" s="6" t="str">
        <f t="shared" si="18"/>
        <v/>
      </c>
      <c r="CN12" s="6" t="str">
        <f t="shared" si="18"/>
        <v/>
      </c>
      <c r="CO12" s="6" t="str">
        <f t="shared" si="18"/>
        <v/>
      </c>
      <c r="CP12" s="6" t="str">
        <f t="shared" si="18"/>
        <v/>
      </c>
      <c r="CQ12" s="6" t="str">
        <f t="shared" ref="CQ12:DD21" si="19">IF(AND(ISNUMBER($C12),ISNUMBER($D12),CQ$1&lt;=$D12,CQ$1+6&gt;=$C12),1,"")</f>
        <v/>
      </c>
      <c r="CR12" s="6" t="str">
        <f t="shared" si="19"/>
        <v/>
      </c>
      <c r="CS12" s="6" t="str">
        <f t="shared" si="19"/>
        <v/>
      </c>
      <c r="CT12" s="6" t="str">
        <f t="shared" si="19"/>
        <v/>
      </c>
      <c r="CU12" s="6" t="str">
        <f t="shared" si="19"/>
        <v/>
      </c>
      <c r="CV12" s="6" t="str">
        <f t="shared" si="19"/>
        <v/>
      </c>
      <c r="CW12" s="6" t="str">
        <f t="shared" si="19"/>
        <v/>
      </c>
      <c r="CX12" s="6" t="str">
        <f t="shared" si="19"/>
        <v/>
      </c>
      <c r="CY12" s="6" t="str">
        <f t="shared" si="19"/>
        <v/>
      </c>
      <c r="CZ12" s="6" t="str">
        <f t="shared" si="19"/>
        <v/>
      </c>
      <c r="DA12" s="6" t="str">
        <f t="shared" si="19"/>
        <v/>
      </c>
      <c r="DB12" s="6" t="str">
        <f t="shared" si="19"/>
        <v/>
      </c>
      <c r="DC12" s="6" t="str">
        <f t="shared" si="19"/>
        <v/>
      </c>
      <c r="DD12" s="6" t="str">
        <f t="shared" si="19"/>
        <v/>
      </c>
    </row>
    <row r="13" spans="1:109" ht="28" customHeight="1" x14ac:dyDescent="0.35">
      <c r="A13" s="24" t="str">
        <f>Schedule!B13</f>
        <v>Calculus gradients and optimization bridge</v>
      </c>
      <c r="B13" s="4" t="str">
        <f>Schedule!C13</f>
        <v>Core</v>
      </c>
      <c r="C13" s="3">
        <f>IF(Schedule!P13="","",Schedule!P13)</f>
        <v>46549</v>
      </c>
      <c r="D13" s="3">
        <f>IF(Schedule!Q13="","",Schedule!Q13)</f>
        <v>46561</v>
      </c>
      <c r="E13" s="6" t="str">
        <f t="shared" si="10"/>
        <v/>
      </c>
      <c r="F13" s="6" t="str">
        <f t="shared" si="10"/>
        <v/>
      </c>
      <c r="G13" s="6" t="str">
        <f t="shared" si="10"/>
        <v/>
      </c>
      <c r="H13" s="6" t="str">
        <f t="shared" si="10"/>
        <v/>
      </c>
      <c r="I13" s="6" t="str">
        <f t="shared" si="10"/>
        <v/>
      </c>
      <c r="J13" s="6" t="str">
        <f t="shared" si="10"/>
        <v/>
      </c>
      <c r="K13" s="6" t="str">
        <f t="shared" si="10"/>
        <v/>
      </c>
      <c r="L13" s="6" t="str">
        <f t="shared" si="10"/>
        <v/>
      </c>
      <c r="M13" s="6" t="str">
        <f t="shared" si="10"/>
        <v/>
      </c>
      <c r="N13" s="6" t="str">
        <f t="shared" si="10"/>
        <v/>
      </c>
      <c r="O13" s="6" t="str">
        <f t="shared" si="11"/>
        <v/>
      </c>
      <c r="P13" s="6" t="str">
        <f t="shared" si="11"/>
        <v/>
      </c>
      <c r="Q13" s="6" t="str">
        <f t="shared" si="11"/>
        <v/>
      </c>
      <c r="R13" s="6" t="str">
        <f t="shared" si="11"/>
        <v/>
      </c>
      <c r="S13" s="6" t="str">
        <f t="shared" si="11"/>
        <v/>
      </c>
      <c r="T13" s="6" t="str">
        <f t="shared" si="11"/>
        <v/>
      </c>
      <c r="U13" s="6" t="str">
        <f t="shared" si="11"/>
        <v/>
      </c>
      <c r="V13" s="6" t="str">
        <f t="shared" si="11"/>
        <v/>
      </c>
      <c r="W13" s="6" t="str">
        <f t="shared" si="11"/>
        <v/>
      </c>
      <c r="X13" s="6" t="str">
        <f t="shared" si="11"/>
        <v/>
      </c>
      <c r="Y13" s="6" t="str">
        <f t="shared" si="12"/>
        <v/>
      </c>
      <c r="Z13" s="6" t="str">
        <f t="shared" si="12"/>
        <v/>
      </c>
      <c r="AA13" s="6" t="str">
        <f t="shared" si="12"/>
        <v/>
      </c>
      <c r="AB13" s="6" t="str">
        <f t="shared" si="12"/>
        <v/>
      </c>
      <c r="AC13" s="6" t="str">
        <f t="shared" si="12"/>
        <v/>
      </c>
      <c r="AD13" s="6" t="str">
        <f t="shared" si="12"/>
        <v/>
      </c>
      <c r="AE13" s="6" t="str">
        <f t="shared" si="12"/>
        <v/>
      </c>
      <c r="AF13" s="6" t="str">
        <f t="shared" si="12"/>
        <v/>
      </c>
      <c r="AG13" s="6" t="str">
        <f t="shared" si="12"/>
        <v/>
      </c>
      <c r="AH13" s="6" t="str">
        <f t="shared" si="12"/>
        <v/>
      </c>
      <c r="AI13" s="6" t="str">
        <f t="shared" si="13"/>
        <v/>
      </c>
      <c r="AJ13" s="6" t="str">
        <f t="shared" si="13"/>
        <v/>
      </c>
      <c r="AK13" s="6">
        <f t="shared" si="13"/>
        <v>1</v>
      </c>
      <c r="AL13" s="6">
        <f t="shared" si="13"/>
        <v>1</v>
      </c>
      <c r="AM13" s="6">
        <f t="shared" si="13"/>
        <v>1</v>
      </c>
      <c r="AN13" s="6" t="str">
        <f t="shared" si="13"/>
        <v/>
      </c>
      <c r="AO13" s="6" t="str">
        <f t="shared" si="13"/>
        <v/>
      </c>
      <c r="AP13" s="6" t="str">
        <f t="shared" si="13"/>
        <v/>
      </c>
      <c r="AQ13" s="6" t="str">
        <f t="shared" si="13"/>
        <v/>
      </c>
      <c r="AR13" s="6" t="str">
        <f t="shared" si="13"/>
        <v/>
      </c>
      <c r="AS13" s="6" t="str">
        <f t="shared" si="14"/>
        <v/>
      </c>
      <c r="AT13" s="6" t="str">
        <f t="shared" si="14"/>
        <v/>
      </c>
      <c r="AU13" s="6" t="str">
        <f t="shared" si="14"/>
        <v/>
      </c>
      <c r="AV13" s="6" t="str">
        <f t="shared" si="14"/>
        <v/>
      </c>
      <c r="AW13" s="6" t="str">
        <f t="shared" si="14"/>
        <v/>
      </c>
      <c r="AX13" s="6" t="str">
        <f t="shared" si="14"/>
        <v/>
      </c>
      <c r="AY13" s="6" t="str">
        <f t="shared" si="14"/>
        <v/>
      </c>
      <c r="AZ13" s="6" t="str">
        <f t="shared" si="14"/>
        <v/>
      </c>
      <c r="BA13" s="6" t="str">
        <f t="shared" si="14"/>
        <v/>
      </c>
      <c r="BB13" s="6" t="str">
        <f t="shared" si="14"/>
        <v/>
      </c>
      <c r="BC13" s="6" t="str">
        <f t="shared" si="15"/>
        <v/>
      </c>
      <c r="BD13" s="6" t="str">
        <f t="shared" si="15"/>
        <v/>
      </c>
      <c r="BE13" s="6" t="str">
        <f t="shared" si="15"/>
        <v/>
      </c>
      <c r="BF13" s="6" t="str">
        <f t="shared" si="15"/>
        <v/>
      </c>
      <c r="BG13" s="6" t="str">
        <f t="shared" si="15"/>
        <v/>
      </c>
      <c r="BH13" s="6" t="str">
        <f t="shared" si="15"/>
        <v/>
      </c>
      <c r="BI13" s="6" t="str">
        <f t="shared" si="15"/>
        <v/>
      </c>
      <c r="BJ13" s="6" t="str">
        <f t="shared" si="15"/>
        <v/>
      </c>
      <c r="BK13" s="6" t="str">
        <f t="shared" si="15"/>
        <v/>
      </c>
      <c r="BL13" s="6" t="str">
        <f t="shared" si="15"/>
        <v/>
      </c>
      <c r="BM13" s="6" t="str">
        <f t="shared" si="16"/>
        <v/>
      </c>
      <c r="BN13" s="6" t="str">
        <f t="shared" si="16"/>
        <v/>
      </c>
      <c r="BO13" s="6" t="str">
        <f t="shared" si="16"/>
        <v/>
      </c>
      <c r="BP13" s="6" t="str">
        <f t="shared" si="16"/>
        <v/>
      </c>
      <c r="BQ13" s="6" t="str">
        <f t="shared" si="16"/>
        <v/>
      </c>
      <c r="BR13" s="6" t="str">
        <f t="shared" si="16"/>
        <v/>
      </c>
      <c r="BS13" s="6" t="str">
        <f t="shared" si="16"/>
        <v/>
      </c>
      <c r="BT13" s="6" t="str">
        <f t="shared" si="16"/>
        <v/>
      </c>
      <c r="BU13" s="6" t="str">
        <f t="shared" si="16"/>
        <v/>
      </c>
      <c r="BV13" s="6" t="str">
        <f t="shared" si="16"/>
        <v/>
      </c>
      <c r="BW13" s="6" t="str">
        <f t="shared" si="17"/>
        <v/>
      </c>
      <c r="BX13" s="6" t="str">
        <f t="shared" si="17"/>
        <v/>
      </c>
      <c r="BY13" s="6" t="str">
        <f t="shared" si="17"/>
        <v/>
      </c>
      <c r="BZ13" s="6" t="str">
        <f t="shared" si="17"/>
        <v/>
      </c>
      <c r="CA13" s="6" t="str">
        <f t="shared" si="17"/>
        <v/>
      </c>
      <c r="CB13" s="6" t="str">
        <f t="shared" si="17"/>
        <v/>
      </c>
      <c r="CC13" s="6" t="str">
        <f t="shared" si="17"/>
        <v/>
      </c>
      <c r="CD13" s="6" t="str">
        <f t="shared" si="17"/>
        <v/>
      </c>
      <c r="CE13" s="6" t="str">
        <f t="shared" si="17"/>
        <v/>
      </c>
      <c r="CF13" s="6" t="str">
        <f t="shared" si="17"/>
        <v/>
      </c>
      <c r="CG13" s="6" t="str">
        <f t="shared" si="18"/>
        <v/>
      </c>
      <c r="CH13" s="6" t="str">
        <f t="shared" si="18"/>
        <v/>
      </c>
      <c r="CI13" s="6" t="str">
        <f t="shared" si="18"/>
        <v/>
      </c>
      <c r="CJ13" s="6" t="str">
        <f t="shared" si="18"/>
        <v/>
      </c>
      <c r="CK13" s="6" t="str">
        <f t="shared" si="18"/>
        <v/>
      </c>
      <c r="CL13" s="6" t="str">
        <f t="shared" si="18"/>
        <v/>
      </c>
      <c r="CM13" s="6" t="str">
        <f t="shared" si="18"/>
        <v/>
      </c>
      <c r="CN13" s="6" t="str">
        <f t="shared" si="18"/>
        <v/>
      </c>
      <c r="CO13" s="6" t="str">
        <f t="shared" si="18"/>
        <v/>
      </c>
      <c r="CP13" s="6" t="str">
        <f t="shared" si="18"/>
        <v/>
      </c>
      <c r="CQ13" s="6" t="str">
        <f t="shared" si="19"/>
        <v/>
      </c>
      <c r="CR13" s="6" t="str">
        <f t="shared" si="19"/>
        <v/>
      </c>
      <c r="CS13" s="6" t="str">
        <f t="shared" si="19"/>
        <v/>
      </c>
      <c r="CT13" s="6" t="str">
        <f t="shared" si="19"/>
        <v/>
      </c>
      <c r="CU13" s="6" t="str">
        <f t="shared" si="19"/>
        <v/>
      </c>
      <c r="CV13" s="6" t="str">
        <f t="shared" si="19"/>
        <v/>
      </c>
      <c r="CW13" s="6" t="str">
        <f t="shared" si="19"/>
        <v/>
      </c>
      <c r="CX13" s="6" t="str">
        <f t="shared" si="19"/>
        <v/>
      </c>
      <c r="CY13" s="6" t="str">
        <f t="shared" si="19"/>
        <v/>
      </c>
      <c r="CZ13" s="6" t="str">
        <f t="shared" si="19"/>
        <v/>
      </c>
      <c r="DA13" s="6" t="str">
        <f t="shared" si="19"/>
        <v/>
      </c>
      <c r="DB13" s="6" t="str">
        <f t="shared" si="19"/>
        <v/>
      </c>
      <c r="DC13" s="6" t="str">
        <f t="shared" si="19"/>
        <v/>
      </c>
      <c r="DD13" s="6" t="str">
        <f t="shared" si="19"/>
        <v/>
      </c>
    </row>
    <row r="14" spans="1:109" ht="28" customHeight="1" x14ac:dyDescent="0.35">
      <c r="A14" s="24" t="str">
        <f>Schedule!B14</f>
        <v>Classical ML baselines and leakage bridge</v>
      </c>
      <c r="B14" s="4" t="str">
        <f>Schedule!C14</f>
        <v>Core</v>
      </c>
      <c r="C14" s="3">
        <f>IF(Schedule!P14="","",Schedule!P14)</f>
        <v>46561</v>
      </c>
      <c r="D14" s="3">
        <f>IF(Schedule!Q14="","",Schedule!Q14)</f>
        <v>46584</v>
      </c>
      <c r="E14" s="6" t="str">
        <f t="shared" si="10"/>
        <v/>
      </c>
      <c r="F14" s="6" t="str">
        <f t="shared" si="10"/>
        <v/>
      </c>
      <c r="G14" s="6" t="str">
        <f t="shared" si="10"/>
        <v/>
      </c>
      <c r="H14" s="6" t="str">
        <f t="shared" si="10"/>
        <v/>
      </c>
      <c r="I14" s="6" t="str">
        <f t="shared" si="10"/>
        <v/>
      </c>
      <c r="J14" s="6" t="str">
        <f t="shared" si="10"/>
        <v/>
      </c>
      <c r="K14" s="6" t="str">
        <f t="shared" si="10"/>
        <v/>
      </c>
      <c r="L14" s="6" t="str">
        <f t="shared" si="10"/>
        <v/>
      </c>
      <c r="M14" s="6" t="str">
        <f t="shared" si="10"/>
        <v/>
      </c>
      <c r="N14" s="6" t="str">
        <f t="shared" si="10"/>
        <v/>
      </c>
      <c r="O14" s="6" t="str">
        <f t="shared" si="11"/>
        <v/>
      </c>
      <c r="P14" s="6" t="str">
        <f t="shared" si="11"/>
        <v/>
      </c>
      <c r="Q14" s="6" t="str">
        <f t="shared" si="11"/>
        <v/>
      </c>
      <c r="R14" s="6" t="str">
        <f t="shared" si="11"/>
        <v/>
      </c>
      <c r="S14" s="6" t="str">
        <f t="shared" si="11"/>
        <v/>
      </c>
      <c r="T14" s="6" t="str">
        <f t="shared" si="11"/>
        <v/>
      </c>
      <c r="U14" s="6" t="str">
        <f t="shared" si="11"/>
        <v/>
      </c>
      <c r="V14" s="6" t="str">
        <f t="shared" si="11"/>
        <v/>
      </c>
      <c r="W14" s="6" t="str">
        <f t="shared" si="11"/>
        <v/>
      </c>
      <c r="X14" s="6" t="str">
        <f t="shared" si="11"/>
        <v/>
      </c>
      <c r="Y14" s="6" t="str">
        <f t="shared" si="12"/>
        <v/>
      </c>
      <c r="Z14" s="6" t="str">
        <f t="shared" si="12"/>
        <v/>
      </c>
      <c r="AA14" s="6" t="str">
        <f t="shared" si="12"/>
        <v/>
      </c>
      <c r="AB14" s="6" t="str">
        <f t="shared" si="12"/>
        <v/>
      </c>
      <c r="AC14" s="6" t="str">
        <f t="shared" si="12"/>
        <v/>
      </c>
      <c r="AD14" s="6" t="str">
        <f t="shared" si="12"/>
        <v/>
      </c>
      <c r="AE14" s="6" t="str">
        <f t="shared" si="12"/>
        <v/>
      </c>
      <c r="AF14" s="6" t="str">
        <f t="shared" si="12"/>
        <v/>
      </c>
      <c r="AG14" s="6" t="str">
        <f t="shared" si="12"/>
        <v/>
      </c>
      <c r="AH14" s="6" t="str">
        <f t="shared" si="12"/>
        <v/>
      </c>
      <c r="AI14" s="6" t="str">
        <f t="shared" si="13"/>
        <v/>
      </c>
      <c r="AJ14" s="6" t="str">
        <f t="shared" si="13"/>
        <v/>
      </c>
      <c r="AK14" s="6" t="str">
        <f t="shared" si="13"/>
        <v/>
      </c>
      <c r="AL14" s="6" t="str">
        <f t="shared" si="13"/>
        <v/>
      </c>
      <c r="AM14" s="6">
        <f t="shared" si="13"/>
        <v>1</v>
      </c>
      <c r="AN14" s="6">
        <f t="shared" si="13"/>
        <v>1</v>
      </c>
      <c r="AO14" s="6">
        <f t="shared" si="13"/>
        <v>1</v>
      </c>
      <c r="AP14" s="6">
        <f t="shared" si="13"/>
        <v>1</v>
      </c>
      <c r="AQ14" s="6" t="str">
        <f t="shared" si="13"/>
        <v/>
      </c>
      <c r="AR14" s="6" t="str">
        <f t="shared" si="13"/>
        <v/>
      </c>
      <c r="AS14" s="6" t="str">
        <f t="shared" si="14"/>
        <v/>
      </c>
      <c r="AT14" s="6" t="str">
        <f t="shared" si="14"/>
        <v/>
      </c>
      <c r="AU14" s="6" t="str">
        <f t="shared" si="14"/>
        <v/>
      </c>
      <c r="AV14" s="6" t="str">
        <f t="shared" si="14"/>
        <v/>
      </c>
      <c r="AW14" s="6" t="str">
        <f t="shared" si="14"/>
        <v/>
      </c>
      <c r="AX14" s="6" t="str">
        <f t="shared" si="14"/>
        <v/>
      </c>
      <c r="AY14" s="6" t="str">
        <f t="shared" si="14"/>
        <v/>
      </c>
      <c r="AZ14" s="6" t="str">
        <f t="shared" si="14"/>
        <v/>
      </c>
      <c r="BA14" s="6" t="str">
        <f t="shared" si="14"/>
        <v/>
      </c>
      <c r="BB14" s="6" t="str">
        <f t="shared" si="14"/>
        <v/>
      </c>
      <c r="BC14" s="6" t="str">
        <f t="shared" si="15"/>
        <v/>
      </c>
      <c r="BD14" s="6" t="str">
        <f t="shared" si="15"/>
        <v/>
      </c>
      <c r="BE14" s="6" t="str">
        <f t="shared" si="15"/>
        <v/>
      </c>
      <c r="BF14" s="6" t="str">
        <f t="shared" si="15"/>
        <v/>
      </c>
      <c r="BG14" s="6" t="str">
        <f t="shared" si="15"/>
        <v/>
      </c>
      <c r="BH14" s="6" t="str">
        <f t="shared" si="15"/>
        <v/>
      </c>
      <c r="BI14" s="6" t="str">
        <f t="shared" si="15"/>
        <v/>
      </c>
      <c r="BJ14" s="6" t="str">
        <f t="shared" si="15"/>
        <v/>
      </c>
      <c r="BK14" s="6" t="str">
        <f t="shared" si="15"/>
        <v/>
      </c>
      <c r="BL14" s="6" t="str">
        <f t="shared" si="15"/>
        <v/>
      </c>
      <c r="BM14" s="6" t="str">
        <f t="shared" si="16"/>
        <v/>
      </c>
      <c r="BN14" s="6" t="str">
        <f t="shared" si="16"/>
        <v/>
      </c>
      <c r="BO14" s="6" t="str">
        <f t="shared" si="16"/>
        <v/>
      </c>
      <c r="BP14" s="6" t="str">
        <f t="shared" si="16"/>
        <v/>
      </c>
      <c r="BQ14" s="6" t="str">
        <f t="shared" si="16"/>
        <v/>
      </c>
      <c r="BR14" s="6" t="str">
        <f t="shared" si="16"/>
        <v/>
      </c>
      <c r="BS14" s="6" t="str">
        <f t="shared" si="16"/>
        <v/>
      </c>
      <c r="BT14" s="6" t="str">
        <f t="shared" si="16"/>
        <v/>
      </c>
      <c r="BU14" s="6" t="str">
        <f t="shared" si="16"/>
        <v/>
      </c>
      <c r="BV14" s="6" t="str">
        <f t="shared" si="16"/>
        <v/>
      </c>
      <c r="BW14" s="6" t="str">
        <f t="shared" si="17"/>
        <v/>
      </c>
      <c r="BX14" s="6" t="str">
        <f t="shared" si="17"/>
        <v/>
      </c>
      <c r="BY14" s="6" t="str">
        <f t="shared" si="17"/>
        <v/>
      </c>
      <c r="BZ14" s="6" t="str">
        <f t="shared" si="17"/>
        <v/>
      </c>
      <c r="CA14" s="6" t="str">
        <f t="shared" si="17"/>
        <v/>
      </c>
      <c r="CB14" s="6" t="str">
        <f t="shared" si="17"/>
        <v/>
      </c>
      <c r="CC14" s="6" t="str">
        <f t="shared" si="17"/>
        <v/>
      </c>
      <c r="CD14" s="6" t="str">
        <f t="shared" si="17"/>
        <v/>
      </c>
      <c r="CE14" s="6" t="str">
        <f t="shared" si="17"/>
        <v/>
      </c>
      <c r="CF14" s="6" t="str">
        <f t="shared" si="17"/>
        <v/>
      </c>
      <c r="CG14" s="6" t="str">
        <f t="shared" si="18"/>
        <v/>
      </c>
      <c r="CH14" s="6" t="str">
        <f t="shared" si="18"/>
        <v/>
      </c>
      <c r="CI14" s="6" t="str">
        <f t="shared" si="18"/>
        <v/>
      </c>
      <c r="CJ14" s="6" t="str">
        <f t="shared" si="18"/>
        <v/>
      </c>
      <c r="CK14" s="6" t="str">
        <f t="shared" si="18"/>
        <v/>
      </c>
      <c r="CL14" s="6" t="str">
        <f t="shared" si="18"/>
        <v/>
      </c>
      <c r="CM14" s="6" t="str">
        <f t="shared" si="18"/>
        <v/>
      </c>
      <c r="CN14" s="6" t="str">
        <f t="shared" si="18"/>
        <v/>
      </c>
      <c r="CO14" s="6" t="str">
        <f t="shared" si="18"/>
        <v/>
      </c>
      <c r="CP14" s="6" t="str">
        <f t="shared" si="18"/>
        <v/>
      </c>
      <c r="CQ14" s="6" t="str">
        <f t="shared" si="19"/>
        <v/>
      </c>
      <c r="CR14" s="6" t="str">
        <f t="shared" si="19"/>
        <v/>
      </c>
      <c r="CS14" s="6" t="str">
        <f t="shared" si="19"/>
        <v/>
      </c>
      <c r="CT14" s="6" t="str">
        <f t="shared" si="19"/>
        <v/>
      </c>
      <c r="CU14" s="6" t="str">
        <f t="shared" si="19"/>
        <v/>
      </c>
      <c r="CV14" s="6" t="str">
        <f t="shared" si="19"/>
        <v/>
      </c>
      <c r="CW14" s="6" t="str">
        <f t="shared" si="19"/>
        <v/>
      </c>
      <c r="CX14" s="6" t="str">
        <f t="shared" si="19"/>
        <v/>
      </c>
      <c r="CY14" s="6" t="str">
        <f t="shared" si="19"/>
        <v/>
      </c>
      <c r="CZ14" s="6" t="str">
        <f t="shared" si="19"/>
        <v/>
      </c>
      <c r="DA14" s="6" t="str">
        <f t="shared" si="19"/>
        <v/>
      </c>
      <c r="DB14" s="6" t="str">
        <f t="shared" si="19"/>
        <v/>
      </c>
      <c r="DC14" s="6" t="str">
        <f t="shared" si="19"/>
        <v/>
      </c>
      <c r="DD14" s="6" t="str">
        <f t="shared" si="19"/>
        <v/>
      </c>
    </row>
    <row r="15" spans="1:109" ht="28" customHeight="1" x14ac:dyDescent="0.35">
      <c r="A15" s="24" t="str">
        <f>Schedule!B15</f>
        <v>Metrics thresholds and experimental reasoning bridge</v>
      </c>
      <c r="B15" s="4" t="str">
        <f>Schedule!C15</f>
        <v>Core</v>
      </c>
      <c r="C15" s="3">
        <f>IF(Schedule!P15="","",Schedule!P15)</f>
        <v>46584</v>
      </c>
      <c r="D15" s="3">
        <f>IF(Schedule!Q15="","",Schedule!Q15)</f>
        <v>46603</v>
      </c>
      <c r="E15" s="6" t="str">
        <f t="shared" si="10"/>
        <v/>
      </c>
      <c r="F15" s="6" t="str">
        <f t="shared" si="10"/>
        <v/>
      </c>
      <c r="G15" s="6" t="str">
        <f t="shared" si="10"/>
        <v/>
      </c>
      <c r="H15" s="6" t="str">
        <f t="shared" si="10"/>
        <v/>
      </c>
      <c r="I15" s="6" t="str">
        <f t="shared" si="10"/>
        <v/>
      </c>
      <c r="J15" s="6" t="str">
        <f t="shared" si="10"/>
        <v/>
      </c>
      <c r="K15" s="6" t="str">
        <f t="shared" si="10"/>
        <v/>
      </c>
      <c r="L15" s="6" t="str">
        <f t="shared" si="10"/>
        <v/>
      </c>
      <c r="M15" s="6" t="str">
        <f t="shared" si="10"/>
        <v/>
      </c>
      <c r="N15" s="6" t="str">
        <f t="shared" si="10"/>
        <v/>
      </c>
      <c r="O15" s="6" t="str">
        <f t="shared" si="11"/>
        <v/>
      </c>
      <c r="P15" s="6" t="str">
        <f t="shared" si="11"/>
        <v/>
      </c>
      <c r="Q15" s="6" t="str">
        <f t="shared" si="11"/>
        <v/>
      </c>
      <c r="R15" s="6" t="str">
        <f t="shared" si="11"/>
        <v/>
      </c>
      <c r="S15" s="6" t="str">
        <f t="shared" si="11"/>
        <v/>
      </c>
      <c r="T15" s="6" t="str">
        <f t="shared" si="11"/>
        <v/>
      </c>
      <c r="U15" s="6" t="str">
        <f t="shared" si="11"/>
        <v/>
      </c>
      <c r="V15" s="6" t="str">
        <f t="shared" si="11"/>
        <v/>
      </c>
      <c r="W15" s="6" t="str">
        <f t="shared" si="11"/>
        <v/>
      </c>
      <c r="X15" s="6" t="str">
        <f t="shared" si="11"/>
        <v/>
      </c>
      <c r="Y15" s="6" t="str">
        <f t="shared" si="12"/>
        <v/>
      </c>
      <c r="Z15" s="6" t="str">
        <f t="shared" si="12"/>
        <v/>
      </c>
      <c r="AA15" s="6" t="str">
        <f t="shared" si="12"/>
        <v/>
      </c>
      <c r="AB15" s="6" t="str">
        <f t="shared" si="12"/>
        <v/>
      </c>
      <c r="AC15" s="6" t="str">
        <f t="shared" si="12"/>
        <v/>
      </c>
      <c r="AD15" s="6" t="str">
        <f t="shared" si="12"/>
        <v/>
      </c>
      <c r="AE15" s="6" t="str">
        <f t="shared" si="12"/>
        <v/>
      </c>
      <c r="AF15" s="6" t="str">
        <f t="shared" si="12"/>
        <v/>
      </c>
      <c r="AG15" s="6" t="str">
        <f t="shared" si="12"/>
        <v/>
      </c>
      <c r="AH15" s="6" t="str">
        <f t="shared" si="12"/>
        <v/>
      </c>
      <c r="AI15" s="6" t="str">
        <f t="shared" si="13"/>
        <v/>
      </c>
      <c r="AJ15" s="6" t="str">
        <f t="shared" si="13"/>
        <v/>
      </c>
      <c r="AK15" s="6" t="str">
        <f t="shared" si="13"/>
        <v/>
      </c>
      <c r="AL15" s="6" t="str">
        <f t="shared" si="13"/>
        <v/>
      </c>
      <c r="AM15" s="6" t="str">
        <f t="shared" si="13"/>
        <v/>
      </c>
      <c r="AN15" s="6" t="str">
        <f t="shared" si="13"/>
        <v/>
      </c>
      <c r="AO15" s="6" t="str">
        <f t="shared" si="13"/>
        <v/>
      </c>
      <c r="AP15" s="6">
        <f t="shared" si="13"/>
        <v>1</v>
      </c>
      <c r="AQ15" s="6">
        <f t="shared" si="13"/>
        <v>1</v>
      </c>
      <c r="AR15" s="6">
        <f t="shared" si="13"/>
        <v>1</v>
      </c>
      <c r="AS15" s="6">
        <f t="shared" si="14"/>
        <v>1</v>
      </c>
      <c r="AT15" s="6" t="str">
        <f t="shared" si="14"/>
        <v/>
      </c>
      <c r="AU15" s="6" t="str">
        <f t="shared" si="14"/>
        <v/>
      </c>
      <c r="AV15" s="6" t="str">
        <f t="shared" si="14"/>
        <v/>
      </c>
      <c r="AW15" s="6" t="str">
        <f t="shared" si="14"/>
        <v/>
      </c>
      <c r="AX15" s="6" t="str">
        <f t="shared" si="14"/>
        <v/>
      </c>
      <c r="AY15" s="6" t="str">
        <f t="shared" si="14"/>
        <v/>
      </c>
      <c r="AZ15" s="6" t="str">
        <f t="shared" si="14"/>
        <v/>
      </c>
      <c r="BA15" s="6" t="str">
        <f t="shared" si="14"/>
        <v/>
      </c>
      <c r="BB15" s="6" t="str">
        <f t="shared" si="14"/>
        <v/>
      </c>
      <c r="BC15" s="6" t="str">
        <f t="shared" si="15"/>
        <v/>
      </c>
      <c r="BD15" s="6" t="str">
        <f t="shared" si="15"/>
        <v/>
      </c>
      <c r="BE15" s="6" t="str">
        <f t="shared" si="15"/>
        <v/>
      </c>
      <c r="BF15" s="6" t="str">
        <f t="shared" si="15"/>
        <v/>
      </c>
      <c r="BG15" s="6" t="str">
        <f t="shared" si="15"/>
        <v/>
      </c>
      <c r="BH15" s="6" t="str">
        <f t="shared" si="15"/>
        <v/>
      </c>
      <c r="BI15" s="6" t="str">
        <f t="shared" si="15"/>
        <v/>
      </c>
      <c r="BJ15" s="6" t="str">
        <f t="shared" si="15"/>
        <v/>
      </c>
      <c r="BK15" s="6" t="str">
        <f t="shared" si="15"/>
        <v/>
      </c>
      <c r="BL15" s="6" t="str">
        <f t="shared" si="15"/>
        <v/>
      </c>
      <c r="BM15" s="6" t="str">
        <f t="shared" si="16"/>
        <v/>
      </c>
      <c r="BN15" s="6" t="str">
        <f t="shared" si="16"/>
        <v/>
      </c>
      <c r="BO15" s="6" t="str">
        <f t="shared" si="16"/>
        <v/>
      </c>
      <c r="BP15" s="6" t="str">
        <f t="shared" si="16"/>
        <v/>
      </c>
      <c r="BQ15" s="6" t="str">
        <f t="shared" si="16"/>
        <v/>
      </c>
      <c r="BR15" s="6" t="str">
        <f t="shared" si="16"/>
        <v/>
      </c>
      <c r="BS15" s="6" t="str">
        <f t="shared" si="16"/>
        <v/>
      </c>
      <c r="BT15" s="6" t="str">
        <f t="shared" si="16"/>
        <v/>
      </c>
      <c r="BU15" s="6" t="str">
        <f t="shared" si="16"/>
        <v/>
      </c>
      <c r="BV15" s="6" t="str">
        <f t="shared" si="16"/>
        <v/>
      </c>
      <c r="BW15" s="6" t="str">
        <f t="shared" si="17"/>
        <v/>
      </c>
      <c r="BX15" s="6" t="str">
        <f t="shared" si="17"/>
        <v/>
      </c>
      <c r="BY15" s="6" t="str">
        <f t="shared" si="17"/>
        <v/>
      </c>
      <c r="BZ15" s="6" t="str">
        <f t="shared" si="17"/>
        <v/>
      </c>
      <c r="CA15" s="6" t="str">
        <f t="shared" si="17"/>
        <v/>
      </c>
      <c r="CB15" s="6" t="str">
        <f t="shared" si="17"/>
        <v/>
      </c>
      <c r="CC15" s="6" t="str">
        <f t="shared" si="17"/>
        <v/>
      </c>
      <c r="CD15" s="6" t="str">
        <f t="shared" si="17"/>
        <v/>
      </c>
      <c r="CE15" s="6" t="str">
        <f t="shared" si="17"/>
        <v/>
      </c>
      <c r="CF15" s="6" t="str">
        <f t="shared" si="17"/>
        <v/>
      </c>
      <c r="CG15" s="6" t="str">
        <f t="shared" si="18"/>
        <v/>
      </c>
      <c r="CH15" s="6" t="str">
        <f t="shared" si="18"/>
        <v/>
      </c>
      <c r="CI15" s="6" t="str">
        <f t="shared" si="18"/>
        <v/>
      </c>
      <c r="CJ15" s="6" t="str">
        <f t="shared" si="18"/>
        <v/>
      </c>
      <c r="CK15" s="6" t="str">
        <f t="shared" si="18"/>
        <v/>
      </c>
      <c r="CL15" s="6" t="str">
        <f t="shared" si="18"/>
        <v/>
      </c>
      <c r="CM15" s="6" t="str">
        <f t="shared" si="18"/>
        <v/>
      </c>
      <c r="CN15" s="6" t="str">
        <f t="shared" si="18"/>
        <v/>
      </c>
      <c r="CO15" s="6" t="str">
        <f t="shared" si="18"/>
        <v/>
      </c>
      <c r="CP15" s="6" t="str">
        <f t="shared" si="18"/>
        <v/>
      </c>
      <c r="CQ15" s="6" t="str">
        <f t="shared" si="19"/>
        <v/>
      </c>
      <c r="CR15" s="6" t="str">
        <f t="shared" si="19"/>
        <v/>
      </c>
      <c r="CS15" s="6" t="str">
        <f t="shared" si="19"/>
        <v/>
      </c>
      <c r="CT15" s="6" t="str">
        <f t="shared" si="19"/>
        <v/>
      </c>
      <c r="CU15" s="6" t="str">
        <f t="shared" si="19"/>
        <v/>
      </c>
      <c r="CV15" s="6" t="str">
        <f t="shared" si="19"/>
        <v/>
      </c>
      <c r="CW15" s="6" t="str">
        <f t="shared" si="19"/>
        <v/>
      </c>
      <c r="CX15" s="6" t="str">
        <f t="shared" si="19"/>
        <v/>
      </c>
      <c r="CY15" s="6" t="str">
        <f t="shared" si="19"/>
        <v/>
      </c>
      <c r="CZ15" s="6" t="str">
        <f t="shared" si="19"/>
        <v/>
      </c>
      <c r="DA15" s="6" t="str">
        <f t="shared" si="19"/>
        <v/>
      </c>
      <c r="DB15" s="6" t="str">
        <f t="shared" si="19"/>
        <v/>
      </c>
      <c r="DC15" s="6" t="str">
        <f t="shared" si="19"/>
        <v/>
      </c>
      <c r="DD15" s="6" t="str">
        <f t="shared" si="19"/>
        <v/>
      </c>
    </row>
    <row r="16" spans="1:109" ht="28" customHeight="1" x14ac:dyDescent="0.35">
      <c r="A16" s="24" t="str">
        <f>Schedule!B16</f>
        <v>LLM behavior and model selection</v>
      </c>
      <c r="B16" s="4" t="str">
        <f>Schedule!C16</f>
        <v>Core</v>
      </c>
      <c r="C16" s="3">
        <f>IF(Schedule!P16="","",Schedule!P16)</f>
        <v>46603</v>
      </c>
      <c r="D16" s="3">
        <f>IF(Schedule!Q16="","",Schedule!Q16)</f>
        <v>46620</v>
      </c>
      <c r="E16" s="6" t="str">
        <f t="shared" si="10"/>
        <v/>
      </c>
      <c r="F16" s="6" t="str">
        <f t="shared" si="10"/>
        <v/>
      </c>
      <c r="G16" s="6" t="str">
        <f t="shared" si="10"/>
        <v/>
      </c>
      <c r="H16" s="6" t="str">
        <f t="shared" si="10"/>
        <v/>
      </c>
      <c r="I16" s="6" t="str">
        <f t="shared" si="10"/>
        <v/>
      </c>
      <c r="J16" s="6" t="str">
        <f t="shared" si="10"/>
        <v/>
      </c>
      <c r="K16" s="6" t="str">
        <f t="shared" si="10"/>
        <v/>
      </c>
      <c r="L16" s="6" t="str">
        <f t="shared" si="10"/>
        <v/>
      </c>
      <c r="M16" s="6" t="str">
        <f t="shared" si="10"/>
        <v/>
      </c>
      <c r="N16" s="6" t="str">
        <f t="shared" si="10"/>
        <v/>
      </c>
      <c r="O16" s="6" t="str">
        <f t="shared" si="11"/>
        <v/>
      </c>
      <c r="P16" s="6" t="str">
        <f t="shared" si="11"/>
        <v/>
      </c>
      <c r="Q16" s="6" t="str">
        <f t="shared" si="11"/>
        <v/>
      </c>
      <c r="R16" s="6" t="str">
        <f t="shared" si="11"/>
        <v/>
      </c>
      <c r="S16" s="6" t="str">
        <f t="shared" si="11"/>
        <v/>
      </c>
      <c r="T16" s="6" t="str">
        <f t="shared" si="11"/>
        <v/>
      </c>
      <c r="U16" s="6" t="str">
        <f t="shared" si="11"/>
        <v/>
      </c>
      <c r="V16" s="6" t="str">
        <f t="shared" si="11"/>
        <v/>
      </c>
      <c r="W16" s="6" t="str">
        <f t="shared" si="11"/>
        <v/>
      </c>
      <c r="X16" s="6" t="str">
        <f t="shared" si="11"/>
        <v/>
      </c>
      <c r="Y16" s="6" t="str">
        <f t="shared" si="12"/>
        <v/>
      </c>
      <c r="Z16" s="6" t="str">
        <f t="shared" si="12"/>
        <v/>
      </c>
      <c r="AA16" s="6" t="str">
        <f t="shared" si="12"/>
        <v/>
      </c>
      <c r="AB16" s="6" t="str">
        <f t="shared" si="12"/>
        <v/>
      </c>
      <c r="AC16" s="6" t="str">
        <f t="shared" si="12"/>
        <v/>
      </c>
      <c r="AD16" s="6" t="str">
        <f t="shared" si="12"/>
        <v/>
      </c>
      <c r="AE16" s="6" t="str">
        <f t="shared" si="12"/>
        <v/>
      </c>
      <c r="AF16" s="6" t="str">
        <f t="shared" si="12"/>
        <v/>
      </c>
      <c r="AG16" s="6" t="str">
        <f t="shared" si="12"/>
        <v/>
      </c>
      <c r="AH16" s="6" t="str">
        <f t="shared" si="12"/>
        <v/>
      </c>
      <c r="AI16" s="6" t="str">
        <f t="shared" si="13"/>
        <v/>
      </c>
      <c r="AJ16" s="6" t="str">
        <f t="shared" si="13"/>
        <v/>
      </c>
      <c r="AK16" s="6" t="str">
        <f t="shared" si="13"/>
        <v/>
      </c>
      <c r="AL16" s="6" t="str">
        <f t="shared" si="13"/>
        <v/>
      </c>
      <c r="AM16" s="6" t="str">
        <f t="shared" si="13"/>
        <v/>
      </c>
      <c r="AN16" s="6" t="str">
        <f t="shared" si="13"/>
        <v/>
      </c>
      <c r="AO16" s="6" t="str">
        <f t="shared" si="13"/>
        <v/>
      </c>
      <c r="AP16" s="6" t="str">
        <f t="shared" si="13"/>
        <v/>
      </c>
      <c r="AQ16" s="6" t="str">
        <f t="shared" si="13"/>
        <v/>
      </c>
      <c r="AR16" s="6" t="str">
        <f t="shared" si="13"/>
        <v/>
      </c>
      <c r="AS16" s="6">
        <f t="shared" si="14"/>
        <v>1</v>
      </c>
      <c r="AT16" s="6">
        <f t="shared" si="14"/>
        <v>1</v>
      </c>
      <c r="AU16" s="6">
        <f t="shared" si="14"/>
        <v>1</v>
      </c>
      <c r="AV16" s="6">
        <f t="shared" si="14"/>
        <v>1</v>
      </c>
      <c r="AW16" s="6" t="str">
        <f t="shared" si="14"/>
        <v/>
      </c>
      <c r="AX16" s="6" t="str">
        <f t="shared" si="14"/>
        <v/>
      </c>
      <c r="AY16" s="6" t="str">
        <f t="shared" si="14"/>
        <v/>
      </c>
      <c r="AZ16" s="6" t="str">
        <f t="shared" si="14"/>
        <v/>
      </c>
      <c r="BA16" s="6" t="str">
        <f t="shared" si="14"/>
        <v/>
      </c>
      <c r="BB16" s="6" t="str">
        <f t="shared" si="14"/>
        <v/>
      </c>
      <c r="BC16" s="6" t="str">
        <f t="shared" si="15"/>
        <v/>
      </c>
      <c r="BD16" s="6" t="str">
        <f t="shared" si="15"/>
        <v/>
      </c>
      <c r="BE16" s="6" t="str">
        <f t="shared" si="15"/>
        <v/>
      </c>
      <c r="BF16" s="6" t="str">
        <f t="shared" si="15"/>
        <v/>
      </c>
      <c r="BG16" s="6" t="str">
        <f t="shared" si="15"/>
        <v/>
      </c>
      <c r="BH16" s="6" t="str">
        <f t="shared" si="15"/>
        <v/>
      </c>
      <c r="BI16" s="6" t="str">
        <f t="shared" si="15"/>
        <v/>
      </c>
      <c r="BJ16" s="6" t="str">
        <f t="shared" si="15"/>
        <v/>
      </c>
      <c r="BK16" s="6" t="str">
        <f t="shared" si="15"/>
        <v/>
      </c>
      <c r="BL16" s="6" t="str">
        <f t="shared" si="15"/>
        <v/>
      </c>
      <c r="BM16" s="6" t="str">
        <f t="shared" si="16"/>
        <v/>
      </c>
      <c r="BN16" s="6" t="str">
        <f t="shared" si="16"/>
        <v/>
      </c>
      <c r="BO16" s="6" t="str">
        <f t="shared" si="16"/>
        <v/>
      </c>
      <c r="BP16" s="6" t="str">
        <f t="shared" si="16"/>
        <v/>
      </c>
      <c r="BQ16" s="6" t="str">
        <f t="shared" si="16"/>
        <v/>
      </c>
      <c r="BR16" s="6" t="str">
        <f t="shared" si="16"/>
        <v/>
      </c>
      <c r="BS16" s="6" t="str">
        <f t="shared" si="16"/>
        <v/>
      </c>
      <c r="BT16" s="6" t="str">
        <f t="shared" si="16"/>
        <v/>
      </c>
      <c r="BU16" s="6" t="str">
        <f t="shared" si="16"/>
        <v/>
      </c>
      <c r="BV16" s="6" t="str">
        <f t="shared" si="16"/>
        <v/>
      </c>
      <c r="BW16" s="6" t="str">
        <f t="shared" si="17"/>
        <v/>
      </c>
      <c r="BX16" s="6" t="str">
        <f t="shared" si="17"/>
        <v/>
      </c>
      <c r="BY16" s="6" t="str">
        <f t="shared" si="17"/>
        <v/>
      </c>
      <c r="BZ16" s="6" t="str">
        <f t="shared" si="17"/>
        <v/>
      </c>
      <c r="CA16" s="6" t="str">
        <f t="shared" si="17"/>
        <v/>
      </c>
      <c r="CB16" s="6" t="str">
        <f t="shared" si="17"/>
        <v/>
      </c>
      <c r="CC16" s="6" t="str">
        <f t="shared" si="17"/>
        <v/>
      </c>
      <c r="CD16" s="6" t="str">
        <f t="shared" si="17"/>
        <v/>
      </c>
      <c r="CE16" s="6" t="str">
        <f t="shared" si="17"/>
        <v/>
      </c>
      <c r="CF16" s="6" t="str">
        <f t="shared" si="17"/>
        <v/>
      </c>
      <c r="CG16" s="6" t="str">
        <f t="shared" si="18"/>
        <v/>
      </c>
      <c r="CH16" s="6" t="str">
        <f t="shared" si="18"/>
        <v/>
      </c>
      <c r="CI16" s="6" t="str">
        <f t="shared" si="18"/>
        <v/>
      </c>
      <c r="CJ16" s="6" t="str">
        <f t="shared" si="18"/>
        <v/>
      </c>
      <c r="CK16" s="6" t="str">
        <f t="shared" si="18"/>
        <v/>
      </c>
      <c r="CL16" s="6" t="str">
        <f t="shared" si="18"/>
        <v/>
      </c>
      <c r="CM16" s="6" t="str">
        <f t="shared" si="18"/>
        <v/>
      </c>
      <c r="CN16" s="6" t="str">
        <f t="shared" si="18"/>
        <v/>
      </c>
      <c r="CO16" s="6" t="str">
        <f t="shared" si="18"/>
        <v/>
      </c>
      <c r="CP16" s="6" t="str">
        <f t="shared" si="18"/>
        <v/>
      </c>
      <c r="CQ16" s="6" t="str">
        <f t="shared" si="19"/>
        <v/>
      </c>
      <c r="CR16" s="6" t="str">
        <f t="shared" si="19"/>
        <v/>
      </c>
      <c r="CS16" s="6" t="str">
        <f t="shared" si="19"/>
        <v/>
      </c>
      <c r="CT16" s="6" t="str">
        <f t="shared" si="19"/>
        <v/>
      </c>
      <c r="CU16" s="6" t="str">
        <f t="shared" si="19"/>
        <v/>
      </c>
      <c r="CV16" s="6" t="str">
        <f t="shared" si="19"/>
        <v/>
      </c>
      <c r="CW16" s="6" t="str">
        <f t="shared" si="19"/>
        <v/>
      </c>
      <c r="CX16" s="6" t="str">
        <f t="shared" si="19"/>
        <v/>
      </c>
      <c r="CY16" s="6" t="str">
        <f t="shared" si="19"/>
        <v/>
      </c>
      <c r="CZ16" s="6" t="str">
        <f t="shared" si="19"/>
        <v/>
      </c>
      <c r="DA16" s="6" t="str">
        <f t="shared" si="19"/>
        <v/>
      </c>
      <c r="DB16" s="6" t="str">
        <f t="shared" si="19"/>
        <v/>
      </c>
      <c r="DC16" s="6" t="str">
        <f t="shared" si="19"/>
        <v/>
      </c>
      <c r="DD16" s="6" t="str">
        <f t="shared" si="19"/>
        <v/>
      </c>
    </row>
    <row r="17" spans="1:108" ht="28" customHeight="1" x14ac:dyDescent="0.35">
      <c r="A17" s="24" t="str">
        <f>Schedule!B17</f>
        <v>Prompt context and prompt lifecycle</v>
      </c>
      <c r="B17" s="4" t="str">
        <f>Schedule!C17</f>
        <v>Core</v>
      </c>
      <c r="C17" s="3">
        <f>IF(Schedule!P17="","",Schedule!P17)</f>
        <v>46620</v>
      </c>
      <c r="D17" s="3">
        <f>IF(Schedule!Q17="","",Schedule!Q17)</f>
        <v>46641</v>
      </c>
      <c r="E17" s="6" t="str">
        <f t="shared" si="10"/>
        <v/>
      </c>
      <c r="F17" s="6" t="str">
        <f t="shared" si="10"/>
        <v/>
      </c>
      <c r="G17" s="6" t="str">
        <f t="shared" si="10"/>
        <v/>
      </c>
      <c r="H17" s="6" t="str">
        <f t="shared" si="10"/>
        <v/>
      </c>
      <c r="I17" s="6" t="str">
        <f t="shared" si="10"/>
        <v/>
      </c>
      <c r="J17" s="6" t="str">
        <f t="shared" si="10"/>
        <v/>
      </c>
      <c r="K17" s="6" t="str">
        <f t="shared" si="10"/>
        <v/>
      </c>
      <c r="L17" s="6" t="str">
        <f t="shared" si="10"/>
        <v/>
      </c>
      <c r="M17" s="6" t="str">
        <f t="shared" si="10"/>
        <v/>
      </c>
      <c r="N17" s="6" t="str">
        <f t="shared" si="10"/>
        <v/>
      </c>
      <c r="O17" s="6" t="str">
        <f t="shared" si="11"/>
        <v/>
      </c>
      <c r="P17" s="6" t="str">
        <f t="shared" si="11"/>
        <v/>
      </c>
      <c r="Q17" s="6" t="str">
        <f t="shared" si="11"/>
        <v/>
      </c>
      <c r="R17" s="6" t="str">
        <f t="shared" si="11"/>
        <v/>
      </c>
      <c r="S17" s="6" t="str">
        <f t="shared" si="11"/>
        <v/>
      </c>
      <c r="T17" s="6" t="str">
        <f t="shared" si="11"/>
        <v/>
      </c>
      <c r="U17" s="6" t="str">
        <f t="shared" si="11"/>
        <v/>
      </c>
      <c r="V17" s="6" t="str">
        <f t="shared" si="11"/>
        <v/>
      </c>
      <c r="W17" s="6" t="str">
        <f t="shared" si="11"/>
        <v/>
      </c>
      <c r="X17" s="6" t="str">
        <f t="shared" si="11"/>
        <v/>
      </c>
      <c r="Y17" s="6" t="str">
        <f t="shared" si="12"/>
        <v/>
      </c>
      <c r="Z17" s="6" t="str">
        <f t="shared" si="12"/>
        <v/>
      </c>
      <c r="AA17" s="6" t="str">
        <f t="shared" si="12"/>
        <v/>
      </c>
      <c r="AB17" s="6" t="str">
        <f t="shared" si="12"/>
        <v/>
      </c>
      <c r="AC17" s="6" t="str">
        <f t="shared" si="12"/>
        <v/>
      </c>
      <c r="AD17" s="6" t="str">
        <f t="shared" si="12"/>
        <v/>
      </c>
      <c r="AE17" s="6" t="str">
        <f t="shared" si="12"/>
        <v/>
      </c>
      <c r="AF17" s="6" t="str">
        <f t="shared" si="12"/>
        <v/>
      </c>
      <c r="AG17" s="6" t="str">
        <f t="shared" si="12"/>
        <v/>
      </c>
      <c r="AH17" s="6" t="str">
        <f t="shared" si="12"/>
        <v/>
      </c>
      <c r="AI17" s="6" t="str">
        <f t="shared" si="13"/>
        <v/>
      </c>
      <c r="AJ17" s="6" t="str">
        <f t="shared" si="13"/>
        <v/>
      </c>
      <c r="AK17" s="6" t="str">
        <f t="shared" si="13"/>
        <v/>
      </c>
      <c r="AL17" s="6" t="str">
        <f t="shared" si="13"/>
        <v/>
      </c>
      <c r="AM17" s="6" t="str">
        <f t="shared" si="13"/>
        <v/>
      </c>
      <c r="AN17" s="6" t="str">
        <f t="shared" si="13"/>
        <v/>
      </c>
      <c r="AO17" s="6" t="str">
        <f t="shared" si="13"/>
        <v/>
      </c>
      <c r="AP17" s="6" t="str">
        <f t="shared" si="13"/>
        <v/>
      </c>
      <c r="AQ17" s="6" t="str">
        <f t="shared" si="13"/>
        <v/>
      </c>
      <c r="AR17" s="6" t="str">
        <f t="shared" si="13"/>
        <v/>
      </c>
      <c r="AS17" s="6" t="str">
        <f t="shared" si="14"/>
        <v/>
      </c>
      <c r="AT17" s="6" t="str">
        <f t="shared" si="14"/>
        <v/>
      </c>
      <c r="AU17" s="6" t="str">
        <f t="shared" si="14"/>
        <v/>
      </c>
      <c r="AV17" s="6">
        <f t="shared" si="14"/>
        <v>1</v>
      </c>
      <c r="AW17" s="6">
        <f t="shared" si="14"/>
        <v>1</v>
      </c>
      <c r="AX17" s="6">
        <f t="shared" si="14"/>
        <v>1</v>
      </c>
      <c r="AY17" s="6">
        <f t="shared" si="14"/>
        <v>1</v>
      </c>
      <c r="AZ17" s="6" t="str">
        <f t="shared" si="14"/>
        <v/>
      </c>
      <c r="BA17" s="6" t="str">
        <f t="shared" si="14"/>
        <v/>
      </c>
      <c r="BB17" s="6" t="str">
        <f t="shared" si="14"/>
        <v/>
      </c>
      <c r="BC17" s="6" t="str">
        <f t="shared" si="15"/>
        <v/>
      </c>
      <c r="BD17" s="6" t="str">
        <f t="shared" si="15"/>
        <v/>
      </c>
      <c r="BE17" s="6" t="str">
        <f t="shared" si="15"/>
        <v/>
      </c>
      <c r="BF17" s="6" t="str">
        <f t="shared" si="15"/>
        <v/>
      </c>
      <c r="BG17" s="6" t="str">
        <f t="shared" si="15"/>
        <v/>
      </c>
      <c r="BH17" s="6" t="str">
        <f t="shared" si="15"/>
        <v/>
      </c>
      <c r="BI17" s="6" t="str">
        <f t="shared" si="15"/>
        <v/>
      </c>
      <c r="BJ17" s="6" t="str">
        <f t="shared" si="15"/>
        <v/>
      </c>
      <c r="BK17" s="6" t="str">
        <f t="shared" si="15"/>
        <v/>
      </c>
      <c r="BL17" s="6" t="str">
        <f t="shared" si="15"/>
        <v/>
      </c>
      <c r="BM17" s="6" t="str">
        <f t="shared" si="16"/>
        <v/>
      </c>
      <c r="BN17" s="6" t="str">
        <f t="shared" si="16"/>
        <v/>
      </c>
      <c r="BO17" s="6" t="str">
        <f t="shared" si="16"/>
        <v/>
      </c>
      <c r="BP17" s="6" t="str">
        <f t="shared" si="16"/>
        <v/>
      </c>
      <c r="BQ17" s="6" t="str">
        <f t="shared" si="16"/>
        <v/>
      </c>
      <c r="BR17" s="6" t="str">
        <f t="shared" si="16"/>
        <v/>
      </c>
      <c r="BS17" s="6" t="str">
        <f t="shared" si="16"/>
        <v/>
      </c>
      <c r="BT17" s="6" t="str">
        <f t="shared" si="16"/>
        <v/>
      </c>
      <c r="BU17" s="6" t="str">
        <f t="shared" si="16"/>
        <v/>
      </c>
      <c r="BV17" s="6" t="str">
        <f t="shared" si="16"/>
        <v/>
      </c>
      <c r="BW17" s="6" t="str">
        <f t="shared" si="17"/>
        <v/>
      </c>
      <c r="BX17" s="6" t="str">
        <f t="shared" si="17"/>
        <v/>
      </c>
      <c r="BY17" s="6" t="str">
        <f t="shared" si="17"/>
        <v/>
      </c>
      <c r="BZ17" s="6" t="str">
        <f t="shared" si="17"/>
        <v/>
      </c>
      <c r="CA17" s="6" t="str">
        <f t="shared" si="17"/>
        <v/>
      </c>
      <c r="CB17" s="6" t="str">
        <f t="shared" si="17"/>
        <v/>
      </c>
      <c r="CC17" s="6" t="str">
        <f t="shared" si="17"/>
        <v/>
      </c>
      <c r="CD17" s="6" t="str">
        <f t="shared" si="17"/>
        <v/>
      </c>
      <c r="CE17" s="6" t="str">
        <f t="shared" si="17"/>
        <v/>
      </c>
      <c r="CF17" s="6" t="str">
        <f t="shared" si="17"/>
        <v/>
      </c>
      <c r="CG17" s="6" t="str">
        <f t="shared" si="18"/>
        <v/>
      </c>
      <c r="CH17" s="6" t="str">
        <f t="shared" si="18"/>
        <v/>
      </c>
      <c r="CI17" s="6" t="str">
        <f t="shared" si="18"/>
        <v/>
      </c>
      <c r="CJ17" s="6" t="str">
        <f t="shared" si="18"/>
        <v/>
      </c>
      <c r="CK17" s="6" t="str">
        <f t="shared" si="18"/>
        <v/>
      </c>
      <c r="CL17" s="6" t="str">
        <f t="shared" si="18"/>
        <v/>
      </c>
      <c r="CM17" s="6" t="str">
        <f t="shared" si="18"/>
        <v/>
      </c>
      <c r="CN17" s="6" t="str">
        <f t="shared" si="18"/>
        <v/>
      </c>
      <c r="CO17" s="6" t="str">
        <f t="shared" si="18"/>
        <v/>
      </c>
      <c r="CP17" s="6" t="str">
        <f t="shared" si="18"/>
        <v/>
      </c>
      <c r="CQ17" s="6" t="str">
        <f t="shared" si="19"/>
        <v/>
      </c>
      <c r="CR17" s="6" t="str">
        <f t="shared" si="19"/>
        <v/>
      </c>
      <c r="CS17" s="6" t="str">
        <f t="shared" si="19"/>
        <v/>
      </c>
      <c r="CT17" s="6" t="str">
        <f t="shared" si="19"/>
        <v/>
      </c>
      <c r="CU17" s="6" t="str">
        <f t="shared" si="19"/>
        <v/>
      </c>
      <c r="CV17" s="6" t="str">
        <f t="shared" si="19"/>
        <v/>
      </c>
      <c r="CW17" s="6" t="str">
        <f t="shared" si="19"/>
        <v/>
      </c>
      <c r="CX17" s="6" t="str">
        <f t="shared" si="19"/>
        <v/>
      </c>
      <c r="CY17" s="6" t="str">
        <f t="shared" si="19"/>
        <v/>
      </c>
      <c r="CZ17" s="6" t="str">
        <f t="shared" si="19"/>
        <v/>
      </c>
      <c r="DA17" s="6" t="str">
        <f t="shared" si="19"/>
        <v/>
      </c>
      <c r="DB17" s="6" t="str">
        <f t="shared" si="19"/>
        <v/>
      </c>
      <c r="DC17" s="6" t="str">
        <f t="shared" si="19"/>
        <v/>
      </c>
      <c r="DD17" s="6" t="str">
        <f t="shared" si="19"/>
        <v/>
      </c>
    </row>
    <row r="18" spans="1:108" ht="28" customHeight="1" x14ac:dyDescent="0.35">
      <c r="A18" s="24" t="str">
        <f>Schedule!B18</f>
        <v>Retrieval embeddings and vector stores</v>
      </c>
      <c r="B18" s="4" t="str">
        <f>Schedule!C18</f>
        <v>Core</v>
      </c>
      <c r="C18" s="3">
        <f>IF(Schedule!P18="","",Schedule!P18)</f>
        <v>46641</v>
      </c>
      <c r="D18" s="3">
        <f>IF(Schedule!Q18="","",Schedule!Q18)</f>
        <v>46668</v>
      </c>
      <c r="E18" s="6" t="str">
        <f t="shared" si="10"/>
        <v/>
      </c>
      <c r="F18" s="6" t="str">
        <f t="shared" si="10"/>
        <v/>
      </c>
      <c r="G18" s="6" t="str">
        <f t="shared" si="10"/>
        <v/>
      </c>
      <c r="H18" s="6" t="str">
        <f t="shared" si="10"/>
        <v/>
      </c>
      <c r="I18" s="6" t="str">
        <f t="shared" si="10"/>
        <v/>
      </c>
      <c r="J18" s="6" t="str">
        <f t="shared" si="10"/>
        <v/>
      </c>
      <c r="K18" s="6" t="str">
        <f t="shared" si="10"/>
        <v/>
      </c>
      <c r="L18" s="6" t="str">
        <f t="shared" si="10"/>
        <v/>
      </c>
      <c r="M18" s="6" t="str">
        <f t="shared" si="10"/>
        <v/>
      </c>
      <c r="N18" s="6" t="str">
        <f t="shared" si="10"/>
        <v/>
      </c>
      <c r="O18" s="6" t="str">
        <f t="shared" si="11"/>
        <v/>
      </c>
      <c r="P18" s="6" t="str">
        <f t="shared" si="11"/>
        <v/>
      </c>
      <c r="Q18" s="6" t="str">
        <f t="shared" si="11"/>
        <v/>
      </c>
      <c r="R18" s="6" t="str">
        <f t="shared" si="11"/>
        <v/>
      </c>
      <c r="S18" s="6" t="str">
        <f t="shared" si="11"/>
        <v/>
      </c>
      <c r="T18" s="6" t="str">
        <f t="shared" si="11"/>
        <v/>
      </c>
      <c r="U18" s="6" t="str">
        <f t="shared" si="11"/>
        <v/>
      </c>
      <c r="V18" s="6" t="str">
        <f t="shared" si="11"/>
        <v/>
      </c>
      <c r="W18" s="6" t="str">
        <f t="shared" si="11"/>
        <v/>
      </c>
      <c r="X18" s="6" t="str">
        <f t="shared" si="11"/>
        <v/>
      </c>
      <c r="Y18" s="6" t="str">
        <f t="shared" si="12"/>
        <v/>
      </c>
      <c r="Z18" s="6" t="str">
        <f t="shared" si="12"/>
        <v/>
      </c>
      <c r="AA18" s="6" t="str">
        <f t="shared" si="12"/>
        <v/>
      </c>
      <c r="AB18" s="6" t="str">
        <f t="shared" si="12"/>
        <v/>
      </c>
      <c r="AC18" s="6" t="str">
        <f t="shared" si="12"/>
        <v/>
      </c>
      <c r="AD18" s="6" t="str">
        <f t="shared" si="12"/>
        <v/>
      </c>
      <c r="AE18" s="6" t="str">
        <f t="shared" si="12"/>
        <v/>
      </c>
      <c r="AF18" s="6" t="str">
        <f t="shared" si="12"/>
        <v/>
      </c>
      <c r="AG18" s="6" t="str">
        <f t="shared" si="12"/>
        <v/>
      </c>
      <c r="AH18" s="6" t="str">
        <f t="shared" si="12"/>
        <v/>
      </c>
      <c r="AI18" s="6" t="str">
        <f t="shared" si="13"/>
        <v/>
      </c>
      <c r="AJ18" s="6" t="str">
        <f t="shared" si="13"/>
        <v/>
      </c>
      <c r="AK18" s="6" t="str">
        <f t="shared" si="13"/>
        <v/>
      </c>
      <c r="AL18" s="6" t="str">
        <f t="shared" si="13"/>
        <v/>
      </c>
      <c r="AM18" s="6" t="str">
        <f t="shared" si="13"/>
        <v/>
      </c>
      <c r="AN18" s="6" t="str">
        <f t="shared" si="13"/>
        <v/>
      </c>
      <c r="AO18" s="6" t="str">
        <f t="shared" si="13"/>
        <v/>
      </c>
      <c r="AP18" s="6" t="str">
        <f t="shared" si="13"/>
        <v/>
      </c>
      <c r="AQ18" s="6" t="str">
        <f t="shared" si="13"/>
        <v/>
      </c>
      <c r="AR18" s="6" t="str">
        <f t="shared" si="13"/>
        <v/>
      </c>
      <c r="AS18" s="6" t="str">
        <f t="shared" si="14"/>
        <v/>
      </c>
      <c r="AT18" s="6" t="str">
        <f t="shared" si="14"/>
        <v/>
      </c>
      <c r="AU18" s="6" t="str">
        <f t="shared" si="14"/>
        <v/>
      </c>
      <c r="AV18" s="6" t="str">
        <f t="shared" si="14"/>
        <v/>
      </c>
      <c r="AW18" s="6" t="str">
        <f t="shared" si="14"/>
        <v/>
      </c>
      <c r="AX18" s="6" t="str">
        <f t="shared" si="14"/>
        <v/>
      </c>
      <c r="AY18" s="6">
        <f t="shared" si="14"/>
        <v>1</v>
      </c>
      <c r="AZ18" s="6">
        <f t="shared" si="14"/>
        <v>1</v>
      </c>
      <c r="BA18" s="6">
        <f t="shared" si="14"/>
        <v>1</v>
      </c>
      <c r="BB18" s="6">
        <f t="shared" si="14"/>
        <v>1</v>
      </c>
      <c r="BC18" s="6" t="str">
        <f t="shared" si="15"/>
        <v/>
      </c>
      <c r="BD18" s="6" t="str">
        <f t="shared" si="15"/>
        <v/>
      </c>
      <c r="BE18" s="6" t="str">
        <f t="shared" si="15"/>
        <v/>
      </c>
      <c r="BF18" s="6" t="str">
        <f t="shared" si="15"/>
        <v/>
      </c>
      <c r="BG18" s="6" t="str">
        <f t="shared" si="15"/>
        <v/>
      </c>
      <c r="BH18" s="6" t="str">
        <f t="shared" si="15"/>
        <v/>
      </c>
      <c r="BI18" s="6" t="str">
        <f t="shared" si="15"/>
        <v/>
      </c>
      <c r="BJ18" s="6" t="str">
        <f t="shared" si="15"/>
        <v/>
      </c>
      <c r="BK18" s="6" t="str">
        <f t="shared" si="15"/>
        <v/>
      </c>
      <c r="BL18" s="6" t="str">
        <f t="shared" si="15"/>
        <v/>
      </c>
      <c r="BM18" s="6" t="str">
        <f t="shared" si="16"/>
        <v/>
      </c>
      <c r="BN18" s="6" t="str">
        <f t="shared" si="16"/>
        <v/>
      </c>
      <c r="BO18" s="6" t="str">
        <f t="shared" si="16"/>
        <v/>
      </c>
      <c r="BP18" s="6" t="str">
        <f t="shared" si="16"/>
        <v/>
      </c>
      <c r="BQ18" s="6" t="str">
        <f t="shared" si="16"/>
        <v/>
      </c>
      <c r="BR18" s="6" t="str">
        <f t="shared" si="16"/>
        <v/>
      </c>
      <c r="BS18" s="6" t="str">
        <f t="shared" si="16"/>
        <v/>
      </c>
      <c r="BT18" s="6" t="str">
        <f t="shared" si="16"/>
        <v/>
      </c>
      <c r="BU18" s="6" t="str">
        <f t="shared" si="16"/>
        <v/>
      </c>
      <c r="BV18" s="6" t="str">
        <f t="shared" si="16"/>
        <v/>
      </c>
      <c r="BW18" s="6" t="str">
        <f t="shared" si="17"/>
        <v/>
      </c>
      <c r="BX18" s="6" t="str">
        <f t="shared" si="17"/>
        <v/>
      </c>
      <c r="BY18" s="6" t="str">
        <f t="shared" si="17"/>
        <v/>
      </c>
      <c r="BZ18" s="6" t="str">
        <f t="shared" si="17"/>
        <v/>
      </c>
      <c r="CA18" s="6" t="str">
        <f t="shared" si="17"/>
        <v/>
      </c>
      <c r="CB18" s="6" t="str">
        <f t="shared" si="17"/>
        <v/>
      </c>
      <c r="CC18" s="6" t="str">
        <f t="shared" si="17"/>
        <v/>
      </c>
      <c r="CD18" s="6" t="str">
        <f t="shared" si="17"/>
        <v/>
      </c>
      <c r="CE18" s="6" t="str">
        <f t="shared" si="17"/>
        <v/>
      </c>
      <c r="CF18" s="6" t="str">
        <f t="shared" si="17"/>
        <v/>
      </c>
      <c r="CG18" s="6" t="str">
        <f t="shared" si="18"/>
        <v/>
      </c>
      <c r="CH18" s="6" t="str">
        <f t="shared" si="18"/>
        <v/>
      </c>
      <c r="CI18" s="6" t="str">
        <f t="shared" si="18"/>
        <v/>
      </c>
      <c r="CJ18" s="6" t="str">
        <f t="shared" si="18"/>
        <v/>
      </c>
      <c r="CK18" s="6" t="str">
        <f t="shared" si="18"/>
        <v/>
      </c>
      <c r="CL18" s="6" t="str">
        <f t="shared" si="18"/>
        <v/>
      </c>
      <c r="CM18" s="6" t="str">
        <f t="shared" si="18"/>
        <v/>
      </c>
      <c r="CN18" s="6" t="str">
        <f t="shared" si="18"/>
        <v/>
      </c>
      <c r="CO18" s="6" t="str">
        <f t="shared" si="18"/>
        <v/>
      </c>
      <c r="CP18" s="6" t="str">
        <f t="shared" si="18"/>
        <v/>
      </c>
      <c r="CQ18" s="6" t="str">
        <f t="shared" si="19"/>
        <v/>
      </c>
      <c r="CR18" s="6" t="str">
        <f t="shared" si="19"/>
        <v/>
      </c>
      <c r="CS18" s="6" t="str">
        <f t="shared" si="19"/>
        <v/>
      </c>
      <c r="CT18" s="6" t="str">
        <f t="shared" si="19"/>
        <v/>
      </c>
      <c r="CU18" s="6" t="str">
        <f t="shared" si="19"/>
        <v/>
      </c>
      <c r="CV18" s="6" t="str">
        <f t="shared" si="19"/>
        <v/>
      </c>
      <c r="CW18" s="6" t="str">
        <f t="shared" si="19"/>
        <v/>
      </c>
      <c r="CX18" s="6" t="str">
        <f t="shared" si="19"/>
        <v/>
      </c>
      <c r="CY18" s="6" t="str">
        <f t="shared" si="19"/>
        <v/>
      </c>
      <c r="CZ18" s="6" t="str">
        <f t="shared" si="19"/>
        <v/>
      </c>
      <c r="DA18" s="6" t="str">
        <f t="shared" si="19"/>
        <v/>
      </c>
      <c r="DB18" s="6" t="str">
        <f t="shared" si="19"/>
        <v/>
      </c>
      <c r="DC18" s="6" t="str">
        <f t="shared" si="19"/>
        <v/>
      </c>
      <c r="DD18" s="6" t="str">
        <f t="shared" si="19"/>
        <v/>
      </c>
    </row>
    <row r="19" spans="1:108" ht="28" customHeight="1" x14ac:dyDescent="0.35">
      <c r="A19" s="24" t="str">
        <f>Schedule!B19</f>
        <v>Evaluation pipelines and regression analysis</v>
      </c>
      <c r="B19" s="4" t="str">
        <f>Schedule!C19</f>
        <v>Core</v>
      </c>
      <c r="C19" s="3">
        <f>IF(Schedule!P19="","",Schedule!P19)</f>
        <v>46668</v>
      </c>
      <c r="D19" s="3">
        <f>IF(Schedule!Q19="","",Schedule!Q19)</f>
        <v>46692</v>
      </c>
      <c r="E19" s="6" t="str">
        <f t="shared" si="10"/>
        <v/>
      </c>
      <c r="F19" s="6" t="str">
        <f t="shared" si="10"/>
        <v/>
      </c>
      <c r="G19" s="6" t="str">
        <f t="shared" si="10"/>
        <v/>
      </c>
      <c r="H19" s="6" t="str">
        <f t="shared" si="10"/>
        <v/>
      </c>
      <c r="I19" s="6" t="str">
        <f t="shared" si="10"/>
        <v/>
      </c>
      <c r="J19" s="6" t="str">
        <f t="shared" si="10"/>
        <v/>
      </c>
      <c r="K19" s="6" t="str">
        <f t="shared" si="10"/>
        <v/>
      </c>
      <c r="L19" s="6" t="str">
        <f t="shared" si="10"/>
        <v/>
      </c>
      <c r="M19" s="6" t="str">
        <f t="shared" si="10"/>
        <v/>
      </c>
      <c r="N19" s="6" t="str">
        <f t="shared" si="10"/>
        <v/>
      </c>
      <c r="O19" s="6" t="str">
        <f t="shared" si="11"/>
        <v/>
      </c>
      <c r="P19" s="6" t="str">
        <f t="shared" si="11"/>
        <v/>
      </c>
      <c r="Q19" s="6" t="str">
        <f t="shared" si="11"/>
        <v/>
      </c>
      <c r="R19" s="6" t="str">
        <f t="shared" si="11"/>
        <v/>
      </c>
      <c r="S19" s="6" t="str">
        <f t="shared" si="11"/>
        <v/>
      </c>
      <c r="T19" s="6" t="str">
        <f t="shared" si="11"/>
        <v/>
      </c>
      <c r="U19" s="6" t="str">
        <f t="shared" si="11"/>
        <v/>
      </c>
      <c r="V19" s="6" t="str">
        <f t="shared" si="11"/>
        <v/>
      </c>
      <c r="W19" s="6" t="str">
        <f t="shared" si="11"/>
        <v/>
      </c>
      <c r="X19" s="6" t="str">
        <f t="shared" si="11"/>
        <v/>
      </c>
      <c r="Y19" s="6" t="str">
        <f t="shared" si="12"/>
        <v/>
      </c>
      <c r="Z19" s="6" t="str">
        <f t="shared" si="12"/>
        <v/>
      </c>
      <c r="AA19" s="6" t="str">
        <f t="shared" si="12"/>
        <v/>
      </c>
      <c r="AB19" s="6" t="str">
        <f t="shared" si="12"/>
        <v/>
      </c>
      <c r="AC19" s="6" t="str">
        <f t="shared" si="12"/>
        <v/>
      </c>
      <c r="AD19" s="6" t="str">
        <f t="shared" si="12"/>
        <v/>
      </c>
      <c r="AE19" s="6" t="str">
        <f t="shared" si="12"/>
        <v/>
      </c>
      <c r="AF19" s="6" t="str">
        <f t="shared" si="12"/>
        <v/>
      </c>
      <c r="AG19" s="6" t="str">
        <f t="shared" si="12"/>
        <v/>
      </c>
      <c r="AH19" s="6" t="str">
        <f t="shared" si="12"/>
        <v/>
      </c>
      <c r="AI19" s="6" t="str">
        <f t="shared" si="13"/>
        <v/>
      </c>
      <c r="AJ19" s="6" t="str">
        <f t="shared" si="13"/>
        <v/>
      </c>
      <c r="AK19" s="6" t="str">
        <f t="shared" si="13"/>
        <v/>
      </c>
      <c r="AL19" s="6" t="str">
        <f t="shared" si="13"/>
        <v/>
      </c>
      <c r="AM19" s="6" t="str">
        <f t="shared" si="13"/>
        <v/>
      </c>
      <c r="AN19" s="6" t="str">
        <f t="shared" si="13"/>
        <v/>
      </c>
      <c r="AO19" s="6" t="str">
        <f t="shared" si="13"/>
        <v/>
      </c>
      <c r="AP19" s="6" t="str">
        <f t="shared" si="13"/>
        <v/>
      </c>
      <c r="AQ19" s="6" t="str">
        <f t="shared" si="13"/>
        <v/>
      </c>
      <c r="AR19" s="6" t="str">
        <f t="shared" si="13"/>
        <v/>
      </c>
      <c r="AS19" s="6" t="str">
        <f t="shared" si="14"/>
        <v/>
      </c>
      <c r="AT19" s="6" t="str">
        <f t="shared" si="14"/>
        <v/>
      </c>
      <c r="AU19" s="6" t="str">
        <f t="shared" si="14"/>
        <v/>
      </c>
      <c r="AV19" s="6" t="str">
        <f t="shared" si="14"/>
        <v/>
      </c>
      <c r="AW19" s="6" t="str">
        <f t="shared" si="14"/>
        <v/>
      </c>
      <c r="AX19" s="6" t="str">
        <f t="shared" si="14"/>
        <v/>
      </c>
      <c r="AY19" s="6" t="str">
        <f t="shared" si="14"/>
        <v/>
      </c>
      <c r="AZ19" s="6" t="str">
        <f t="shared" si="14"/>
        <v/>
      </c>
      <c r="BA19" s="6" t="str">
        <f t="shared" si="14"/>
        <v/>
      </c>
      <c r="BB19" s="6">
        <f t="shared" si="14"/>
        <v>1</v>
      </c>
      <c r="BC19" s="6">
        <f t="shared" si="15"/>
        <v>1</v>
      </c>
      <c r="BD19" s="6">
        <f t="shared" si="15"/>
        <v>1</v>
      </c>
      <c r="BE19" s="6">
        <f t="shared" si="15"/>
        <v>1</v>
      </c>
      <c r="BF19" s="6">
        <f t="shared" si="15"/>
        <v>1</v>
      </c>
      <c r="BG19" s="6" t="str">
        <f t="shared" si="15"/>
        <v/>
      </c>
      <c r="BH19" s="6" t="str">
        <f t="shared" si="15"/>
        <v/>
      </c>
      <c r="BI19" s="6" t="str">
        <f t="shared" si="15"/>
        <v/>
      </c>
      <c r="BJ19" s="6" t="str">
        <f t="shared" si="15"/>
        <v/>
      </c>
      <c r="BK19" s="6" t="str">
        <f t="shared" si="15"/>
        <v/>
      </c>
      <c r="BL19" s="6" t="str">
        <f t="shared" si="15"/>
        <v/>
      </c>
      <c r="BM19" s="6" t="str">
        <f t="shared" si="16"/>
        <v/>
      </c>
      <c r="BN19" s="6" t="str">
        <f t="shared" si="16"/>
        <v/>
      </c>
      <c r="BO19" s="6" t="str">
        <f t="shared" si="16"/>
        <v/>
      </c>
      <c r="BP19" s="6" t="str">
        <f t="shared" si="16"/>
        <v/>
      </c>
      <c r="BQ19" s="6" t="str">
        <f t="shared" si="16"/>
        <v/>
      </c>
      <c r="BR19" s="6" t="str">
        <f t="shared" si="16"/>
        <v/>
      </c>
      <c r="BS19" s="6" t="str">
        <f t="shared" si="16"/>
        <v/>
      </c>
      <c r="BT19" s="6" t="str">
        <f t="shared" si="16"/>
        <v/>
      </c>
      <c r="BU19" s="6" t="str">
        <f t="shared" si="16"/>
        <v/>
      </c>
      <c r="BV19" s="6" t="str">
        <f t="shared" si="16"/>
        <v/>
      </c>
      <c r="BW19" s="6" t="str">
        <f t="shared" si="17"/>
        <v/>
      </c>
      <c r="BX19" s="6" t="str">
        <f t="shared" si="17"/>
        <v/>
      </c>
      <c r="BY19" s="6" t="str">
        <f t="shared" si="17"/>
        <v/>
      </c>
      <c r="BZ19" s="6" t="str">
        <f t="shared" si="17"/>
        <v/>
      </c>
      <c r="CA19" s="6" t="str">
        <f t="shared" si="17"/>
        <v/>
      </c>
      <c r="CB19" s="6" t="str">
        <f t="shared" si="17"/>
        <v/>
      </c>
      <c r="CC19" s="6" t="str">
        <f t="shared" si="17"/>
        <v/>
      </c>
      <c r="CD19" s="6" t="str">
        <f t="shared" si="17"/>
        <v/>
      </c>
      <c r="CE19" s="6" t="str">
        <f t="shared" si="17"/>
        <v/>
      </c>
      <c r="CF19" s="6" t="str">
        <f t="shared" si="17"/>
        <v/>
      </c>
      <c r="CG19" s="6" t="str">
        <f t="shared" si="18"/>
        <v/>
      </c>
      <c r="CH19" s="6" t="str">
        <f t="shared" si="18"/>
        <v/>
      </c>
      <c r="CI19" s="6" t="str">
        <f t="shared" si="18"/>
        <v/>
      </c>
      <c r="CJ19" s="6" t="str">
        <f t="shared" si="18"/>
        <v/>
      </c>
      <c r="CK19" s="6" t="str">
        <f t="shared" si="18"/>
        <v/>
      </c>
      <c r="CL19" s="6" t="str">
        <f t="shared" si="18"/>
        <v/>
      </c>
      <c r="CM19" s="6" t="str">
        <f t="shared" si="18"/>
        <v/>
      </c>
      <c r="CN19" s="6" t="str">
        <f t="shared" si="18"/>
        <v/>
      </c>
      <c r="CO19" s="6" t="str">
        <f t="shared" si="18"/>
        <v/>
      </c>
      <c r="CP19" s="6" t="str">
        <f t="shared" si="18"/>
        <v/>
      </c>
      <c r="CQ19" s="6" t="str">
        <f t="shared" si="19"/>
        <v/>
      </c>
      <c r="CR19" s="6" t="str">
        <f t="shared" si="19"/>
        <v/>
      </c>
      <c r="CS19" s="6" t="str">
        <f t="shared" si="19"/>
        <v/>
      </c>
      <c r="CT19" s="6" t="str">
        <f t="shared" si="19"/>
        <v/>
      </c>
      <c r="CU19" s="6" t="str">
        <f t="shared" si="19"/>
        <v/>
      </c>
      <c r="CV19" s="6" t="str">
        <f t="shared" si="19"/>
        <v/>
      </c>
      <c r="CW19" s="6" t="str">
        <f t="shared" si="19"/>
        <v/>
      </c>
      <c r="CX19" s="6" t="str">
        <f t="shared" si="19"/>
        <v/>
      </c>
      <c r="CY19" s="6" t="str">
        <f t="shared" si="19"/>
        <v/>
      </c>
      <c r="CZ19" s="6" t="str">
        <f t="shared" si="19"/>
        <v/>
      </c>
      <c r="DA19" s="6" t="str">
        <f t="shared" si="19"/>
        <v/>
      </c>
      <c r="DB19" s="6" t="str">
        <f t="shared" si="19"/>
        <v/>
      </c>
      <c r="DC19" s="6" t="str">
        <f t="shared" si="19"/>
        <v/>
      </c>
      <c r="DD19" s="6" t="str">
        <f t="shared" si="19"/>
        <v/>
      </c>
    </row>
    <row r="20" spans="1:108" ht="28" customHeight="1" x14ac:dyDescent="0.35">
      <c r="A20" s="24" t="str">
        <f>Schedule!B20</f>
        <v>Authentication API and system security</v>
      </c>
      <c r="B20" s="4" t="str">
        <f>Schedule!C20</f>
        <v>Core</v>
      </c>
      <c r="C20" s="3">
        <f>IF(Schedule!P20="","",Schedule!P20)</f>
        <v>46693</v>
      </c>
      <c r="D20" s="3">
        <f>IF(Schedule!Q20="","",Schedule!Q20)</f>
        <v>46714</v>
      </c>
      <c r="E20" s="6" t="str">
        <f t="shared" si="10"/>
        <v/>
      </c>
      <c r="F20" s="6" t="str">
        <f t="shared" si="10"/>
        <v/>
      </c>
      <c r="G20" s="6" t="str">
        <f t="shared" si="10"/>
        <v/>
      </c>
      <c r="H20" s="6" t="str">
        <f t="shared" si="10"/>
        <v/>
      </c>
      <c r="I20" s="6" t="str">
        <f t="shared" si="10"/>
        <v/>
      </c>
      <c r="J20" s="6" t="str">
        <f t="shared" si="10"/>
        <v/>
      </c>
      <c r="K20" s="6" t="str">
        <f t="shared" si="10"/>
        <v/>
      </c>
      <c r="L20" s="6" t="str">
        <f t="shared" si="10"/>
        <v/>
      </c>
      <c r="M20" s="6" t="str">
        <f t="shared" si="10"/>
        <v/>
      </c>
      <c r="N20" s="6" t="str">
        <f t="shared" si="10"/>
        <v/>
      </c>
      <c r="O20" s="6" t="str">
        <f t="shared" si="11"/>
        <v/>
      </c>
      <c r="P20" s="6" t="str">
        <f t="shared" si="11"/>
        <v/>
      </c>
      <c r="Q20" s="6" t="str">
        <f t="shared" si="11"/>
        <v/>
      </c>
      <c r="R20" s="6" t="str">
        <f t="shared" si="11"/>
        <v/>
      </c>
      <c r="S20" s="6" t="str">
        <f t="shared" si="11"/>
        <v/>
      </c>
      <c r="T20" s="6" t="str">
        <f t="shared" si="11"/>
        <v/>
      </c>
      <c r="U20" s="6" t="str">
        <f t="shared" si="11"/>
        <v/>
      </c>
      <c r="V20" s="6" t="str">
        <f t="shared" si="11"/>
        <v/>
      </c>
      <c r="W20" s="6" t="str">
        <f t="shared" si="11"/>
        <v/>
      </c>
      <c r="X20" s="6" t="str">
        <f t="shared" si="11"/>
        <v/>
      </c>
      <c r="Y20" s="6" t="str">
        <f t="shared" si="12"/>
        <v/>
      </c>
      <c r="Z20" s="6" t="str">
        <f t="shared" si="12"/>
        <v/>
      </c>
      <c r="AA20" s="6" t="str">
        <f t="shared" si="12"/>
        <v/>
      </c>
      <c r="AB20" s="6" t="str">
        <f t="shared" si="12"/>
        <v/>
      </c>
      <c r="AC20" s="6" t="str">
        <f t="shared" si="12"/>
        <v/>
      </c>
      <c r="AD20" s="6" t="str">
        <f t="shared" si="12"/>
        <v/>
      </c>
      <c r="AE20" s="6" t="str">
        <f t="shared" si="12"/>
        <v/>
      </c>
      <c r="AF20" s="6" t="str">
        <f t="shared" si="12"/>
        <v/>
      </c>
      <c r="AG20" s="6" t="str">
        <f t="shared" si="12"/>
        <v/>
      </c>
      <c r="AH20" s="6" t="str">
        <f t="shared" si="12"/>
        <v/>
      </c>
      <c r="AI20" s="6" t="str">
        <f t="shared" si="13"/>
        <v/>
      </c>
      <c r="AJ20" s="6" t="str">
        <f t="shared" si="13"/>
        <v/>
      </c>
      <c r="AK20" s="6" t="str">
        <f t="shared" si="13"/>
        <v/>
      </c>
      <c r="AL20" s="6" t="str">
        <f t="shared" si="13"/>
        <v/>
      </c>
      <c r="AM20" s="6" t="str">
        <f t="shared" si="13"/>
        <v/>
      </c>
      <c r="AN20" s="6" t="str">
        <f t="shared" si="13"/>
        <v/>
      </c>
      <c r="AO20" s="6" t="str">
        <f t="shared" si="13"/>
        <v/>
      </c>
      <c r="AP20" s="6" t="str">
        <f t="shared" si="13"/>
        <v/>
      </c>
      <c r="AQ20" s="6" t="str">
        <f t="shared" si="13"/>
        <v/>
      </c>
      <c r="AR20" s="6" t="str">
        <f t="shared" si="13"/>
        <v/>
      </c>
      <c r="AS20" s="6" t="str">
        <f t="shared" si="14"/>
        <v/>
      </c>
      <c r="AT20" s="6" t="str">
        <f t="shared" si="14"/>
        <v/>
      </c>
      <c r="AU20" s="6" t="str">
        <f t="shared" si="14"/>
        <v/>
      </c>
      <c r="AV20" s="6" t="str">
        <f t="shared" si="14"/>
        <v/>
      </c>
      <c r="AW20" s="6" t="str">
        <f t="shared" si="14"/>
        <v/>
      </c>
      <c r="AX20" s="6" t="str">
        <f t="shared" si="14"/>
        <v/>
      </c>
      <c r="AY20" s="6" t="str">
        <f t="shared" si="14"/>
        <v/>
      </c>
      <c r="AZ20" s="6" t="str">
        <f t="shared" si="14"/>
        <v/>
      </c>
      <c r="BA20" s="6" t="str">
        <f t="shared" si="14"/>
        <v/>
      </c>
      <c r="BB20" s="6" t="str">
        <f t="shared" si="14"/>
        <v/>
      </c>
      <c r="BC20" s="6" t="str">
        <f t="shared" si="15"/>
        <v/>
      </c>
      <c r="BD20" s="6" t="str">
        <f t="shared" si="15"/>
        <v/>
      </c>
      <c r="BE20" s="6" t="str">
        <f t="shared" si="15"/>
        <v/>
      </c>
      <c r="BF20" s="6">
        <f t="shared" si="15"/>
        <v>1</v>
      </c>
      <c r="BG20" s="6">
        <f t="shared" si="15"/>
        <v>1</v>
      </c>
      <c r="BH20" s="6">
        <f t="shared" si="15"/>
        <v>1</v>
      </c>
      <c r="BI20" s="6">
        <f t="shared" si="15"/>
        <v>1</v>
      </c>
      <c r="BJ20" s="6" t="str">
        <f t="shared" si="15"/>
        <v/>
      </c>
      <c r="BK20" s="6" t="str">
        <f t="shared" si="15"/>
        <v/>
      </c>
      <c r="BL20" s="6" t="str">
        <f t="shared" si="15"/>
        <v/>
      </c>
      <c r="BM20" s="6" t="str">
        <f t="shared" si="16"/>
        <v/>
      </c>
      <c r="BN20" s="6" t="str">
        <f t="shared" si="16"/>
        <v/>
      </c>
      <c r="BO20" s="6" t="str">
        <f t="shared" si="16"/>
        <v/>
      </c>
      <c r="BP20" s="6" t="str">
        <f t="shared" si="16"/>
        <v/>
      </c>
      <c r="BQ20" s="6" t="str">
        <f t="shared" si="16"/>
        <v/>
      </c>
      <c r="BR20" s="6" t="str">
        <f t="shared" si="16"/>
        <v/>
      </c>
      <c r="BS20" s="6" t="str">
        <f t="shared" si="16"/>
        <v/>
      </c>
      <c r="BT20" s="6" t="str">
        <f t="shared" si="16"/>
        <v/>
      </c>
      <c r="BU20" s="6" t="str">
        <f t="shared" si="16"/>
        <v/>
      </c>
      <c r="BV20" s="6" t="str">
        <f t="shared" si="16"/>
        <v/>
      </c>
      <c r="BW20" s="6" t="str">
        <f t="shared" si="17"/>
        <v/>
      </c>
      <c r="BX20" s="6" t="str">
        <f t="shared" si="17"/>
        <v/>
      </c>
      <c r="BY20" s="6" t="str">
        <f t="shared" si="17"/>
        <v/>
      </c>
      <c r="BZ20" s="6" t="str">
        <f t="shared" si="17"/>
        <v/>
      </c>
      <c r="CA20" s="6" t="str">
        <f t="shared" si="17"/>
        <v/>
      </c>
      <c r="CB20" s="6" t="str">
        <f t="shared" si="17"/>
        <v/>
      </c>
      <c r="CC20" s="6" t="str">
        <f t="shared" si="17"/>
        <v/>
      </c>
      <c r="CD20" s="6" t="str">
        <f t="shared" si="17"/>
        <v/>
      </c>
      <c r="CE20" s="6" t="str">
        <f t="shared" si="17"/>
        <v/>
      </c>
      <c r="CF20" s="6" t="str">
        <f t="shared" si="17"/>
        <v/>
      </c>
      <c r="CG20" s="6" t="str">
        <f t="shared" si="18"/>
        <v/>
      </c>
      <c r="CH20" s="6" t="str">
        <f t="shared" si="18"/>
        <v/>
      </c>
      <c r="CI20" s="6" t="str">
        <f t="shared" si="18"/>
        <v/>
      </c>
      <c r="CJ20" s="6" t="str">
        <f t="shared" si="18"/>
        <v/>
      </c>
      <c r="CK20" s="6" t="str">
        <f t="shared" si="18"/>
        <v/>
      </c>
      <c r="CL20" s="6" t="str">
        <f t="shared" si="18"/>
        <v/>
      </c>
      <c r="CM20" s="6" t="str">
        <f t="shared" si="18"/>
        <v/>
      </c>
      <c r="CN20" s="6" t="str">
        <f t="shared" si="18"/>
        <v/>
      </c>
      <c r="CO20" s="6" t="str">
        <f t="shared" si="18"/>
        <v/>
      </c>
      <c r="CP20" s="6" t="str">
        <f t="shared" si="18"/>
        <v/>
      </c>
      <c r="CQ20" s="6" t="str">
        <f t="shared" si="19"/>
        <v/>
      </c>
      <c r="CR20" s="6" t="str">
        <f t="shared" si="19"/>
        <v/>
      </c>
      <c r="CS20" s="6" t="str">
        <f t="shared" si="19"/>
        <v/>
      </c>
      <c r="CT20" s="6" t="str">
        <f t="shared" si="19"/>
        <v/>
      </c>
      <c r="CU20" s="6" t="str">
        <f t="shared" si="19"/>
        <v/>
      </c>
      <c r="CV20" s="6" t="str">
        <f t="shared" si="19"/>
        <v/>
      </c>
      <c r="CW20" s="6" t="str">
        <f t="shared" si="19"/>
        <v/>
      </c>
      <c r="CX20" s="6" t="str">
        <f t="shared" si="19"/>
        <v/>
      </c>
      <c r="CY20" s="6" t="str">
        <f t="shared" si="19"/>
        <v/>
      </c>
      <c r="CZ20" s="6" t="str">
        <f t="shared" si="19"/>
        <v/>
      </c>
      <c r="DA20" s="6" t="str">
        <f t="shared" si="19"/>
        <v/>
      </c>
      <c r="DB20" s="6" t="str">
        <f t="shared" si="19"/>
        <v/>
      </c>
      <c r="DC20" s="6" t="str">
        <f t="shared" si="19"/>
        <v/>
      </c>
      <c r="DD20" s="6" t="str">
        <f t="shared" si="19"/>
        <v/>
      </c>
    </row>
    <row r="21" spans="1:108" ht="28" customHeight="1" x14ac:dyDescent="0.35">
      <c r="A21" s="24" t="str">
        <f>Schedule!B21</f>
        <v>Trusted tools state and integration</v>
      </c>
      <c r="B21" s="4" t="str">
        <f>Schedule!C21</f>
        <v>Core</v>
      </c>
      <c r="C21" s="3">
        <f>IF(Schedule!P21="","",Schedule!P21)</f>
        <v>46714</v>
      </c>
      <c r="D21" s="3">
        <f>IF(Schedule!Q21="","",Schedule!Q21)</f>
        <v>46738</v>
      </c>
      <c r="E21" s="6" t="str">
        <f t="shared" si="10"/>
        <v/>
      </c>
      <c r="F21" s="6" t="str">
        <f t="shared" si="10"/>
        <v/>
      </c>
      <c r="G21" s="6" t="str">
        <f t="shared" si="10"/>
        <v/>
      </c>
      <c r="H21" s="6" t="str">
        <f t="shared" si="10"/>
        <v/>
      </c>
      <c r="I21" s="6" t="str">
        <f t="shared" si="10"/>
        <v/>
      </c>
      <c r="J21" s="6" t="str">
        <f t="shared" si="10"/>
        <v/>
      </c>
      <c r="K21" s="6" t="str">
        <f t="shared" si="10"/>
        <v/>
      </c>
      <c r="L21" s="6" t="str">
        <f t="shared" si="10"/>
        <v/>
      </c>
      <c r="M21" s="6" t="str">
        <f t="shared" si="10"/>
        <v/>
      </c>
      <c r="N21" s="6" t="str">
        <f t="shared" si="10"/>
        <v/>
      </c>
      <c r="O21" s="6" t="str">
        <f t="shared" si="11"/>
        <v/>
      </c>
      <c r="P21" s="6" t="str">
        <f t="shared" si="11"/>
        <v/>
      </c>
      <c r="Q21" s="6" t="str">
        <f t="shared" si="11"/>
        <v/>
      </c>
      <c r="R21" s="6" t="str">
        <f t="shared" si="11"/>
        <v/>
      </c>
      <c r="S21" s="6" t="str">
        <f t="shared" si="11"/>
        <v/>
      </c>
      <c r="T21" s="6" t="str">
        <f t="shared" si="11"/>
        <v/>
      </c>
      <c r="U21" s="6" t="str">
        <f t="shared" si="11"/>
        <v/>
      </c>
      <c r="V21" s="6" t="str">
        <f t="shared" si="11"/>
        <v/>
      </c>
      <c r="W21" s="6" t="str">
        <f t="shared" si="11"/>
        <v/>
      </c>
      <c r="X21" s="6" t="str">
        <f t="shared" si="11"/>
        <v/>
      </c>
      <c r="Y21" s="6" t="str">
        <f t="shared" si="12"/>
        <v/>
      </c>
      <c r="Z21" s="6" t="str">
        <f t="shared" si="12"/>
        <v/>
      </c>
      <c r="AA21" s="6" t="str">
        <f t="shared" si="12"/>
        <v/>
      </c>
      <c r="AB21" s="6" t="str">
        <f t="shared" si="12"/>
        <v/>
      </c>
      <c r="AC21" s="6" t="str">
        <f t="shared" si="12"/>
        <v/>
      </c>
      <c r="AD21" s="6" t="str">
        <f t="shared" si="12"/>
        <v/>
      </c>
      <c r="AE21" s="6" t="str">
        <f t="shared" si="12"/>
        <v/>
      </c>
      <c r="AF21" s="6" t="str">
        <f t="shared" si="12"/>
        <v/>
      </c>
      <c r="AG21" s="6" t="str">
        <f t="shared" si="12"/>
        <v/>
      </c>
      <c r="AH21" s="6" t="str">
        <f t="shared" si="12"/>
        <v/>
      </c>
      <c r="AI21" s="6" t="str">
        <f t="shared" si="13"/>
        <v/>
      </c>
      <c r="AJ21" s="6" t="str">
        <f t="shared" si="13"/>
        <v/>
      </c>
      <c r="AK21" s="6" t="str">
        <f t="shared" si="13"/>
        <v/>
      </c>
      <c r="AL21" s="6" t="str">
        <f t="shared" si="13"/>
        <v/>
      </c>
      <c r="AM21" s="6" t="str">
        <f t="shared" si="13"/>
        <v/>
      </c>
      <c r="AN21" s="6" t="str">
        <f t="shared" si="13"/>
        <v/>
      </c>
      <c r="AO21" s="6" t="str">
        <f t="shared" si="13"/>
        <v/>
      </c>
      <c r="AP21" s="6" t="str">
        <f t="shared" si="13"/>
        <v/>
      </c>
      <c r="AQ21" s="6" t="str">
        <f t="shared" si="13"/>
        <v/>
      </c>
      <c r="AR21" s="6" t="str">
        <f t="shared" si="13"/>
        <v/>
      </c>
      <c r="AS21" s="6" t="str">
        <f t="shared" si="14"/>
        <v/>
      </c>
      <c r="AT21" s="6" t="str">
        <f t="shared" si="14"/>
        <v/>
      </c>
      <c r="AU21" s="6" t="str">
        <f t="shared" si="14"/>
        <v/>
      </c>
      <c r="AV21" s="6" t="str">
        <f t="shared" si="14"/>
        <v/>
      </c>
      <c r="AW21" s="6" t="str">
        <f t="shared" si="14"/>
        <v/>
      </c>
      <c r="AX21" s="6" t="str">
        <f t="shared" si="14"/>
        <v/>
      </c>
      <c r="AY21" s="6" t="str">
        <f t="shared" si="14"/>
        <v/>
      </c>
      <c r="AZ21" s="6" t="str">
        <f t="shared" si="14"/>
        <v/>
      </c>
      <c r="BA21" s="6" t="str">
        <f t="shared" si="14"/>
        <v/>
      </c>
      <c r="BB21" s="6" t="str">
        <f t="shared" si="14"/>
        <v/>
      </c>
      <c r="BC21" s="6" t="str">
        <f t="shared" si="15"/>
        <v/>
      </c>
      <c r="BD21" s="6" t="str">
        <f t="shared" si="15"/>
        <v/>
      </c>
      <c r="BE21" s="6" t="str">
        <f t="shared" si="15"/>
        <v/>
      </c>
      <c r="BF21" s="6" t="str">
        <f t="shared" si="15"/>
        <v/>
      </c>
      <c r="BG21" s="6" t="str">
        <f t="shared" si="15"/>
        <v/>
      </c>
      <c r="BH21" s="6" t="str">
        <f t="shared" si="15"/>
        <v/>
      </c>
      <c r="BI21" s="6">
        <f t="shared" si="15"/>
        <v>1</v>
      </c>
      <c r="BJ21" s="6">
        <f t="shared" si="15"/>
        <v>1</v>
      </c>
      <c r="BK21" s="6">
        <f t="shared" si="15"/>
        <v>1</v>
      </c>
      <c r="BL21" s="6">
        <f t="shared" si="15"/>
        <v>1</v>
      </c>
      <c r="BM21" s="6" t="str">
        <f t="shared" si="16"/>
        <v/>
      </c>
      <c r="BN21" s="6" t="str">
        <f t="shared" si="16"/>
        <v/>
      </c>
      <c r="BO21" s="6" t="str">
        <f t="shared" si="16"/>
        <v/>
      </c>
      <c r="BP21" s="6" t="str">
        <f t="shared" si="16"/>
        <v/>
      </c>
      <c r="BQ21" s="6" t="str">
        <f t="shared" si="16"/>
        <v/>
      </c>
      <c r="BR21" s="6" t="str">
        <f t="shared" si="16"/>
        <v/>
      </c>
      <c r="BS21" s="6" t="str">
        <f t="shared" si="16"/>
        <v/>
      </c>
      <c r="BT21" s="6" t="str">
        <f t="shared" si="16"/>
        <v/>
      </c>
      <c r="BU21" s="6" t="str">
        <f t="shared" si="16"/>
        <v/>
      </c>
      <c r="BV21" s="6" t="str">
        <f t="shared" si="16"/>
        <v/>
      </c>
      <c r="BW21" s="6" t="str">
        <f t="shared" si="17"/>
        <v/>
      </c>
      <c r="BX21" s="6" t="str">
        <f t="shared" si="17"/>
        <v/>
      </c>
      <c r="BY21" s="6" t="str">
        <f t="shared" si="17"/>
        <v/>
      </c>
      <c r="BZ21" s="6" t="str">
        <f t="shared" si="17"/>
        <v/>
      </c>
      <c r="CA21" s="6" t="str">
        <f t="shared" si="17"/>
        <v/>
      </c>
      <c r="CB21" s="6" t="str">
        <f t="shared" si="17"/>
        <v/>
      </c>
      <c r="CC21" s="6" t="str">
        <f t="shared" si="17"/>
        <v/>
      </c>
      <c r="CD21" s="6" t="str">
        <f t="shared" si="17"/>
        <v/>
      </c>
      <c r="CE21" s="6" t="str">
        <f t="shared" si="17"/>
        <v/>
      </c>
      <c r="CF21" s="6" t="str">
        <f t="shared" si="17"/>
        <v/>
      </c>
      <c r="CG21" s="6" t="str">
        <f t="shared" si="18"/>
        <v/>
      </c>
      <c r="CH21" s="6" t="str">
        <f t="shared" si="18"/>
        <v/>
      </c>
      <c r="CI21" s="6" t="str">
        <f t="shared" si="18"/>
        <v/>
      </c>
      <c r="CJ21" s="6" t="str">
        <f t="shared" si="18"/>
        <v/>
      </c>
      <c r="CK21" s="6" t="str">
        <f t="shared" si="18"/>
        <v/>
      </c>
      <c r="CL21" s="6" t="str">
        <f t="shared" si="18"/>
        <v/>
      </c>
      <c r="CM21" s="6" t="str">
        <f t="shared" si="18"/>
        <v/>
      </c>
      <c r="CN21" s="6" t="str">
        <f t="shared" si="18"/>
        <v/>
      </c>
      <c r="CO21" s="6" t="str">
        <f t="shared" si="18"/>
        <v/>
      </c>
      <c r="CP21" s="6" t="str">
        <f t="shared" si="18"/>
        <v/>
      </c>
      <c r="CQ21" s="6" t="str">
        <f t="shared" si="19"/>
        <v/>
      </c>
      <c r="CR21" s="6" t="str">
        <f t="shared" si="19"/>
        <v/>
      </c>
      <c r="CS21" s="6" t="str">
        <f t="shared" si="19"/>
        <v/>
      </c>
      <c r="CT21" s="6" t="str">
        <f t="shared" si="19"/>
        <v/>
      </c>
      <c r="CU21" s="6" t="str">
        <f t="shared" si="19"/>
        <v/>
      </c>
      <c r="CV21" s="6" t="str">
        <f t="shared" si="19"/>
        <v/>
      </c>
      <c r="CW21" s="6" t="str">
        <f t="shared" si="19"/>
        <v/>
      </c>
      <c r="CX21" s="6" t="str">
        <f t="shared" si="19"/>
        <v/>
      </c>
      <c r="CY21" s="6" t="str">
        <f t="shared" si="19"/>
        <v/>
      </c>
      <c r="CZ21" s="6" t="str">
        <f t="shared" si="19"/>
        <v/>
      </c>
      <c r="DA21" s="6" t="str">
        <f t="shared" si="19"/>
        <v/>
      </c>
      <c r="DB21" s="6" t="str">
        <f t="shared" si="19"/>
        <v/>
      </c>
      <c r="DC21" s="6" t="str">
        <f t="shared" si="19"/>
        <v/>
      </c>
      <c r="DD21" s="6" t="str">
        <f t="shared" si="19"/>
        <v/>
      </c>
    </row>
    <row r="22" spans="1:108" ht="28" customHeight="1" x14ac:dyDescent="0.35">
      <c r="A22" s="24" t="str">
        <f>Schedule!B22</f>
        <v>Bounded agents and architecture tradeoffs</v>
      </c>
      <c r="B22" s="4" t="str">
        <f>Schedule!C22</f>
        <v>Core</v>
      </c>
      <c r="C22" s="3">
        <f>IF(Schedule!P22="","",Schedule!P22)</f>
        <v>46738</v>
      </c>
      <c r="D22" s="3">
        <f>IF(Schedule!Q22="","",Schedule!Q22)</f>
        <v>46760</v>
      </c>
      <c r="E22" s="6" t="str">
        <f t="shared" ref="E22:N31" si="20">IF(AND(ISNUMBER($C22),ISNUMBER($D22),E$1&lt;=$D22,E$1+6&gt;=$C22),1,"")</f>
        <v/>
      </c>
      <c r="F22" s="6" t="str">
        <f t="shared" si="20"/>
        <v/>
      </c>
      <c r="G22" s="6" t="str">
        <f t="shared" si="20"/>
        <v/>
      </c>
      <c r="H22" s="6" t="str">
        <f t="shared" si="20"/>
        <v/>
      </c>
      <c r="I22" s="6" t="str">
        <f t="shared" si="20"/>
        <v/>
      </c>
      <c r="J22" s="6" t="str">
        <f t="shared" si="20"/>
        <v/>
      </c>
      <c r="K22" s="6" t="str">
        <f t="shared" si="20"/>
        <v/>
      </c>
      <c r="L22" s="6" t="str">
        <f t="shared" si="20"/>
        <v/>
      </c>
      <c r="M22" s="6" t="str">
        <f t="shared" si="20"/>
        <v/>
      </c>
      <c r="N22" s="6" t="str">
        <f t="shared" si="20"/>
        <v/>
      </c>
      <c r="O22" s="6" t="str">
        <f t="shared" ref="O22:X31" si="21">IF(AND(ISNUMBER($C22),ISNUMBER($D22),O$1&lt;=$D22,O$1+6&gt;=$C22),1,"")</f>
        <v/>
      </c>
      <c r="P22" s="6" t="str">
        <f t="shared" si="21"/>
        <v/>
      </c>
      <c r="Q22" s="6" t="str">
        <f t="shared" si="21"/>
        <v/>
      </c>
      <c r="R22" s="6" t="str">
        <f t="shared" si="21"/>
        <v/>
      </c>
      <c r="S22" s="6" t="str">
        <f t="shared" si="21"/>
        <v/>
      </c>
      <c r="T22" s="6" t="str">
        <f t="shared" si="21"/>
        <v/>
      </c>
      <c r="U22" s="6" t="str">
        <f t="shared" si="21"/>
        <v/>
      </c>
      <c r="V22" s="6" t="str">
        <f t="shared" si="21"/>
        <v/>
      </c>
      <c r="W22" s="6" t="str">
        <f t="shared" si="21"/>
        <v/>
      </c>
      <c r="X22" s="6" t="str">
        <f t="shared" si="21"/>
        <v/>
      </c>
      <c r="Y22" s="6" t="str">
        <f t="shared" ref="Y22:AH31" si="22">IF(AND(ISNUMBER($C22),ISNUMBER($D22),Y$1&lt;=$D22,Y$1+6&gt;=$C22),1,"")</f>
        <v/>
      </c>
      <c r="Z22" s="6" t="str">
        <f t="shared" si="22"/>
        <v/>
      </c>
      <c r="AA22" s="6" t="str">
        <f t="shared" si="22"/>
        <v/>
      </c>
      <c r="AB22" s="6" t="str">
        <f t="shared" si="22"/>
        <v/>
      </c>
      <c r="AC22" s="6" t="str">
        <f t="shared" si="22"/>
        <v/>
      </c>
      <c r="AD22" s="6" t="str">
        <f t="shared" si="22"/>
        <v/>
      </c>
      <c r="AE22" s="6" t="str">
        <f t="shared" si="22"/>
        <v/>
      </c>
      <c r="AF22" s="6" t="str">
        <f t="shared" si="22"/>
        <v/>
      </c>
      <c r="AG22" s="6" t="str">
        <f t="shared" si="22"/>
        <v/>
      </c>
      <c r="AH22" s="6" t="str">
        <f t="shared" si="22"/>
        <v/>
      </c>
      <c r="AI22" s="6" t="str">
        <f t="shared" ref="AI22:AR31" si="23">IF(AND(ISNUMBER($C22),ISNUMBER($D22),AI$1&lt;=$D22,AI$1+6&gt;=$C22),1,"")</f>
        <v/>
      </c>
      <c r="AJ22" s="6" t="str">
        <f t="shared" si="23"/>
        <v/>
      </c>
      <c r="AK22" s="6" t="str">
        <f t="shared" si="23"/>
        <v/>
      </c>
      <c r="AL22" s="6" t="str">
        <f t="shared" si="23"/>
        <v/>
      </c>
      <c r="AM22" s="6" t="str">
        <f t="shared" si="23"/>
        <v/>
      </c>
      <c r="AN22" s="6" t="str">
        <f t="shared" si="23"/>
        <v/>
      </c>
      <c r="AO22" s="6" t="str">
        <f t="shared" si="23"/>
        <v/>
      </c>
      <c r="AP22" s="6" t="str">
        <f t="shared" si="23"/>
        <v/>
      </c>
      <c r="AQ22" s="6" t="str">
        <f t="shared" si="23"/>
        <v/>
      </c>
      <c r="AR22" s="6" t="str">
        <f t="shared" si="23"/>
        <v/>
      </c>
      <c r="AS22" s="6" t="str">
        <f t="shared" ref="AS22:BB31" si="24">IF(AND(ISNUMBER($C22),ISNUMBER($D22),AS$1&lt;=$D22,AS$1+6&gt;=$C22),1,"")</f>
        <v/>
      </c>
      <c r="AT22" s="6" t="str">
        <f t="shared" si="24"/>
        <v/>
      </c>
      <c r="AU22" s="6" t="str">
        <f t="shared" si="24"/>
        <v/>
      </c>
      <c r="AV22" s="6" t="str">
        <f t="shared" si="24"/>
        <v/>
      </c>
      <c r="AW22" s="6" t="str">
        <f t="shared" si="24"/>
        <v/>
      </c>
      <c r="AX22" s="6" t="str">
        <f t="shared" si="24"/>
        <v/>
      </c>
      <c r="AY22" s="6" t="str">
        <f t="shared" si="24"/>
        <v/>
      </c>
      <c r="AZ22" s="6" t="str">
        <f t="shared" si="24"/>
        <v/>
      </c>
      <c r="BA22" s="6" t="str">
        <f t="shared" si="24"/>
        <v/>
      </c>
      <c r="BB22" s="6" t="str">
        <f t="shared" si="24"/>
        <v/>
      </c>
      <c r="BC22" s="6" t="str">
        <f t="shared" ref="BC22:BL31" si="25">IF(AND(ISNUMBER($C22),ISNUMBER($D22),BC$1&lt;=$D22,BC$1+6&gt;=$C22),1,"")</f>
        <v/>
      </c>
      <c r="BD22" s="6" t="str">
        <f t="shared" si="25"/>
        <v/>
      </c>
      <c r="BE22" s="6" t="str">
        <f t="shared" si="25"/>
        <v/>
      </c>
      <c r="BF22" s="6" t="str">
        <f t="shared" si="25"/>
        <v/>
      </c>
      <c r="BG22" s="6" t="str">
        <f t="shared" si="25"/>
        <v/>
      </c>
      <c r="BH22" s="6" t="str">
        <f t="shared" si="25"/>
        <v/>
      </c>
      <c r="BI22" s="6" t="str">
        <f t="shared" si="25"/>
        <v/>
      </c>
      <c r="BJ22" s="6" t="str">
        <f t="shared" si="25"/>
        <v/>
      </c>
      <c r="BK22" s="6" t="str">
        <f t="shared" si="25"/>
        <v/>
      </c>
      <c r="BL22" s="6">
        <f t="shared" si="25"/>
        <v>1</v>
      </c>
      <c r="BM22" s="6">
        <f t="shared" ref="BM22:BV31" si="26">IF(AND(ISNUMBER($C22),ISNUMBER($D22),BM$1&lt;=$D22,BM$1+6&gt;=$C22),1,"")</f>
        <v>1</v>
      </c>
      <c r="BN22" s="6">
        <f t="shared" si="26"/>
        <v>1</v>
      </c>
      <c r="BO22" s="6">
        <f t="shared" si="26"/>
        <v>1</v>
      </c>
      <c r="BP22" s="6">
        <f t="shared" si="26"/>
        <v>1</v>
      </c>
      <c r="BQ22" s="6" t="str">
        <f t="shared" si="26"/>
        <v/>
      </c>
      <c r="BR22" s="6" t="str">
        <f t="shared" si="26"/>
        <v/>
      </c>
      <c r="BS22" s="6" t="str">
        <f t="shared" si="26"/>
        <v/>
      </c>
      <c r="BT22" s="6" t="str">
        <f t="shared" si="26"/>
        <v/>
      </c>
      <c r="BU22" s="6" t="str">
        <f t="shared" si="26"/>
        <v/>
      </c>
      <c r="BV22" s="6" t="str">
        <f t="shared" si="26"/>
        <v/>
      </c>
      <c r="BW22" s="6" t="str">
        <f t="shared" ref="BW22:CF31" si="27">IF(AND(ISNUMBER($C22),ISNUMBER($D22),BW$1&lt;=$D22,BW$1+6&gt;=$C22),1,"")</f>
        <v/>
      </c>
      <c r="BX22" s="6" t="str">
        <f t="shared" si="27"/>
        <v/>
      </c>
      <c r="BY22" s="6" t="str">
        <f t="shared" si="27"/>
        <v/>
      </c>
      <c r="BZ22" s="6" t="str">
        <f t="shared" si="27"/>
        <v/>
      </c>
      <c r="CA22" s="6" t="str">
        <f t="shared" si="27"/>
        <v/>
      </c>
      <c r="CB22" s="6" t="str">
        <f t="shared" si="27"/>
        <v/>
      </c>
      <c r="CC22" s="6" t="str">
        <f t="shared" si="27"/>
        <v/>
      </c>
      <c r="CD22" s="6" t="str">
        <f t="shared" si="27"/>
        <v/>
      </c>
      <c r="CE22" s="6" t="str">
        <f t="shared" si="27"/>
        <v/>
      </c>
      <c r="CF22" s="6" t="str">
        <f t="shared" si="27"/>
        <v/>
      </c>
      <c r="CG22" s="6" t="str">
        <f t="shared" ref="CG22:CP31" si="28">IF(AND(ISNUMBER($C22),ISNUMBER($D22),CG$1&lt;=$D22,CG$1+6&gt;=$C22),1,"")</f>
        <v/>
      </c>
      <c r="CH22" s="6" t="str">
        <f t="shared" si="28"/>
        <v/>
      </c>
      <c r="CI22" s="6" t="str">
        <f t="shared" si="28"/>
        <v/>
      </c>
      <c r="CJ22" s="6" t="str">
        <f t="shared" si="28"/>
        <v/>
      </c>
      <c r="CK22" s="6" t="str">
        <f t="shared" si="28"/>
        <v/>
      </c>
      <c r="CL22" s="6" t="str">
        <f t="shared" si="28"/>
        <v/>
      </c>
      <c r="CM22" s="6" t="str">
        <f t="shared" si="28"/>
        <v/>
      </c>
      <c r="CN22" s="6" t="str">
        <f t="shared" si="28"/>
        <v/>
      </c>
      <c r="CO22" s="6" t="str">
        <f t="shared" si="28"/>
        <v/>
      </c>
      <c r="CP22" s="6" t="str">
        <f t="shared" si="28"/>
        <v/>
      </c>
      <c r="CQ22" s="6" t="str">
        <f t="shared" ref="CQ22:DD31" si="29">IF(AND(ISNUMBER($C22),ISNUMBER($D22),CQ$1&lt;=$D22,CQ$1+6&gt;=$C22),1,"")</f>
        <v/>
      </c>
      <c r="CR22" s="6" t="str">
        <f t="shared" si="29"/>
        <v/>
      </c>
      <c r="CS22" s="6" t="str">
        <f t="shared" si="29"/>
        <v/>
      </c>
      <c r="CT22" s="6" t="str">
        <f t="shared" si="29"/>
        <v/>
      </c>
      <c r="CU22" s="6" t="str">
        <f t="shared" si="29"/>
        <v/>
      </c>
      <c r="CV22" s="6" t="str">
        <f t="shared" si="29"/>
        <v/>
      </c>
      <c r="CW22" s="6" t="str">
        <f t="shared" si="29"/>
        <v/>
      </c>
      <c r="CX22" s="6" t="str">
        <f t="shared" si="29"/>
        <v/>
      </c>
      <c r="CY22" s="6" t="str">
        <f t="shared" si="29"/>
        <v/>
      </c>
      <c r="CZ22" s="6" t="str">
        <f t="shared" si="29"/>
        <v/>
      </c>
      <c r="DA22" s="6" t="str">
        <f t="shared" si="29"/>
        <v/>
      </c>
      <c r="DB22" s="6" t="str">
        <f t="shared" si="29"/>
        <v/>
      </c>
      <c r="DC22" s="6" t="str">
        <f t="shared" si="29"/>
        <v/>
      </c>
      <c r="DD22" s="6" t="str">
        <f t="shared" si="29"/>
        <v/>
      </c>
    </row>
    <row r="23" spans="1:108" ht="28" customHeight="1" x14ac:dyDescent="0.35">
      <c r="A23" s="24" t="str">
        <f>Schedule!B23</f>
        <v>AI-assisted development discipline</v>
      </c>
      <c r="B23" s="4" t="str">
        <f>Schedule!C23</f>
        <v>Core</v>
      </c>
      <c r="C23" s="3">
        <f>IF(Schedule!P23="","",Schedule!P23)</f>
        <v>46760</v>
      </c>
      <c r="D23" s="3">
        <f>IF(Schedule!Q23="","",Schedule!Q23)</f>
        <v>46767</v>
      </c>
      <c r="E23" s="6" t="str">
        <f t="shared" si="20"/>
        <v/>
      </c>
      <c r="F23" s="6" t="str">
        <f t="shared" si="20"/>
        <v/>
      </c>
      <c r="G23" s="6" t="str">
        <f t="shared" si="20"/>
        <v/>
      </c>
      <c r="H23" s="6" t="str">
        <f t="shared" si="20"/>
        <v/>
      </c>
      <c r="I23" s="6" t="str">
        <f t="shared" si="20"/>
        <v/>
      </c>
      <c r="J23" s="6" t="str">
        <f t="shared" si="20"/>
        <v/>
      </c>
      <c r="K23" s="6" t="str">
        <f t="shared" si="20"/>
        <v/>
      </c>
      <c r="L23" s="6" t="str">
        <f t="shared" si="20"/>
        <v/>
      </c>
      <c r="M23" s="6" t="str">
        <f t="shared" si="20"/>
        <v/>
      </c>
      <c r="N23" s="6" t="str">
        <f t="shared" si="20"/>
        <v/>
      </c>
      <c r="O23" s="6" t="str">
        <f t="shared" si="21"/>
        <v/>
      </c>
      <c r="P23" s="6" t="str">
        <f t="shared" si="21"/>
        <v/>
      </c>
      <c r="Q23" s="6" t="str">
        <f t="shared" si="21"/>
        <v/>
      </c>
      <c r="R23" s="6" t="str">
        <f t="shared" si="21"/>
        <v/>
      </c>
      <c r="S23" s="6" t="str">
        <f t="shared" si="21"/>
        <v/>
      </c>
      <c r="T23" s="6" t="str">
        <f t="shared" si="21"/>
        <v/>
      </c>
      <c r="U23" s="6" t="str">
        <f t="shared" si="21"/>
        <v/>
      </c>
      <c r="V23" s="6" t="str">
        <f t="shared" si="21"/>
        <v/>
      </c>
      <c r="W23" s="6" t="str">
        <f t="shared" si="21"/>
        <v/>
      </c>
      <c r="X23" s="6" t="str">
        <f t="shared" si="21"/>
        <v/>
      </c>
      <c r="Y23" s="6" t="str">
        <f t="shared" si="22"/>
        <v/>
      </c>
      <c r="Z23" s="6" t="str">
        <f t="shared" si="22"/>
        <v/>
      </c>
      <c r="AA23" s="6" t="str">
        <f t="shared" si="22"/>
        <v/>
      </c>
      <c r="AB23" s="6" t="str">
        <f t="shared" si="22"/>
        <v/>
      </c>
      <c r="AC23" s="6" t="str">
        <f t="shared" si="22"/>
        <v/>
      </c>
      <c r="AD23" s="6" t="str">
        <f t="shared" si="22"/>
        <v/>
      </c>
      <c r="AE23" s="6" t="str">
        <f t="shared" si="22"/>
        <v/>
      </c>
      <c r="AF23" s="6" t="str">
        <f t="shared" si="22"/>
        <v/>
      </c>
      <c r="AG23" s="6" t="str">
        <f t="shared" si="22"/>
        <v/>
      </c>
      <c r="AH23" s="6" t="str">
        <f t="shared" si="22"/>
        <v/>
      </c>
      <c r="AI23" s="6" t="str">
        <f t="shared" si="23"/>
        <v/>
      </c>
      <c r="AJ23" s="6" t="str">
        <f t="shared" si="23"/>
        <v/>
      </c>
      <c r="AK23" s="6" t="str">
        <f t="shared" si="23"/>
        <v/>
      </c>
      <c r="AL23" s="6" t="str">
        <f t="shared" si="23"/>
        <v/>
      </c>
      <c r="AM23" s="6" t="str">
        <f t="shared" si="23"/>
        <v/>
      </c>
      <c r="AN23" s="6" t="str">
        <f t="shared" si="23"/>
        <v/>
      </c>
      <c r="AO23" s="6" t="str">
        <f t="shared" si="23"/>
        <v/>
      </c>
      <c r="AP23" s="6" t="str">
        <f t="shared" si="23"/>
        <v/>
      </c>
      <c r="AQ23" s="6" t="str">
        <f t="shared" si="23"/>
        <v/>
      </c>
      <c r="AR23" s="6" t="str">
        <f t="shared" si="23"/>
        <v/>
      </c>
      <c r="AS23" s="6" t="str">
        <f t="shared" si="24"/>
        <v/>
      </c>
      <c r="AT23" s="6" t="str">
        <f t="shared" si="24"/>
        <v/>
      </c>
      <c r="AU23" s="6" t="str">
        <f t="shared" si="24"/>
        <v/>
      </c>
      <c r="AV23" s="6" t="str">
        <f t="shared" si="24"/>
        <v/>
      </c>
      <c r="AW23" s="6" t="str">
        <f t="shared" si="24"/>
        <v/>
      </c>
      <c r="AX23" s="6" t="str">
        <f t="shared" si="24"/>
        <v/>
      </c>
      <c r="AY23" s="6" t="str">
        <f t="shared" si="24"/>
        <v/>
      </c>
      <c r="AZ23" s="6" t="str">
        <f t="shared" si="24"/>
        <v/>
      </c>
      <c r="BA23" s="6" t="str">
        <f t="shared" si="24"/>
        <v/>
      </c>
      <c r="BB23" s="6" t="str">
        <f t="shared" si="24"/>
        <v/>
      </c>
      <c r="BC23" s="6" t="str">
        <f t="shared" si="25"/>
        <v/>
      </c>
      <c r="BD23" s="6" t="str">
        <f t="shared" si="25"/>
        <v/>
      </c>
      <c r="BE23" s="6" t="str">
        <f t="shared" si="25"/>
        <v/>
      </c>
      <c r="BF23" s="6" t="str">
        <f t="shared" si="25"/>
        <v/>
      </c>
      <c r="BG23" s="6" t="str">
        <f t="shared" si="25"/>
        <v/>
      </c>
      <c r="BH23" s="6" t="str">
        <f t="shared" si="25"/>
        <v/>
      </c>
      <c r="BI23" s="6" t="str">
        <f t="shared" si="25"/>
        <v/>
      </c>
      <c r="BJ23" s="6" t="str">
        <f t="shared" si="25"/>
        <v/>
      </c>
      <c r="BK23" s="6" t="str">
        <f t="shared" si="25"/>
        <v/>
      </c>
      <c r="BL23" s="6" t="str">
        <f t="shared" si="25"/>
        <v/>
      </c>
      <c r="BM23" s="6" t="str">
        <f t="shared" si="26"/>
        <v/>
      </c>
      <c r="BN23" s="6" t="str">
        <f t="shared" si="26"/>
        <v/>
      </c>
      <c r="BO23" s="6" t="str">
        <f t="shared" si="26"/>
        <v/>
      </c>
      <c r="BP23" s="6">
        <f t="shared" si="26"/>
        <v>1</v>
      </c>
      <c r="BQ23" s="6">
        <f t="shared" si="26"/>
        <v>1</v>
      </c>
      <c r="BR23" s="6" t="str">
        <f t="shared" si="26"/>
        <v/>
      </c>
      <c r="BS23" s="6" t="str">
        <f t="shared" si="26"/>
        <v/>
      </c>
      <c r="BT23" s="6" t="str">
        <f t="shared" si="26"/>
        <v/>
      </c>
      <c r="BU23" s="6" t="str">
        <f t="shared" si="26"/>
        <v/>
      </c>
      <c r="BV23" s="6" t="str">
        <f t="shared" si="26"/>
        <v/>
      </c>
      <c r="BW23" s="6" t="str">
        <f t="shared" si="27"/>
        <v/>
      </c>
      <c r="BX23" s="6" t="str">
        <f t="shared" si="27"/>
        <v/>
      </c>
      <c r="BY23" s="6" t="str">
        <f t="shared" si="27"/>
        <v/>
      </c>
      <c r="BZ23" s="6" t="str">
        <f t="shared" si="27"/>
        <v/>
      </c>
      <c r="CA23" s="6" t="str">
        <f t="shared" si="27"/>
        <v/>
      </c>
      <c r="CB23" s="6" t="str">
        <f t="shared" si="27"/>
        <v/>
      </c>
      <c r="CC23" s="6" t="str">
        <f t="shared" si="27"/>
        <v/>
      </c>
      <c r="CD23" s="6" t="str">
        <f t="shared" si="27"/>
        <v/>
      </c>
      <c r="CE23" s="6" t="str">
        <f t="shared" si="27"/>
        <v/>
      </c>
      <c r="CF23" s="6" t="str">
        <f t="shared" si="27"/>
        <v/>
      </c>
      <c r="CG23" s="6" t="str">
        <f t="shared" si="28"/>
        <v/>
      </c>
      <c r="CH23" s="6" t="str">
        <f t="shared" si="28"/>
        <v/>
      </c>
      <c r="CI23" s="6" t="str">
        <f t="shared" si="28"/>
        <v/>
      </c>
      <c r="CJ23" s="6" t="str">
        <f t="shared" si="28"/>
        <v/>
      </c>
      <c r="CK23" s="6" t="str">
        <f t="shared" si="28"/>
        <v/>
      </c>
      <c r="CL23" s="6" t="str">
        <f t="shared" si="28"/>
        <v/>
      </c>
      <c r="CM23" s="6" t="str">
        <f t="shared" si="28"/>
        <v/>
      </c>
      <c r="CN23" s="6" t="str">
        <f t="shared" si="28"/>
        <v/>
      </c>
      <c r="CO23" s="6" t="str">
        <f t="shared" si="28"/>
        <v/>
      </c>
      <c r="CP23" s="6" t="str">
        <f t="shared" si="28"/>
        <v/>
      </c>
      <c r="CQ23" s="6" t="str">
        <f t="shared" si="29"/>
        <v/>
      </c>
      <c r="CR23" s="6" t="str">
        <f t="shared" si="29"/>
        <v/>
      </c>
      <c r="CS23" s="6" t="str">
        <f t="shared" si="29"/>
        <v/>
      </c>
      <c r="CT23" s="6" t="str">
        <f t="shared" si="29"/>
        <v/>
      </c>
      <c r="CU23" s="6" t="str">
        <f t="shared" si="29"/>
        <v/>
      </c>
      <c r="CV23" s="6" t="str">
        <f t="shared" si="29"/>
        <v/>
      </c>
      <c r="CW23" s="6" t="str">
        <f t="shared" si="29"/>
        <v/>
      </c>
      <c r="CX23" s="6" t="str">
        <f t="shared" si="29"/>
        <v/>
      </c>
      <c r="CY23" s="6" t="str">
        <f t="shared" si="29"/>
        <v/>
      </c>
      <c r="CZ23" s="6" t="str">
        <f t="shared" si="29"/>
        <v/>
      </c>
      <c r="DA23" s="6" t="str">
        <f t="shared" si="29"/>
        <v/>
      </c>
      <c r="DB23" s="6" t="str">
        <f t="shared" si="29"/>
        <v/>
      </c>
      <c r="DC23" s="6" t="str">
        <f t="shared" si="29"/>
        <v/>
      </c>
      <c r="DD23" s="6" t="str">
        <f t="shared" si="29"/>
        <v/>
      </c>
    </row>
    <row r="24" spans="1:108" ht="28" customHeight="1" x14ac:dyDescent="0.35">
      <c r="A24" s="24" t="str">
        <f>Schedule!B24</f>
        <v>One cloud and container deployment</v>
      </c>
      <c r="B24" s="4" t="str">
        <f>Schedule!C24</f>
        <v>Core</v>
      </c>
      <c r="C24" s="3">
        <f>IF(Schedule!P24="","",Schedule!P24)</f>
        <v>46767</v>
      </c>
      <c r="D24" s="3">
        <f>IF(Schedule!Q24="","",Schedule!Q24)</f>
        <v>46791</v>
      </c>
      <c r="E24" s="6" t="str">
        <f t="shared" si="20"/>
        <v/>
      </c>
      <c r="F24" s="6" t="str">
        <f t="shared" si="20"/>
        <v/>
      </c>
      <c r="G24" s="6" t="str">
        <f t="shared" si="20"/>
        <v/>
      </c>
      <c r="H24" s="6" t="str">
        <f t="shared" si="20"/>
        <v/>
      </c>
      <c r="I24" s="6" t="str">
        <f t="shared" si="20"/>
        <v/>
      </c>
      <c r="J24" s="6" t="str">
        <f t="shared" si="20"/>
        <v/>
      </c>
      <c r="K24" s="6" t="str">
        <f t="shared" si="20"/>
        <v/>
      </c>
      <c r="L24" s="6" t="str">
        <f t="shared" si="20"/>
        <v/>
      </c>
      <c r="M24" s="6" t="str">
        <f t="shared" si="20"/>
        <v/>
      </c>
      <c r="N24" s="6" t="str">
        <f t="shared" si="20"/>
        <v/>
      </c>
      <c r="O24" s="6" t="str">
        <f t="shared" si="21"/>
        <v/>
      </c>
      <c r="P24" s="6" t="str">
        <f t="shared" si="21"/>
        <v/>
      </c>
      <c r="Q24" s="6" t="str">
        <f t="shared" si="21"/>
        <v/>
      </c>
      <c r="R24" s="6" t="str">
        <f t="shared" si="21"/>
        <v/>
      </c>
      <c r="S24" s="6" t="str">
        <f t="shared" si="21"/>
        <v/>
      </c>
      <c r="T24" s="6" t="str">
        <f t="shared" si="21"/>
        <v/>
      </c>
      <c r="U24" s="6" t="str">
        <f t="shared" si="21"/>
        <v/>
      </c>
      <c r="V24" s="6" t="str">
        <f t="shared" si="21"/>
        <v/>
      </c>
      <c r="W24" s="6" t="str">
        <f t="shared" si="21"/>
        <v/>
      </c>
      <c r="X24" s="6" t="str">
        <f t="shared" si="21"/>
        <v/>
      </c>
      <c r="Y24" s="6" t="str">
        <f t="shared" si="22"/>
        <v/>
      </c>
      <c r="Z24" s="6" t="str">
        <f t="shared" si="22"/>
        <v/>
      </c>
      <c r="AA24" s="6" t="str">
        <f t="shared" si="22"/>
        <v/>
      </c>
      <c r="AB24" s="6" t="str">
        <f t="shared" si="22"/>
        <v/>
      </c>
      <c r="AC24" s="6" t="str">
        <f t="shared" si="22"/>
        <v/>
      </c>
      <c r="AD24" s="6" t="str">
        <f t="shared" si="22"/>
        <v/>
      </c>
      <c r="AE24" s="6" t="str">
        <f t="shared" si="22"/>
        <v/>
      </c>
      <c r="AF24" s="6" t="str">
        <f t="shared" si="22"/>
        <v/>
      </c>
      <c r="AG24" s="6" t="str">
        <f t="shared" si="22"/>
        <v/>
      </c>
      <c r="AH24" s="6" t="str">
        <f t="shared" si="22"/>
        <v/>
      </c>
      <c r="AI24" s="6" t="str">
        <f t="shared" si="23"/>
        <v/>
      </c>
      <c r="AJ24" s="6" t="str">
        <f t="shared" si="23"/>
        <v/>
      </c>
      <c r="AK24" s="6" t="str">
        <f t="shared" si="23"/>
        <v/>
      </c>
      <c r="AL24" s="6" t="str">
        <f t="shared" si="23"/>
        <v/>
      </c>
      <c r="AM24" s="6" t="str">
        <f t="shared" si="23"/>
        <v/>
      </c>
      <c r="AN24" s="6" t="str">
        <f t="shared" si="23"/>
        <v/>
      </c>
      <c r="AO24" s="6" t="str">
        <f t="shared" si="23"/>
        <v/>
      </c>
      <c r="AP24" s="6" t="str">
        <f t="shared" si="23"/>
        <v/>
      </c>
      <c r="AQ24" s="6" t="str">
        <f t="shared" si="23"/>
        <v/>
      </c>
      <c r="AR24" s="6" t="str">
        <f t="shared" si="23"/>
        <v/>
      </c>
      <c r="AS24" s="6" t="str">
        <f t="shared" si="24"/>
        <v/>
      </c>
      <c r="AT24" s="6" t="str">
        <f t="shared" si="24"/>
        <v/>
      </c>
      <c r="AU24" s="6" t="str">
        <f t="shared" si="24"/>
        <v/>
      </c>
      <c r="AV24" s="6" t="str">
        <f t="shared" si="24"/>
        <v/>
      </c>
      <c r="AW24" s="6" t="str">
        <f t="shared" si="24"/>
        <v/>
      </c>
      <c r="AX24" s="6" t="str">
        <f t="shared" si="24"/>
        <v/>
      </c>
      <c r="AY24" s="6" t="str">
        <f t="shared" si="24"/>
        <v/>
      </c>
      <c r="AZ24" s="6" t="str">
        <f t="shared" si="24"/>
        <v/>
      </c>
      <c r="BA24" s="6" t="str">
        <f t="shared" si="24"/>
        <v/>
      </c>
      <c r="BB24" s="6" t="str">
        <f t="shared" si="24"/>
        <v/>
      </c>
      <c r="BC24" s="6" t="str">
        <f t="shared" si="25"/>
        <v/>
      </c>
      <c r="BD24" s="6" t="str">
        <f t="shared" si="25"/>
        <v/>
      </c>
      <c r="BE24" s="6" t="str">
        <f t="shared" si="25"/>
        <v/>
      </c>
      <c r="BF24" s="6" t="str">
        <f t="shared" si="25"/>
        <v/>
      </c>
      <c r="BG24" s="6" t="str">
        <f t="shared" si="25"/>
        <v/>
      </c>
      <c r="BH24" s="6" t="str">
        <f t="shared" si="25"/>
        <v/>
      </c>
      <c r="BI24" s="6" t="str">
        <f t="shared" si="25"/>
        <v/>
      </c>
      <c r="BJ24" s="6" t="str">
        <f t="shared" si="25"/>
        <v/>
      </c>
      <c r="BK24" s="6" t="str">
        <f t="shared" si="25"/>
        <v/>
      </c>
      <c r="BL24" s="6" t="str">
        <f t="shared" si="25"/>
        <v/>
      </c>
      <c r="BM24" s="6" t="str">
        <f t="shared" si="26"/>
        <v/>
      </c>
      <c r="BN24" s="6" t="str">
        <f t="shared" si="26"/>
        <v/>
      </c>
      <c r="BO24" s="6" t="str">
        <f t="shared" si="26"/>
        <v/>
      </c>
      <c r="BP24" s="6" t="str">
        <f t="shared" si="26"/>
        <v/>
      </c>
      <c r="BQ24" s="6">
        <f t="shared" si="26"/>
        <v>1</v>
      </c>
      <c r="BR24" s="6">
        <f t="shared" si="26"/>
        <v>1</v>
      </c>
      <c r="BS24" s="6">
        <f t="shared" si="26"/>
        <v>1</v>
      </c>
      <c r="BT24" s="6">
        <f t="shared" si="26"/>
        <v>1</v>
      </c>
      <c r="BU24" s="6" t="str">
        <f t="shared" si="26"/>
        <v/>
      </c>
      <c r="BV24" s="6" t="str">
        <f t="shared" si="26"/>
        <v/>
      </c>
      <c r="BW24" s="6" t="str">
        <f t="shared" si="27"/>
        <v/>
      </c>
      <c r="BX24" s="6" t="str">
        <f t="shared" si="27"/>
        <v/>
      </c>
      <c r="BY24" s="6" t="str">
        <f t="shared" si="27"/>
        <v/>
      </c>
      <c r="BZ24" s="6" t="str">
        <f t="shared" si="27"/>
        <v/>
      </c>
      <c r="CA24" s="6" t="str">
        <f t="shared" si="27"/>
        <v/>
      </c>
      <c r="CB24" s="6" t="str">
        <f t="shared" si="27"/>
        <v/>
      </c>
      <c r="CC24" s="6" t="str">
        <f t="shared" si="27"/>
        <v/>
      </c>
      <c r="CD24" s="6" t="str">
        <f t="shared" si="27"/>
        <v/>
      </c>
      <c r="CE24" s="6" t="str">
        <f t="shared" si="27"/>
        <v/>
      </c>
      <c r="CF24" s="6" t="str">
        <f t="shared" si="27"/>
        <v/>
      </c>
      <c r="CG24" s="6" t="str">
        <f t="shared" si="28"/>
        <v/>
      </c>
      <c r="CH24" s="6" t="str">
        <f t="shared" si="28"/>
        <v/>
      </c>
      <c r="CI24" s="6" t="str">
        <f t="shared" si="28"/>
        <v/>
      </c>
      <c r="CJ24" s="6" t="str">
        <f t="shared" si="28"/>
        <v/>
      </c>
      <c r="CK24" s="6" t="str">
        <f t="shared" si="28"/>
        <v/>
      </c>
      <c r="CL24" s="6" t="str">
        <f t="shared" si="28"/>
        <v/>
      </c>
      <c r="CM24" s="6" t="str">
        <f t="shared" si="28"/>
        <v/>
      </c>
      <c r="CN24" s="6" t="str">
        <f t="shared" si="28"/>
        <v/>
      </c>
      <c r="CO24" s="6" t="str">
        <f t="shared" si="28"/>
        <v/>
      </c>
      <c r="CP24" s="6" t="str">
        <f t="shared" si="28"/>
        <v/>
      </c>
      <c r="CQ24" s="6" t="str">
        <f t="shared" si="29"/>
        <v/>
      </c>
      <c r="CR24" s="6" t="str">
        <f t="shared" si="29"/>
        <v/>
      </c>
      <c r="CS24" s="6" t="str">
        <f t="shared" si="29"/>
        <v/>
      </c>
      <c r="CT24" s="6" t="str">
        <f t="shared" si="29"/>
        <v/>
      </c>
      <c r="CU24" s="6" t="str">
        <f t="shared" si="29"/>
        <v/>
      </c>
      <c r="CV24" s="6" t="str">
        <f t="shared" si="29"/>
        <v/>
      </c>
      <c r="CW24" s="6" t="str">
        <f t="shared" si="29"/>
        <v/>
      </c>
      <c r="CX24" s="6" t="str">
        <f t="shared" si="29"/>
        <v/>
      </c>
      <c r="CY24" s="6" t="str">
        <f t="shared" si="29"/>
        <v/>
      </c>
      <c r="CZ24" s="6" t="str">
        <f t="shared" si="29"/>
        <v/>
      </c>
      <c r="DA24" s="6" t="str">
        <f t="shared" si="29"/>
        <v/>
      </c>
      <c r="DB24" s="6" t="str">
        <f t="shared" si="29"/>
        <v/>
      </c>
      <c r="DC24" s="6" t="str">
        <f t="shared" si="29"/>
        <v/>
      </c>
      <c r="DD24" s="6" t="str">
        <f t="shared" si="29"/>
        <v/>
      </c>
    </row>
    <row r="25" spans="1:108" ht="28" customHeight="1" x14ac:dyDescent="0.35">
      <c r="A25" s="24" t="str">
        <f>Schedule!B25</f>
        <v>Infrastructure as code and release workflow</v>
      </c>
      <c r="B25" s="4" t="str">
        <f>Schedule!C25</f>
        <v>Core</v>
      </c>
      <c r="C25" s="3">
        <f>IF(Schedule!P25="","",Schedule!P25)</f>
        <v>46791</v>
      </c>
      <c r="D25" s="3">
        <f>IF(Schedule!Q25="","",Schedule!Q25)</f>
        <v>46813</v>
      </c>
      <c r="E25" s="6" t="str">
        <f t="shared" si="20"/>
        <v/>
      </c>
      <c r="F25" s="6" t="str">
        <f t="shared" si="20"/>
        <v/>
      </c>
      <c r="G25" s="6" t="str">
        <f t="shared" si="20"/>
        <v/>
      </c>
      <c r="H25" s="6" t="str">
        <f t="shared" si="20"/>
        <v/>
      </c>
      <c r="I25" s="6" t="str">
        <f t="shared" si="20"/>
        <v/>
      </c>
      <c r="J25" s="6" t="str">
        <f t="shared" si="20"/>
        <v/>
      </c>
      <c r="K25" s="6" t="str">
        <f t="shared" si="20"/>
        <v/>
      </c>
      <c r="L25" s="6" t="str">
        <f t="shared" si="20"/>
        <v/>
      </c>
      <c r="M25" s="6" t="str">
        <f t="shared" si="20"/>
        <v/>
      </c>
      <c r="N25" s="6" t="str">
        <f t="shared" si="20"/>
        <v/>
      </c>
      <c r="O25" s="6" t="str">
        <f t="shared" si="21"/>
        <v/>
      </c>
      <c r="P25" s="6" t="str">
        <f t="shared" si="21"/>
        <v/>
      </c>
      <c r="Q25" s="6" t="str">
        <f t="shared" si="21"/>
        <v/>
      </c>
      <c r="R25" s="6" t="str">
        <f t="shared" si="21"/>
        <v/>
      </c>
      <c r="S25" s="6" t="str">
        <f t="shared" si="21"/>
        <v/>
      </c>
      <c r="T25" s="6" t="str">
        <f t="shared" si="21"/>
        <v/>
      </c>
      <c r="U25" s="6" t="str">
        <f t="shared" si="21"/>
        <v/>
      </c>
      <c r="V25" s="6" t="str">
        <f t="shared" si="21"/>
        <v/>
      </c>
      <c r="W25" s="6" t="str">
        <f t="shared" si="21"/>
        <v/>
      </c>
      <c r="X25" s="6" t="str">
        <f t="shared" si="21"/>
        <v/>
      </c>
      <c r="Y25" s="6" t="str">
        <f t="shared" si="22"/>
        <v/>
      </c>
      <c r="Z25" s="6" t="str">
        <f t="shared" si="22"/>
        <v/>
      </c>
      <c r="AA25" s="6" t="str">
        <f t="shared" si="22"/>
        <v/>
      </c>
      <c r="AB25" s="6" t="str">
        <f t="shared" si="22"/>
        <v/>
      </c>
      <c r="AC25" s="6" t="str">
        <f t="shared" si="22"/>
        <v/>
      </c>
      <c r="AD25" s="6" t="str">
        <f t="shared" si="22"/>
        <v/>
      </c>
      <c r="AE25" s="6" t="str">
        <f t="shared" si="22"/>
        <v/>
      </c>
      <c r="AF25" s="6" t="str">
        <f t="shared" si="22"/>
        <v/>
      </c>
      <c r="AG25" s="6" t="str">
        <f t="shared" si="22"/>
        <v/>
      </c>
      <c r="AH25" s="6" t="str">
        <f t="shared" si="22"/>
        <v/>
      </c>
      <c r="AI25" s="6" t="str">
        <f t="shared" si="23"/>
        <v/>
      </c>
      <c r="AJ25" s="6" t="str">
        <f t="shared" si="23"/>
        <v/>
      </c>
      <c r="AK25" s="6" t="str">
        <f t="shared" si="23"/>
        <v/>
      </c>
      <c r="AL25" s="6" t="str">
        <f t="shared" si="23"/>
        <v/>
      </c>
      <c r="AM25" s="6" t="str">
        <f t="shared" si="23"/>
        <v/>
      </c>
      <c r="AN25" s="6" t="str">
        <f t="shared" si="23"/>
        <v/>
      </c>
      <c r="AO25" s="6" t="str">
        <f t="shared" si="23"/>
        <v/>
      </c>
      <c r="AP25" s="6" t="str">
        <f t="shared" si="23"/>
        <v/>
      </c>
      <c r="AQ25" s="6" t="str">
        <f t="shared" si="23"/>
        <v/>
      </c>
      <c r="AR25" s="6" t="str">
        <f t="shared" si="23"/>
        <v/>
      </c>
      <c r="AS25" s="6" t="str">
        <f t="shared" si="24"/>
        <v/>
      </c>
      <c r="AT25" s="6" t="str">
        <f t="shared" si="24"/>
        <v/>
      </c>
      <c r="AU25" s="6" t="str">
        <f t="shared" si="24"/>
        <v/>
      </c>
      <c r="AV25" s="6" t="str">
        <f t="shared" si="24"/>
        <v/>
      </c>
      <c r="AW25" s="6" t="str">
        <f t="shared" si="24"/>
        <v/>
      </c>
      <c r="AX25" s="6" t="str">
        <f t="shared" si="24"/>
        <v/>
      </c>
      <c r="AY25" s="6" t="str">
        <f t="shared" si="24"/>
        <v/>
      </c>
      <c r="AZ25" s="6" t="str">
        <f t="shared" si="24"/>
        <v/>
      </c>
      <c r="BA25" s="6" t="str">
        <f t="shared" si="24"/>
        <v/>
      </c>
      <c r="BB25" s="6" t="str">
        <f t="shared" si="24"/>
        <v/>
      </c>
      <c r="BC25" s="6" t="str">
        <f t="shared" si="25"/>
        <v/>
      </c>
      <c r="BD25" s="6" t="str">
        <f t="shared" si="25"/>
        <v/>
      </c>
      <c r="BE25" s="6" t="str">
        <f t="shared" si="25"/>
        <v/>
      </c>
      <c r="BF25" s="6" t="str">
        <f t="shared" si="25"/>
        <v/>
      </c>
      <c r="BG25" s="6" t="str">
        <f t="shared" si="25"/>
        <v/>
      </c>
      <c r="BH25" s="6" t="str">
        <f t="shared" si="25"/>
        <v/>
      </c>
      <c r="BI25" s="6" t="str">
        <f t="shared" si="25"/>
        <v/>
      </c>
      <c r="BJ25" s="6" t="str">
        <f t="shared" si="25"/>
        <v/>
      </c>
      <c r="BK25" s="6" t="str">
        <f t="shared" si="25"/>
        <v/>
      </c>
      <c r="BL25" s="6" t="str">
        <f t="shared" si="25"/>
        <v/>
      </c>
      <c r="BM25" s="6" t="str">
        <f t="shared" si="26"/>
        <v/>
      </c>
      <c r="BN25" s="6" t="str">
        <f t="shared" si="26"/>
        <v/>
      </c>
      <c r="BO25" s="6" t="str">
        <f t="shared" si="26"/>
        <v/>
      </c>
      <c r="BP25" s="6" t="str">
        <f t="shared" si="26"/>
        <v/>
      </c>
      <c r="BQ25" s="6" t="str">
        <f t="shared" si="26"/>
        <v/>
      </c>
      <c r="BR25" s="6" t="str">
        <f t="shared" si="26"/>
        <v/>
      </c>
      <c r="BS25" s="6" t="str">
        <f t="shared" si="26"/>
        <v/>
      </c>
      <c r="BT25" s="6">
        <f t="shared" si="26"/>
        <v>1</v>
      </c>
      <c r="BU25" s="6">
        <f t="shared" si="26"/>
        <v>1</v>
      </c>
      <c r="BV25" s="6">
        <f t="shared" si="26"/>
        <v>1</v>
      </c>
      <c r="BW25" s="6">
        <f t="shared" si="27"/>
        <v>1</v>
      </c>
      <c r="BX25" s="6" t="str">
        <f t="shared" si="27"/>
        <v/>
      </c>
      <c r="BY25" s="6" t="str">
        <f t="shared" si="27"/>
        <v/>
      </c>
      <c r="BZ25" s="6" t="str">
        <f t="shared" si="27"/>
        <v/>
      </c>
      <c r="CA25" s="6" t="str">
        <f t="shared" si="27"/>
        <v/>
      </c>
      <c r="CB25" s="6" t="str">
        <f t="shared" si="27"/>
        <v/>
      </c>
      <c r="CC25" s="6" t="str">
        <f t="shared" si="27"/>
        <v/>
      </c>
      <c r="CD25" s="6" t="str">
        <f t="shared" si="27"/>
        <v/>
      </c>
      <c r="CE25" s="6" t="str">
        <f t="shared" si="27"/>
        <v/>
      </c>
      <c r="CF25" s="6" t="str">
        <f t="shared" si="27"/>
        <v/>
      </c>
      <c r="CG25" s="6" t="str">
        <f t="shared" si="28"/>
        <v/>
      </c>
      <c r="CH25" s="6" t="str">
        <f t="shared" si="28"/>
        <v/>
      </c>
      <c r="CI25" s="6" t="str">
        <f t="shared" si="28"/>
        <v/>
      </c>
      <c r="CJ25" s="6" t="str">
        <f t="shared" si="28"/>
        <v/>
      </c>
      <c r="CK25" s="6" t="str">
        <f t="shared" si="28"/>
        <v/>
      </c>
      <c r="CL25" s="6" t="str">
        <f t="shared" si="28"/>
        <v/>
      </c>
      <c r="CM25" s="6" t="str">
        <f t="shared" si="28"/>
        <v/>
      </c>
      <c r="CN25" s="6" t="str">
        <f t="shared" si="28"/>
        <v/>
      </c>
      <c r="CO25" s="6" t="str">
        <f t="shared" si="28"/>
        <v/>
      </c>
      <c r="CP25" s="6" t="str">
        <f t="shared" si="28"/>
        <v/>
      </c>
      <c r="CQ25" s="6" t="str">
        <f t="shared" si="29"/>
        <v/>
      </c>
      <c r="CR25" s="6" t="str">
        <f t="shared" si="29"/>
        <v/>
      </c>
      <c r="CS25" s="6" t="str">
        <f t="shared" si="29"/>
        <v/>
      </c>
      <c r="CT25" s="6" t="str">
        <f t="shared" si="29"/>
        <v/>
      </c>
      <c r="CU25" s="6" t="str">
        <f t="shared" si="29"/>
        <v/>
      </c>
      <c r="CV25" s="6" t="str">
        <f t="shared" si="29"/>
        <v/>
      </c>
      <c r="CW25" s="6" t="str">
        <f t="shared" si="29"/>
        <v/>
      </c>
      <c r="CX25" s="6" t="str">
        <f t="shared" si="29"/>
        <v/>
      </c>
      <c r="CY25" s="6" t="str">
        <f t="shared" si="29"/>
        <v/>
      </c>
      <c r="CZ25" s="6" t="str">
        <f t="shared" si="29"/>
        <v/>
      </c>
      <c r="DA25" s="6" t="str">
        <f t="shared" si="29"/>
        <v/>
      </c>
      <c r="DB25" s="6" t="str">
        <f t="shared" si="29"/>
        <v/>
      </c>
      <c r="DC25" s="6" t="str">
        <f t="shared" si="29"/>
        <v/>
      </c>
      <c r="DD25" s="6" t="str">
        <f t="shared" si="29"/>
        <v/>
      </c>
    </row>
    <row r="26" spans="1:108" ht="28" customHeight="1" x14ac:dyDescent="0.35">
      <c r="A26" s="24" t="str">
        <f>Schedule!B26</f>
        <v>Observability and inference measurement</v>
      </c>
      <c r="B26" s="4" t="str">
        <f>Schedule!C26</f>
        <v>Core</v>
      </c>
      <c r="C26" s="3">
        <f>IF(Schedule!P26="","",Schedule!P26)</f>
        <v>46813</v>
      </c>
      <c r="D26" s="3">
        <f>IF(Schedule!Q26="","",Schedule!Q26)</f>
        <v>46835</v>
      </c>
      <c r="E26" s="6" t="str">
        <f t="shared" si="20"/>
        <v/>
      </c>
      <c r="F26" s="6" t="str">
        <f t="shared" si="20"/>
        <v/>
      </c>
      <c r="G26" s="6" t="str">
        <f t="shared" si="20"/>
        <v/>
      </c>
      <c r="H26" s="6" t="str">
        <f t="shared" si="20"/>
        <v/>
      </c>
      <c r="I26" s="6" t="str">
        <f t="shared" si="20"/>
        <v/>
      </c>
      <c r="J26" s="6" t="str">
        <f t="shared" si="20"/>
        <v/>
      </c>
      <c r="K26" s="6" t="str">
        <f t="shared" si="20"/>
        <v/>
      </c>
      <c r="L26" s="6" t="str">
        <f t="shared" si="20"/>
        <v/>
      </c>
      <c r="M26" s="6" t="str">
        <f t="shared" si="20"/>
        <v/>
      </c>
      <c r="N26" s="6" t="str">
        <f t="shared" si="20"/>
        <v/>
      </c>
      <c r="O26" s="6" t="str">
        <f t="shared" si="21"/>
        <v/>
      </c>
      <c r="P26" s="6" t="str">
        <f t="shared" si="21"/>
        <v/>
      </c>
      <c r="Q26" s="6" t="str">
        <f t="shared" si="21"/>
        <v/>
      </c>
      <c r="R26" s="6" t="str">
        <f t="shared" si="21"/>
        <v/>
      </c>
      <c r="S26" s="6" t="str">
        <f t="shared" si="21"/>
        <v/>
      </c>
      <c r="T26" s="6" t="str">
        <f t="shared" si="21"/>
        <v/>
      </c>
      <c r="U26" s="6" t="str">
        <f t="shared" si="21"/>
        <v/>
      </c>
      <c r="V26" s="6" t="str">
        <f t="shared" si="21"/>
        <v/>
      </c>
      <c r="W26" s="6" t="str">
        <f t="shared" si="21"/>
        <v/>
      </c>
      <c r="X26" s="6" t="str">
        <f t="shared" si="21"/>
        <v/>
      </c>
      <c r="Y26" s="6" t="str">
        <f t="shared" si="22"/>
        <v/>
      </c>
      <c r="Z26" s="6" t="str">
        <f t="shared" si="22"/>
        <v/>
      </c>
      <c r="AA26" s="6" t="str">
        <f t="shared" si="22"/>
        <v/>
      </c>
      <c r="AB26" s="6" t="str">
        <f t="shared" si="22"/>
        <v/>
      </c>
      <c r="AC26" s="6" t="str">
        <f t="shared" si="22"/>
        <v/>
      </c>
      <c r="AD26" s="6" t="str">
        <f t="shared" si="22"/>
        <v/>
      </c>
      <c r="AE26" s="6" t="str">
        <f t="shared" si="22"/>
        <v/>
      </c>
      <c r="AF26" s="6" t="str">
        <f t="shared" si="22"/>
        <v/>
      </c>
      <c r="AG26" s="6" t="str">
        <f t="shared" si="22"/>
        <v/>
      </c>
      <c r="AH26" s="6" t="str">
        <f t="shared" si="22"/>
        <v/>
      </c>
      <c r="AI26" s="6" t="str">
        <f t="shared" si="23"/>
        <v/>
      </c>
      <c r="AJ26" s="6" t="str">
        <f t="shared" si="23"/>
        <v/>
      </c>
      <c r="AK26" s="6" t="str">
        <f t="shared" si="23"/>
        <v/>
      </c>
      <c r="AL26" s="6" t="str">
        <f t="shared" si="23"/>
        <v/>
      </c>
      <c r="AM26" s="6" t="str">
        <f t="shared" si="23"/>
        <v/>
      </c>
      <c r="AN26" s="6" t="str">
        <f t="shared" si="23"/>
        <v/>
      </c>
      <c r="AO26" s="6" t="str">
        <f t="shared" si="23"/>
        <v/>
      </c>
      <c r="AP26" s="6" t="str">
        <f t="shared" si="23"/>
        <v/>
      </c>
      <c r="AQ26" s="6" t="str">
        <f t="shared" si="23"/>
        <v/>
      </c>
      <c r="AR26" s="6" t="str">
        <f t="shared" si="23"/>
        <v/>
      </c>
      <c r="AS26" s="6" t="str">
        <f t="shared" si="24"/>
        <v/>
      </c>
      <c r="AT26" s="6" t="str">
        <f t="shared" si="24"/>
        <v/>
      </c>
      <c r="AU26" s="6" t="str">
        <f t="shared" si="24"/>
        <v/>
      </c>
      <c r="AV26" s="6" t="str">
        <f t="shared" si="24"/>
        <v/>
      </c>
      <c r="AW26" s="6" t="str">
        <f t="shared" si="24"/>
        <v/>
      </c>
      <c r="AX26" s="6" t="str">
        <f t="shared" si="24"/>
        <v/>
      </c>
      <c r="AY26" s="6" t="str">
        <f t="shared" si="24"/>
        <v/>
      </c>
      <c r="AZ26" s="6" t="str">
        <f t="shared" si="24"/>
        <v/>
      </c>
      <c r="BA26" s="6" t="str">
        <f t="shared" si="24"/>
        <v/>
      </c>
      <c r="BB26" s="6" t="str">
        <f t="shared" si="24"/>
        <v/>
      </c>
      <c r="BC26" s="6" t="str">
        <f t="shared" si="25"/>
        <v/>
      </c>
      <c r="BD26" s="6" t="str">
        <f t="shared" si="25"/>
        <v/>
      </c>
      <c r="BE26" s="6" t="str">
        <f t="shared" si="25"/>
        <v/>
      </c>
      <c r="BF26" s="6" t="str">
        <f t="shared" si="25"/>
        <v/>
      </c>
      <c r="BG26" s="6" t="str">
        <f t="shared" si="25"/>
        <v/>
      </c>
      <c r="BH26" s="6" t="str">
        <f t="shared" si="25"/>
        <v/>
      </c>
      <c r="BI26" s="6" t="str">
        <f t="shared" si="25"/>
        <v/>
      </c>
      <c r="BJ26" s="6" t="str">
        <f t="shared" si="25"/>
        <v/>
      </c>
      <c r="BK26" s="6" t="str">
        <f t="shared" si="25"/>
        <v/>
      </c>
      <c r="BL26" s="6" t="str">
        <f t="shared" si="25"/>
        <v/>
      </c>
      <c r="BM26" s="6" t="str">
        <f t="shared" si="26"/>
        <v/>
      </c>
      <c r="BN26" s="6" t="str">
        <f t="shared" si="26"/>
        <v/>
      </c>
      <c r="BO26" s="6" t="str">
        <f t="shared" si="26"/>
        <v/>
      </c>
      <c r="BP26" s="6" t="str">
        <f t="shared" si="26"/>
        <v/>
      </c>
      <c r="BQ26" s="6" t="str">
        <f t="shared" si="26"/>
        <v/>
      </c>
      <c r="BR26" s="6" t="str">
        <f t="shared" si="26"/>
        <v/>
      </c>
      <c r="BS26" s="6" t="str">
        <f t="shared" si="26"/>
        <v/>
      </c>
      <c r="BT26" s="6" t="str">
        <f t="shared" si="26"/>
        <v/>
      </c>
      <c r="BU26" s="6" t="str">
        <f t="shared" si="26"/>
        <v/>
      </c>
      <c r="BV26" s="6" t="str">
        <f t="shared" si="26"/>
        <v/>
      </c>
      <c r="BW26" s="6">
        <f t="shared" si="27"/>
        <v>1</v>
      </c>
      <c r="BX26" s="6">
        <f t="shared" si="27"/>
        <v>1</v>
      </c>
      <c r="BY26" s="6">
        <f t="shared" si="27"/>
        <v>1</v>
      </c>
      <c r="BZ26" s="6">
        <f t="shared" si="27"/>
        <v>1</v>
      </c>
      <c r="CA26" s="6" t="str">
        <f t="shared" si="27"/>
        <v/>
      </c>
      <c r="CB26" s="6" t="str">
        <f t="shared" si="27"/>
        <v/>
      </c>
      <c r="CC26" s="6" t="str">
        <f t="shared" si="27"/>
        <v/>
      </c>
      <c r="CD26" s="6" t="str">
        <f t="shared" si="27"/>
        <v/>
      </c>
      <c r="CE26" s="6" t="str">
        <f t="shared" si="27"/>
        <v/>
      </c>
      <c r="CF26" s="6" t="str">
        <f t="shared" si="27"/>
        <v/>
      </c>
      <c r="CG26" s="6" t="str">
        <f t="shared" si="28"/>
        <v/>
      </c>
      <c r="CH26" s="6" t="str">
        <f t="shared" si="28"/>
        <v/>
      </c>
      <c r="CI26" s="6" t="str">
        <f t="shared" si="28"/>
        <v/>
      </c>
      <c r="CJ26" s="6" t="str">
        <f t="shared" si="28"/>
        <v/>
      </c>
      <c r="CK26" s="6" t="str">
        <f t="shared" si="28"/>
        <v/>
      </c>
      <c r="CL26" s="6" t="str">
        <f t="shared" si="28"/>
        <v/>
      </c>
      <c r="CM26" s="6" t="str">
        <f t="shared" si="28"/>
        <v/>
      </c>
      <c r="CN26" s="6" t="str">
        <f t="shared" si="28"/>
        <v/>
      </c>
      <c r="CO26" s="6" t="str">
        <f t="shared" si="28"/>
        <v/>
      </c>
      <c r="CP26" s="6" t="str">
        <f t="shared" si="28"/>
        <v/>
      </c>
      <c r="CQ26" s="6" t="str">
        <f t="shared" si="29"/>
        <v/>
      </c>
      <c r="CR26" s="6" t="str">
        <f t="shared" si="29"/>
        <v/>
      </c>
      <c r="CS26" s="6" t="str">
        <f t="shared" si="29"/>
        <v/>
      </c>
      <c r="CT26" s="6" t="str">
        <f t="shared" si="29"/>
        <v/>
      </c>
      <c r="CU26" s="6" t="str">
        <f t="shared" si="29"/>
        <v/>
      </c>
      <c r="CV26" s="6" t="str">
        <f t="shared" si="29"/>
        <v/>
      </c>
      <c r="CW26" s="6" t="str">
        <f t="shared" si="29"/>
        <v/>
      </c>
      <c r="CX26" s="6" t="str">
        <f t="shared" si="29"/>
        <v/>
      </c>
      <c r="CY26" s="6" t="str">
        <f t="shared" si="29"/>
        <v/>
      </c>
      <c r="CZ26" s="6" t="str">
        <f t="shared" si="29"/>
        <v/>
      </c>
      <c r="DA26" s="6" t="str">
        <f t="shared" si="29"/>
        <v/>
      </c>
      <c r="DB26" s="6" t="str">
        <f t="shared" si="29"/>
        <v/>
      </c>
      <c r="DC26" s="6" t="str">
        <f t="shared" si="29"/>
        <v/>
      </c>
      <c r="DD26" s="6" t="str">
        <f t="shared" si="29"/>
        <v/>
      </c>
    </row>
    <row r="27" spans="1:108" ht="28" customHeight="1" x14ac:dyDescent="0.35">
      <c r="A27" s="24" t="str">
        <f>Schedule!B27</f>
        <v>Model and application release lifecycle</v>
      </c>
      <c r="B27" s="4" t="str">
        <f>Schedule!C27</f>
        <v>Core</v>
      </c>
      <c r="C27" s="3">
        <f>IF(Schedule!P27="","",Schedule!P27)</f>
        <v>46835</v>
      </c>
      <c r="D27" s="3">
        <f>IF(Schedule!Q27="","",Schedule!Q27)</f>
        <v>46848</v>
      </c>
      <c r="E27" s="6" t="str">
        <f t="shared" si="20"/>
        <v/>
      </c>
      <c r="F27" s="6" t="str">
        <f t="shared" si="20"/>
        <v/>
      </c>
      <c r="G27" s="6" t="str">
        <f t="shared" si="20"/>
        <v/>
      </c>
      <c r="H27" s="6" t="str">
        <f t="shared" si="20"/>
        <v/>
      </c>
      <c r="I27" s="6" t="str">
        <f t="shared" si="20"/>
        <v/>
      </c>
      <c r="J27" s="6" t="str">
        <f t="shared" si="20"/>
        <v/>
      </c>
      <c r="K27" s="6" t="str">
        <f t="shared" si="20"/>
        <v/>
      </c>
      <c r="L27" s="6" t="str">
        <f t="shared" si="20"/>
        <v/>
      </c>
      <c r="M27" s="6" t="str">
        <f t="shared" si="20"/>
        <v/>
      </c>
      <c r="N27" s="6" t="str">
        <f t="shared" si="20"/>
        <v/>
      </c>
      <c r="O27" s="6" t="str">
        <f t="shared" si="21"/>
        <v/>
      </c>
      <c r="P27" s="6" t="str">
        <f t="shared" si="21"/>
        <v/>
      </c>
      <c r="Q27" s="6" t="str">
        <f t="shared" si="21"/>
        <v/>
      </c>
      <c r="R27" s="6" t="str">
        <f t="shared" si="21"/>
        <v/>
      </c>
      <c r="S27" s="6" t="str">
        <f t="shared" si="21"/>
        <v/>
      </c>
      <c r="T27" s="6" t="str">
        <f t="shared" si="21"/>
        <v/>
      </c>
      <c r="U27" s="6" t="str">
        <f t="shared" si="21"/>
        <v/>
      </c>
      <c r="V27" s="6" t="str">
        <f t="shared" si="21"/>
        <v/>
      </c>
      <c r="W27" s="6" t="str">
        <f t="shared" si="21"/>
        <v/>
      </c>
      <c r="X27" s="6" t="str">
        <f t="shared" si="21"/>
        <v/>
      </c>
      <c r="Y27" s="6" t="str">
        <f t="shared" si="22"/>
        <v/>
      </c>
      <c r="Z27" s="6" t="str">
        <f t="shared" si="22"/>
        <v/>
      </c>
      <c r="AA27" s="6" t="str">
        <f t="shared" si="22"/>
        <v/>
      </c>
      <c r="AB27" s="6" t="str">
        <f t="shared" si="22"/>
        <v/>
      </c>
      <c r="AC27" s="6" t="str">
        <f t="shared" si="22"/>
        <v/>
      </c>
      <c r="AD27" s="6" t="str">
        <f t="shared" si="22"/>
        <v/>
      </c>
      <c r="AE27" s="6" t="str">
        <f t="shared" si="22"/>
        <v/>
      </c>
      <c r="AF27" s="6" t="str">
        <f t="shared" si="22"/>
        <v/>
      </c>
      <c r="AG27" s="6" t="str">
        <f t="shared" si="22"/>
        <v/>
      </c>
      <c r="AH27" s="6" t="str">
        <f t="shared" si="22"/>
        <v/>
      </c>
      <c r="AI27" s="6" t="str">
        <f t="shared" si="23"/>
        <v/>
      </c>
      <c r="AJ27" s="6" t="str">
        <f t="shared" si="23"/>
        <v/>
      </c>
      <c r="AK27" s="6" t="str">
        <f t="shared" si="23"/>
        <v/>
      </c>
      <c r="AL27" s="6" t="str">
        <f t="shared" si="23"/>
        <v/>
      </c>
      <c r="AM27" s="6" t="str">
        <f t="shared" si="23"/>
        <v/>
      </c>
      <c r="AN27" s="6" t="str">
        <f t="shared" si="23"/>
        <v/>
      </c>
      <c r="AO27" s="6" t="str">
        <f t="shared" si="23"/>
        <v/>
      </c>
      <c r="AP27" s="6" t="str">
        <f t="shared" si="23"/>
        <v/>
      </c>
      <c r="AQ27" s="6" t="str">
        <f t="shared" si="23"/>
        <v/>
      </c>
      <c r="AR27" s="6" t="str">
        <f t="shared" si="23"/>
        <v/>
      </c>
      <c r="AS27" s="6" t="str">
        <f t="shared" si="24"/>
        <v/>
      </c>
      <c r="AT27" s="6" t="str">
        <f t="shared" si="24"/>
        <v/>
      </c>
      <c r="AU27" s="6" t="str">
        <f t="shared" si="24"/>
        <v/>
      </c>
      <c r="AV27" s="6" t="str">
        <f t="shared" si="24"/>
        <v/>
      </c>
      <c r="AW27" s="6" t="str">
        <f t="shared" si="24"/>
        <v/>
      </c>
      <c r="AX27" s="6" t="str">
        <f t="shared" si="24"/>
        <v/>
      </c>
      <c r="AY27" s="6" t="str">
        <f t="shared" si="24"/>
        <v/>
      </c>
      <c r="AZ27" s="6" t="str">
        <f t="shared" si="24"/>
        <v/>
      </c>
      <c r="BA27" s="6" t="str">
        <f t="shared" si="24"/>
        <v/>
      </c>
      <c r="BB27" s="6" t="str">
        <f t="shared" si="24"/>
        <v/>
      </c>
      <c r="BC27" s="6" t="str">
        <f t="shared" si="25"/>
        <v/>
      </c>
      <c r="BD27" s="6" t="str">
        <f t="shared" si="25"/>
        <v/>
      </c>
      <c r="BE27" s="6" t="str">
        <f t="shared" si="25"/>
        <v/>
      </c>
      <c r="BF27" s="6" t="str">
        <f t="shared" si="25"/>
        <v/>
      </c>
      <c r="BG27" s="6" t="str">
        <f t="shared" si="25"/>
        <v/>
      </c>
      <c r="BH27" s="6" t="str">
        <f t="shared" si="25"/>
        <v/>
      </c>
      <c r="BI27" s="6" t="str">
        <f t="shared" si="25"/>
        <v/>
      </c>
      <c r="BJ27" s="6" t="str">
        <f t="shared" si="25"/>
        <v/>
      </c>
      <c r="BK27" s="6" t="str">
        <f t="shared" si="25"/>
        <v/>
      </c>
      <c r="BL27" s="6" t="str">
        <f t="shared" si="25"/>
        <v/>
      </c>
      <c r="BM27" s="6" t="str">
        <f t="shared" si="26"/>
        <v/>
      </c>
      <c r="BN27" s="6" t="str">
        <f t="shared" si="26"/>
        <v/>
      </c>
      <c r="BO27" s="6" t="str">
        <f t="shared" si="26"/>
        <v/>
      </c>
      <c r="BP27" s="6" t="str">
        <f t="shared" si="26"/>
        <v/>
      </c>
      <c r="BQ27" s="6" t="str">
        <f t="shared" si="26"/>
        <v/>
      </c>
      <c r="BR27" s="6" t="str">
        <f t="shared" si="26"/>
        <v/>
      </c>
      <c r="BS27" s="6" t="str">
        <f t="shared" si="26"/>
        <v/>
      </c>
      <c r="BT27" s="6" t="str">
        <f t="shared" si="26"/>
        <v/>
      </c>
      <c r="BU27" s="6" t="str">
        <f t="shared" si="26"/>
        <v/>
      </c>
      <c r="BV27" s="6" t="str">
        <f t="shared" si="26"/>
        <v/>
      </c>
      <c r="BW27" s="6" t="str">
        <f t="shared" si="27"/>
        <v/>
      </c>
      <c r="BX27" s="6" t="str">
        <f t="shared" si="27"/>
        <v/>
      </c>
      <c r="BY27" s="6" t="str">
        <f t="shared" si="27"/>
        <v/>
      </c>
      <c r="BZ27" s="6">
        <f t="shared" si="27"/>
        <v>1</v>
      </c>
      <c r="CA27" s="6">
        <f t="shared" si="27"/>
        <v>1</v>
      </c>
      <c r="CB27" s="6">
        <f t="shared" si="27"/>
        <v>1</v>
      </c>
      <c r="CC27" s="6" t="str">
        <f t="shared" si="27"/>
        <v/>
      </c>
      <c r="CD27" s="6" t="str">
        <f t="shared" si="27"/>
        <v/>
      </c>
      <c r="CE27" s="6" t="str">
        <f t="shared" si="27"/>
        <v/>
      </c>
      <c r="CF27" s="6" t="str">
        <f t="shared" si="27"/>
        <v/>
      </c>
      <c r="CG27" s="6" t="str">
        <f t="shared" si="28"/>
        <v/>
      </c>
      <c r="CH27" s="6" t="str">
        <f t="shared" si="28"/>
        <v/>
      </c>
      <c r="CI27" s="6" t="str">
        <f t="shared" si="28"/>
        <v/>
      </c>
      <c r="CJ27" s="6" t="str">
        <f t="shared" si="28"/>
        <v/>
      </c>
      <c r="CK27" s="6" t="str">
        <f t="shared" si="28"/>
        <v/>
      </c>
      <c r="CL27" s="6" t="str">
        <f t="shared" si="28"/>
        <v/>
      </c>
      <c r="CM27" s="6" t="str">
        <f t="shared" si="28"/>
        <v/>
      </c>
      <c r="CN27" s="6" t="str">
        <f t="shared" si="28"/>
        <v/>
      </c>
      <c r="CO27" s="6" t="str">
        <f t="shared" si="28"/>
        <v/>
      </c>
      <c r="CP27" s="6" t="str">
        <f t="shared" si="28"/>
        <v/>
      </c>
      <c r="CQ27" s="6" t="str">
        <f t="shared" si="29"/>
        <v/>
      </c>
      <c r="CR27" s="6" t="str">
        <f t="shared" si="29"/>
        <v/>
      </c>
      <c r="CS27" s="6" t="str">
        <f t="shared" si="29"/>
        <v/>
      </c>
      <c r="CT27" s="6" t="str">
        <f t="shared" si="29"/>
        <v/>
      </c>
      <c r="CU27" s="6" t="str">
        <f t="shared" si="29"/>
        <v/>
      </c>
      <c r="CV27" s="6" t="str">
        <f t="shared" si="29"/>
        <v/>
      </c>
      <c r="CW27" s="6" t="str">
        <f t="shared" si="29"/>
        <v/>
      </c>
      <c r="CX27" s="6" t="str">
        <f t="shared" si="29"/>
        <v/>
      </c>
      <c r="CY27" s="6" t="str">
        <f t="shared" si="29"/>
        <v/>
      </c>
      <c r="CZ27" s="6" t="str">
        <f t="shared" si="29"/>
        <v/>
      </c>
      <c r="DA27" s="6" t="str">
        <f t="shared" si="29"/>
        <v/>
      </c>
      <c r="DB27" s="6" t="str">
        <f t="shared" si="29"/>
        <v/>
      </c>
      <c r="DC27" s="6" t="str">
        <f t="shared" si="29"/>
        <v/>
      </c>
      <c r="DD27" s="6" t="str">
        <f t="shared" si="29"/>
        <v/>
      </c>
    </row>
    <row r="28" spans="1:108" ht="28" customHeight="1" x14ac:dyDescent="0.35">
      <c r="A28" s="24" t="str">
        <f>Schedule!B28</f>
        <v>DSA fundamentals and first pattern exercises</v>
      </c>
      <c r="B28" s="4" t="str">
        <f>Schedule!C28</f>
        <v>Practice</v>
      </c>
      <c r="C28" s="3">
        <f>IF(Schedule!P28="","",Schedule!P28)</f>
        <v>46352</v>
      </c>
      <c r="D28" s="3">
        <f>IF(Schedule!Q28="","",Schedule!Q28)</f>
        <v>46412</v>
      </c>
      <c r="E28" s="6" t="str">
        <f t="shared" si="20"/>
        <v/>
      </c>
      <c r="F28" s="6" t="str">
        <f t="shared" si="20"/>
        <v/>
      </c>
      <c r="G28" s="6" t="str">
        <f t="shared" si="20"/>
        <v/>
      </c>
      <c r="H28" s="6" t="str">
        <f t="shared" si="20"/>
        <v/>
      </c>
      <c r="I28" s="6">
        <f t="shared" si="20"/>
        <v>1</v>
      </c>
      <c r="J28" s="6">
        <f t="shared" si="20"/>
        <v>1</v>
      </c>
      <c r="K28" s="6">
        <f t="shared" si="20"/>
        <v>1</v>
      </c>
      <c r="L28" s="6">
        <f t="shared" si="20"/>
        <v>1</v>
      </c>
      <c r="M28" s="6">
        <f t="shared" si="20"/>
        <v>1</v>
      </c>
      <c r="N28" s="6">
        <f t="shared" si="20"/>
        <v>1</v>
      </c>
      <c r="O28" s="6">
        <f t="shared" si="21"/>
        <v>1</v>
      </c>
      <c r="P28" s="6">
        <f t="shared" si="21"/>
        <v>1</v>
      </c>
      <c r="Q28" s="6">
        <f t="shared" si="21"/>
        <v>1</v>
      </c>
      <c r="R28" s="6">
        <f t="shared" si="21"/>
        <v>1</v>
      </c>
      <c r="S28" s="6" t="str">
        <f t="shared" si="21"/>
        <v/>
      </c>
      <c r="T28" s="6" t="str">
        <f t="shared" si="21"/>
        <v/>
      </c>
      <c r="U28" s="6" t="str">
        <f t="shared" si="21"/>
        <v/>
      </c>
      <c r="V28" s="6" t="str">
        <f t="shared" si="21"/>
        <v/>
      </c>
      <c r="W28" s="6" t="str">
        <f t="shared" si="21"/>
        <v/>
      </c>
      <c r="X28" s="6" t="str">
        <f t="shared" si="21"/>
        <v/>
      </c>
      <c r="Y28" s="6" t="str">
        <f t="shared" si="22"/>
        <v/>
      </c>
      <c r="Z28" s="6" t="str">
        <f t="shared" si="22"/>
        <v/>
      </c>
      <c r="AA28" s="6" t="str">
        <f t="shared" si="22"/>
        <v/>
      </c>
      <c r="AB28" s="6" t="str">
        <f t="shared" si="22"/>
        <v/>
      </c>
      <c r="AC28" s="6" t="str">
        <f t="shared" si="22"/>
        <v/>
      </c>
      <c r="AD28" s="6" t="str">
        <f t="shared" si="22"/>
        <v/>
      </c>
      <c r="AE28" s="6" t="str">
        <f t="shared" si="22"/>
        <v/>
      </c>
      <c r="AF28" s="6" t="str">
        <f t="shared" si="22"/>
        <v/>
      </c>
      <c r="AG28" s="6" t="str">
        <f t="shared" si="22"/>
        <v/>
      </c>
      <c r="AH28" s="6" t="str">
        <f t="shared" si="22"/>
        <v/>
      </c>
      <c r="AI28" s="6" t="str">
        <f t="shared" si="23"/>
        <v/>
      </c>
      <c r="AJ28" s="6" t="str">
        <f t="shared" si="23"/>
        <v/>
      </c>
      <c r="AK28" s="6" t="str">
        <f t="shared" si="23"/>
        <v/>
      </c>
      <c r="AL28" s="6" t="str">
        <f t="shared" si="23"/>
        <v/>
      </c>
      <c r="AM28" s="6" t="str">
        <f t="shared" si="23"/>
        <v/>
      </c>
      <c r="AN28" s="6" t="str">
        <f t="shared" si="23"/>
        <v/>
      </c>
      <c r="AO28" s="6" t="str">
        <f t="shared" si="23"/>
        <v/>
      </c>
      <c r="AP28" s="6" t="str">
        <f t="shared" si="23"/>
        <v/>
      </c>
      <c r="AQ28" s="6" t="str">
        <f t="shared" si="23"/>
        <v/>
      </c>
      <c r="AR28" s="6" t="str">
        <f t="shared" si="23"/>
        <v/>
      </c>
      <c r="AS28" s="6" t="str">
        <f t="shared" si="24"/>
        <v/>
      </c>
      <c r="AT28" s="6" t="str">
        <f t="shared" si="24"/>
        <v/>
      </c>
      <c r="AU28" s="6" t="str">
        <f t="shared" si="24"/>
        <v/>
      </c>
      <c r="AV28" s="6" t="str">
        <f t="shared" si="24"/>
        <v/>
      </c>
      <c r="AW28" s="6" t="str">
        <f t="shared" si="24"/>
        <v/>
      </c>
      <c r="AX28" s="6" t="str">
        <f t="shared" si="24"/>
        <v/>
      </c>
      <c r="AY28" s="6" t="str">
        <f t="shared" si="24"/>
        <v/>
      </c>
      <c r="AZ28" s="6" t="str">
        <f t="shared" si="24"/>
        <v/>
      </c>
      <c r="BA28" s="6" t="str">
        <f t="shared" si="24"/>
        <v/>
      </c>
      <c r="BB28" s="6" t="str">
        <f t="shared" si="24"/>
        <v/>
      </c>
      <c r="BC28" s="6" t="str">
        <f t="shared" si="25"/>
        <v/>
      </c>
      <c r="BD28" s="6" t="str">
        <f t="shared" si="25"/>
        <v/>
      </c>
      <c r="BE28" s="6" t="str">
        <f t="shared" si="25"/>
        <v/>
      </c>
      <c r="BF28" s="6" t="str">
        <f t="shared" si="25"/>
        <v/>
      </c>
      <c r="BG28" s="6" t="str">
        <f t="shared" si="25"/>
        <v/>
      </c>
      <c r="BH28" s="6" t="str">
        <f t="shared" si="25"/>
        <v/>
      </c>
      <c r="BI28" s="6" t="str">
        <f t="shared" si="25"/>
        <v/>
      </c>
      <c r="BJ28" s="6" t="str">
        <f t="shared" si="25"/>
        <v/>
      </c>
      <c r="BK28" s="6" t="str">
        <f t="shared" si="25"/>
        <v/>
      </c>
      <c r="BL28" s="6" t="str">
        <f t="shared" si="25"/>
        <v/>
      </c>
      <c r="BM28" s="6" t="str">
        <f t="shared" si="26"/>
        <v/>
      </c>
      <c r="BN28" s="6" t="str">
        <f t="shared" si="26"/>
        <v/>
      </c>
      <c r="BO28" s="6" t="str">
        <f t="shared" si="26"/>
        <v/>
      </c>
      <c r="BP28" s="6" t="str">
        <f t="shared" si="26"/>
        <v/>
      </c>
      <c r="BQ28" s="6" t="str">
        <f t="shared" si="26"/>
        <v/>
      </c>
      <c r="BR28" s="6" t="str">
        <f t="shared" si="26"/>
        <v/>
      </c>
      <c r="BS28" s="6" t="str">
        <f t="shared" si="26"/>
        <v/>
      </c>
      <c r="BT28" s="6" t="str">
        <f t="shared" si="26"/>
        <v/>
      </c>
      <c r="BU28" s="6" t="str">
        <f t="shared" si="26"/>
        <v/>
      </c>
      <c r="BV28" s="6" t="str">
        <f t="shared" si="26"/>
        <v/>
      </c>
      <c r="BW28" s="6" t="str">
        <f t="shared" si="27"/>
        <v/>
      </c>
      <c r="BX28" s="6" t="str">
        <f t="shared" si="27"/>
        <v/>
      </c>
      <c r="BY28" s="6" t="str">
        <f t="shared" si="27"/>
        <v/>
      </c>
      <c r="BZ28" s="6" t="str">
        <f t="shared" si="27"/>
        <v/>
      </c>
      <c r="CA28" s="6" t="str">
        <f t="shared" si="27"/>
        <v/>
      </c>
      <c r="CB28" s="6" t="str">
        <f t="shared" si="27"/>
        <v/>
      </c>
      <c r="CC28" s="6" t="str">
        <f t="shared" si="27"/>
        <v/>
      </c>
      <c r="CD28" s="6" t="str">
        <f t="shared" si="27"/>
        <v/>
      </c>
      <c r="CE28" s="6" t="str">
        <f t="shared" si="27"/>
        <v/>
      </c>
      <c r="CF28" s="6" t="str">
        <f t="shared" si="27"/>
        <v/>
      </c>
      <c r="CG28" s="6" t="str">
        <f t="shared" si="28"/>
        <v/>
      </c>
      <c r="CH28" s="6" t="str">
        <f t="shared" si="28"/>
        <v/>
      </c>
      <c r="CI28" s="6" t="str">
        <f t="shared" si="28"/>
        <v/>
      </c>
      <c r="CJ28" s="6" t="str">
        <f t="shared" si="28"/>
        <v/>
      </c>
      <c r="CK28" s="6" t="str">
        <f t="shared" si="28"/>
        <v/>
      </c>
      <c r="CL28" s="6" t="str">
        <f t="shared" si="28"/>
        <v/>
      </c>
      <c r="CM28" s="6" t="str">
        <f t="shared" si="28"/>
        <v/>
      </c>
      <c r="CN28" s="6" t="str">
        <f t="shared" si="28"/>
        <v/>
      </c>
      <c r="CO28" s="6" t="str">
        <f t="shared" si="28"/>
        <v/>
      </c>
      <c r="CP28" s="6" t="str">
        <f t="shared" si="28"/>
        <v/>
      </c>
      <c r="CQ28" s="6" t="str">
        <f t="shared" si="29"/>
        <v/>
      </c>
      <c r="CR28" s="6" t="str">
        <f t="shared" si="29"/>
        <v/>
      </c>
      <c r="CS28" s="6" t="str">
        <f t="shared" si="29"/>
        <v/>
      </c>
      <c r="CT28" s="6" t="str">
        <f t="shared" si="29"/>
        <v/>
      </c>
      <c r="CU28" s="6" t="str">
        <f t="shared" si="29"/>
        <v/>
      </c>
      <c r="CV28" s="6" t="str">
        <f t="shared" si="29"/>
        <v/>
      </c>
      <c r="CW28" s="6" t="str">
        <f t="shared" si="29"/>
        <v/>
      </c>
      <c r="CX28" s="6" t="str">
        <f t="shared" si="29"/>
        <v/>
      </c>
      <c r="CY28" s="6" t="str">
        <f t="shared" si="29"/>
        <v/>
      </c>
      <c r="CZ28" s="6" t="str">
        <f t="shared" si="29"/>
        <v/>
      </c>
      <c r="DA28" s="6" t="str">
        <f t="shared" si="29"/>
        <v/>
      </c>
      <c r="DB28" s="6" t="str">
        <f t="shared" si="29"/>
        <v/>
      </c>
      <c r="DC28" s="6" t="str">
        <f t="shared" si="29"/>
        <v/>
      </c>
      <c r="DD28" s="6" t="str">
        <f t="shared" si="29"/>
        <v/>
      </c>
    </row>
    <row r="29" spans="1:108" ht="28" customHeight="1" x14ac:dyDescent="0.35">
      <c r="A29" s="24" t="str">
        <f>Schedule!B29</f>
        <v>SQL practice with duplicates NULL and windows</v>
      </c>
      <c r="B29" s="4" t="str">
        <f>Schedule!C29</f>
        <v>Practice</v>
      </c>
      <c r="C29" s="3">
        <f>IF(Schedule!P29="","",Schedule!P29)</f>
        <v>46443</v>
      </c>
      <c r="D29" s="3">
        <f>IF(Schedule!Q29="","",Schedule!Q29)</f>
        <v>46514</v>
      </c>
      <c r="E29" s="6" t="str">
        <f t="shared" si="20"/>
        <v/>
      </c>
      <c r="F29" s="6" t="str">
        <f t="shared" si="20"/>
        <v/>
      </c>
      <c r="G29" s="6" t="str">
        <f t="shared" si="20"/>
        <v/>
      </c>
      <c r="H29" s="6" t="str">
        <f t="shared" si="20"/>
        <v/>
      </c>
      <c r="I29" s="6" t="str">
        <f t="shared" si="20"/>
        <v/>
      </c>
      <c r="J29" s="6" t="str">
        <f t="shared" si="20"/>
        <v/>
      </c>
      <c r="K29" s="6" t="str">
        <f t="shared" si="20"/>
        <v/>
      </c>
      <c r="L29" s="6" t="str">
        <f t="shared" si="20"/>
        <v/>
      </c>
      <c r="M29" s="6" t="str">
        <f t="shared" si="20"/>
        <v/>
      </c>
      <c r="N29" s="6" t="str">
        <f t="shared" si="20"/>
        <v/>
      </c>
      <c r="O29" s="6" t="str">
        <f t="shared" si="21"/>
        <v/>
      </c>
      <c r="P29" s="6" t="str">
        <f t="shared" si="21"/>
        <v/>
      </c>
      <c r="Q29" s="6" t="str">
        <f t="shared" si="21"/>
        <v/>
      </c>
      <c r="R29" s="6" t="str">
        <f t="shared" si="21"/>
        <v/>
      </c>
      <c r="S29" s="6" t="str">
        <f t="shared" si="21"/>
        <v/>
      </c>
      <c r="T29" s="6" t="str">
        <f t="shared" si="21"/>
        <v/>
      </c>
      <c r="U29" s="6" t="str">
        <f t="shared" si="21"/>
        <v/>
      </c>
      <c r="V29" s="6">
        <f t="shared" si="21"/>
        <v>1</v>
      </c>
      <c r="W29" s="6">
        <f t="shared" si="21"/>
        <v>1</v>
      </c>
      <c r="X29" s="6">
        <f t="shared" si="21"/>
        <v>1</v>
      </c>
      <c r="Y29" s="6">
        <f t="shared" si="22"/>
        <v>1</v>
      </c>
      <c r="Z29" s="6">
        <f t="shared" si="22"/>
        <v>1</v>
      </c>
      <c r="AA29" s="6">
        <f t="shared" si="22"/>
        <v>1</v>
      </c>
      <c r="AB29" s="6">
        <f t="shared" si="22"/>
        <v>1</v>
      </c>
      <c r="AC29" s="6">
        <f t="shared" si="22"/>
        <v>1</v>
      </c>
      <c r="AD29" s="6">
        <f t="shared" si="22"/>
        <v>1</v>
      </c>
      <c r="AE29" s="6">
        <f t="shared" si="22"/>
        <v>1</v>
      </c>
      <c r="AF29" s="6">
        <f t="shared" si="22"/>
        <v>1</v>
      </c>
      <c r="AG29" s="6" t="str">
        <f t="shared" si="22"/>
        <v/>
      </c>
      <c r="AH29" s="6" t="str">
        <f t="shared" si="22"/>
        <v/>
      </c>
      <c r="AI29" s="6" t="str">
        <f t="shared" si="23"/>
        <v/>
      </c>
      <c r="AJ29" s="6" t="str">
        <f t="shared" si="23"/>
        <v/>
      </c>
      <c r="AK29" s="6" t="str">
        <f t="shared" si="23"/>
        <v/>
      </c>
      <c r="AL29" s="6" t="str">
        <f t="shared" si="23"/>
        <v/>
      </c>
      <c r="AM29" s="6" t="str">
        <f t="shared" si="23"/>
        <v/>
      </c>
      <c r="AN29" s="6" t="str">
        <f t="shared" si="23"/>
        <v/>
      </c>
      <c r="AO29" s="6" t="str">
        <f t="shared" si="23"/>
        <v/>
      </c>
      <c r="AP29" s="6" t="str">
        <f t="shared" si="23"/>
        <v/>
      </c>
      <c r="AQ29" s="6" t="str">
        <f t="shared" si="23"/>
        <v/>
      </c>
      <c r="AR29" s="6" t="str">
        <f t="shared" si="23"/>
        <v/>
      </c>
      <c r="AS29" s="6" t="str">
        <f t="shared" si="24"/>
        <v/>
      </c>
      <c r="AT29" s="6" t="str">
        <f t="shared" si="24"/>
        <v/>
      </c>
      <c r="AU29" s="6" t="str">
        <f t="shared" si="24"/>
        <v/>
      </c>
      <c r="AV29" s="6" t="str">
        <f t="shared" si="24"/>
        <v/>
      </c>
      <c r="AW29" s="6" t="str">
        <f t="shared" si="24"/>
        <v/>
      </c>
      <c r="AX29" s="6" t="str">
        <f t="shared" si="24"/>
        <v/>
      </c>
      <c r="AY29" s="6" t="str">
        <f t="shared" si="24"/>
        <v/>
      </c>
      <c r="AZ29" s="6" t="str">
        <f t="shared" si="24"/>
        <v/>
      </c>
      <c r="BA29" s="6" t="str">
        <f t="shared" si="24"/>
        <v/>
      </c>
      <c r="BB29" s="6" t="str">
        <f t="shared" si="24"/>
        <v/>
      </c>
      <c r="BC29" s="6" t="str">
        <f t="shared" si="25"/>
        <v/>
      </c>
      <c r="BD29" s="6" t="str">
        <f t="shared" si="25"/>
        <v/>
      </c>
      <c r="BE29" s="6" t="str">
        <f t="shared" si="25"/>
        <v/>
      </c>
      <c r="BF29" s="6" t="str">
        <f t="shared" si="25"/>
        <v/>
      </c>
      <c r="BG29" s="6" t="str">
        <f t="shared" si="25"/>
        <v/>
      </c>
      <c r="BH29" s="6" t="str">
        <f t="shared" si="25"/>
        <v/>
      </c>
      <c r="BI29" s="6" t="str">
        <f t="shared" si="25"/>
        <v/>
      </c>
      <c r="BJ29" s="6" t="str">
        <f t="shared" si="25"/>
        <v/>
      </c>
      <c r="BK29" s="6" t="str">
        <f t="shared" si="25"/>
        <v/>
      </c>
      <c r="BL29" s="6" t="str">
        <f t="shared" si="25"/>
        <v/>
      </c>
      <c r="BM29" s="6" t="str">
        <f t="shared" si="26"/>
        <v/>
      </c>
      <c r="BN29" s="6" t="str">
        <f t="shared" si="26"/>
        <v/>
      </c>
      <c r="BO29" s="6" t="str">
        <f t="shared" si="26"/>
        <v/>
      </c>
      <c r="BP29" s="6" t="str">
        <f t="shared" si="26"/>
        <v/>
      </c>
      <c r="BQ29" s="6" t="str">
        <f t="shared" si="26"/>
        <v/>
      </c>
      <c r="BR29" s="6" t="str">
        <f t="shared" si="26"/>
        <v/>
      </c>
      <c r="BS29" s="6" t="str">
        <f t="shared" si="26"/>
        <v/>
      </c>
      <c r="BT29" s="6" t="str">
        <f t="shared" si="26"/>
        <v/>
      </c>
      <c r="BU29" s="6" t="str">
        <f t="shared" si="26"/>
        <v/>
      </c>
      <c r="BV29" s="6" t="str">
        <f t="shared" si="26"/>
        <v/>
      </c>
      <c r="BW29" s="6" t="str">
        <f t="shared" si="27"/>
        <v/>
      </c>
      <c r="BX29" s="6" t="str">
        <f t="shared" si="27"/>
        <v/>
      </c>
      <c r="BY29" s="6" t="str">
        <f t="shared" si="27"/>
        <v/>
      </c>
      <c r="BZ29" s="6" t="str">
        <f t="shared" si="27"/>
        <v/>
      </c>
      <c r="CA29" s="6" t="str">
        <f t="shared" si="27"/>
        <v/>
      </c>
      <c r="CB29" s="6" t="str">
        <f t="shared" si="27"/>
        <v/>
      </c>
      <c r="CC29" s="6" t="str">
        <f t="shared" si="27"/>
        <v/>
      </c>
      <c r="CD29" s="6" t="str">
        <f t="shared" si="27"/>
        <v/>
      </c>
      <c r="CE29" s="6" t="str">
        <f t="shared" si="27"/>
        <v/>
      </c>
      <c r="CF29" s="6" t="str">
        <f t="shared" si="27"/>
        <v/>
      </c>
      <c r="CG29" s="6" t="str">
        <f t="shared" si="28"/>
        <v/>
      </c>
      <c r="CH29" s="6" t="str">
        <f t="shared" si="28"/>
        <v/>
      </c>
      <c r="CI29" s="6" t="str">
        <f t="shared" si="28"/>
        <v/>
      </c>
      <c r="CJ29" s="6" t="str">
        <f t="shared" si="28"/>
        <v/>
      </c>
      <c r="CK29" s="6" t="str">
        <f t="shared" si="28"/>
        <v/>
      </c>
      <c r="CL29" s="6" t="str">
        <f t="shared" si="28"/>
        <v/>
      </c>
      <c r="CM29" s="6" t="str">
        <f t="shared" si="28"/>
        <v/>
      </c>
      <c r="CN29" s="6" t="str">
        <f t="shared" si="28"/>
        <v/>
      </c>
      <c r="CO29" s="6" t="str">
        <f t="shared" si="28"/>
        <v/>
      </c>
      <c r="CP29" s="6" t="str">
        <f t="shared" si="28"/>
        <v/>
      </c>
      <c r="CQ29" s="6" t="str">
        <f t="shared" si="29"/>
        <v/>
      </c>
      <c r="CR29" s="6" t="str">
        <f t="shared" si="29"/>
        <v/>
      </c>
      <c r="CS29" s="6" t="str">
        <f t="shared" si="29"/>
        <v/>
      </c>
      <c r="CT29" s="6" t="str">
        <f t="shared" si="29"/>
        <v/>
      </c>
      <c r="CU29" s="6" t="str">
        <f t="shared" si="29"/>
        <v/>
      </c>
      <c r="CV29" s="6" t="str">
        <f t="shared" si="29"/>
        <v/>
      </c>
      <c r="CW29" s="6" t="str">
        <f t="shared" si="29"/>
        <v/>
      </c>
      <c r="CX29" s="6" t="str">
        <f t="shared" si="29"/>
        <v/>
      </c>
      <c r="CY29" s="6" t="str">
        <f t="shared" si="29"/>
        <v/>
      </c>
      <c r="CZ29" s="6" t="str">
        <f t="shared" si="29"/>
        <v/>
      </c>
      <c r="DA29" s="6" t="str">
        <f t="shared" si="29"/>
        <v/>
      </c>
      <c r="DB29" s="6" t="str">
        <f t="shared" si="29"/>
        <v/>
      </c>
      <c r="DC29" s="6" t="str">
        <f t="shared" si="29"/>
        <v/>
      </c>
      <c r="DD29" s="6" t="str">
        <f t="shared" si="29"/>
        <v/>
      </c>
    </row>
    <row r="30" spans="1:108" ht="28" customHeight="1" x14ac:dyDescent="0.35">
      <c r="A30" s="24" t="str">
        <f>Schedule!B30</f>
        <v>DSA pattern practice and spaced review</v>
      </c>
      <c r="B30" s="4" t="str">
        <f>Schedule!C30</f>
        <v>Practice</v>
      </c>
      <c r="C30" s="3">
        <f>IF(Schedule!P30="","",Schedule!P30)</f>
        <v>46514</v>
      </c>
      <c r="D30" s="3">
        <f>IF(Schedule!Q30="","",Schedule!Q30)</f>
        <v>46636</v>
      </c>
      <c r="E30" s="6" t="str">
        <f t="shared" si="20"/>
        <v/>
      </c>
      <c r="F30" s="6" t="str">
        <f t="shared" si="20"/>
        <v/>
      </c>
      <c r="G30" s="6" t="str">
        <f t="shared" si="20"/>
        <v/>
      </c>
      <c r="H30" s="6" t="str">
        <f t="shared" si="20"/>
        <v/>
      </c>
      <c r="I30" s="6" t="str">
        <f t="shared" si="20"/>
        <v/>
      </c>
      <c r="J30" s="6" t="str">
        <f t="shared" si="20"/>
        <v/>
      </c>
      <c r="K30" s="6" t="str">
        <f t="shared" si="20"/>
        <v/>
      </c>
      <c r="L30" s="6" t="str">
        <f t="shared" si="20"/>
        <v/>
      </c>
      <c r="M30" s="6" t="str">
        <f t="shared" si="20"/>
        <v/>
      </c>
      <c r="N30" s="6" t="str">
        <f t="shared" si="20"/>
        <v/>
      </c>
      <c r="O30" s="6" t="str">
        <f t="shared" si="21"/>
        <v/>
      </c>
      <c r="P30" s="6" t="str">
        <f t="shared" si="21"/>
        <v/>
      </c>
      <c r="Q30" s="6" t="str">
        <f t="shared" si="21"/>
        <v/>
      </c>
      <c r="R30" s="6" t="str">
        <f t="shared" si="21"/>
        <v/>
      </c>
      <c r="S30" s="6" t="str">
        <f t="shared" si="21"/>
        <v/>
      </c>
      <c r="T30" s="6" t="str">
        <f t="shared" si="21"/>
        <v/>
      </c>
      <c r="U30" s="6" t="str">
        <f t="shared" si="21"/>
        <v/>
      </c>
      <c r="V30" s="6" t="str">
        <f t="shared" si="21"/>
        <v/>
      </c>
      <c r="W30" s="6" t="str">
        <f t="shared" si="21"/>
        <v/>
      </c>
      <c r="X30" s="6" t="str">
        <f t="shared" si="21"/>
        <v/>
      </c>
      <c r="Y30" s="6" t="str">
        <f t="shared" si="22"/>
        <v/>
      </c>
      <c r="Z30" s="6" t="str">
        <f t="shared" si="22"/>
        <v/>
      </c>
      <c r="AA30" s="6" t="str">
        <f t="shared" si="22"/>
        <v/>
      </c>
      <c r="AB30" s="6" t="str">
        <f t="shared" si="22"/>
        <v/>
      </c>
      <c r="AC30" s="6" t="str">
        <f t="shared" si="22"/>
        <v/>
      </c>
      <c r="AD30" s="6" t="str">
        <f t="shared" si="22"/>
        <v/>
      </c>
      <c r="AE30" s="6" t="str">
        <f t="shared" si="22"/>
        <v/>
      </c>
      <c r="AF30" s="6">
        <f t="shared" si="22"/>
        <v>1</v>
      </c>
      <c r="AG30" s="6">
        <f t="shared" si="22"/>
        <v>1</v>
      </c>
      <c r="AH30" s="6">
        <f t="shared" si="22"/>
        <v>1</v>
      </c>
      <c r="AI30" s="6">
        <f t="shared" si="23"/>
        <v>1</v>
      </c>
      <c r="AJ30" s="6">
        <f t="shared" si="23"/>
        <v>1</v>
      </c>
      <c r="AK30" s="6">
        <f t="shared" si="23"/>
        <v>1</v>
      </c>
      <c r="AL30" s="6">
        <f t="shared" si="23"/>
        <v>1</v>
      </c>
      <c r="AM30" s="6">
        <f t="shared" si="23"/>
        <v>1</v>
      </c>
      <c r="AN30" s="6">
        <f t="shared" si="23"/>
        <v>1</v>
      </c>
      <c r="AO30" s="6">
        <f t="shared" si="23"/>
        <v>1</v>
      </c>
      <c r="AP30" s="6">
        <f t="shared" si="23"/>
        <v>1</v>
      </c>
      <c r="AQ30" s="6">
        <f t="shared" si="23"/>
        <v>1</v>
      </c>
      <c r="AR30" s="6">
        <f t="shared" si="23"/>
        <v>1</v>
      </c>
      <c r="AS30" s="6">
        <f t="shared" si="24"/>
        <v>1</v>
      </c>
      <c r="AT30" s="6">
        <f t="shared" si="24"/>
        <v>1</v>
      </c>
      <c r="AU30" s="6">
        <f t="shared" si="24"/>
        <v>1</v>
      </c>
      <c r="AV30" s="6">
        <f t="shared" si="24"/>
        <v>1</v>
      </c>
      <c r="AW30" s="6">
        <f t="shared" si="24"/>
        <v>1</v>
      </c>
      <c r="AX30" s="6">
        <f t="shared" si="24"/>
        <v>1</v>
      </c>
      <c r="AY30" s="6" t="str">
        <f t="shared" si="24"/>
        <v/>
      </c>
      <c r="AZ30" s="6" t="str">
        <f t="shared" si="24"/>
        <v/>
      </c>
      <c r="BA30" s="6" t="str">
        <f t="shared" si="24"/>
        <v/>
      </c>
      <c r="BB30" s="6" t="str">
        <f t="shared" si="24"/>
        <v/>
      </c>
      <c r="BC30" s="6" t="str">
        <f t="shared" si="25"/>
        <v/>
      </c>
      <c r="BD30" s="6" t="str">
        <f t="shared" si="25"/>
        <v/>
      </c>
      <c r="BE30" s="6" t="str">
        <f t="shared" si="25"/>
        <v/>
      </c>
      <c r="BF30" s="6" t="str">
        <f t="shared" si="25"/>
        <v/>
      </c>
      <c r="BG30" s="6" t="str">
        <f t="shared" si="25"/>
        <v/>
      </c>
      <c r="BH30" s="6" t="str">
        <f t="shared" si="25"/>
        <v/>
      </c>
      <c r="BI30" s="6" t="str">
        <f t="shared" si="25"/>
        <v/>
      </c>
      <c r="BJ30" s="6" t="str">
        <f t="shared" si="25"/>
        <v/>
      </c>
      <c r="BK30" s="6" t="str">
        <f t="shared" si="25"/>
        <v/>
      </c>
      <c r="BL30" s="6" t="str">
        <f t="shared" si="25"/>
        <v/>
      </c>
      <c r="BM30" s="6" t="str">
        <f t="shared" si="26"/>
        <v/>
      </c>
      <c r="BN30" s="6" t="str">
        <f t="shared" si="26"/>
        <v/>
      </c>
      <c r="BO30" s="6" t="str">
        <f t="shared" si="26"/>
        <v/>
      </c>
      <c r="BP30" s="6" t="str">
        <f t="shared" si="26"/>
        <v/>
      </c>
      <c r="BQ30" s="6" t="str">
        <f t="shared" si="26"/>
        <v/>
      </c>
      <c r="BR30" s="6" t="str">
        <f t="shared" si="26"/>
        <v/>
      </c>
      <c r="BS30" s="6" t="str">
        <f t="shared" si="26"/>
        <v/>
      </c>
      <c r="BT30" s="6" t="str">
        <f t="shared" si="26"/>
        <v/>
      </c>
      <c r="BU30" s="6" t="str">
        <f t="shared" si="26"/>
        <v/>
      </c>
      <c r="BV30" s="6" t="str">
        <f t="shared" si="26"/>
        <v/>
      </c>
      <c r="BW30" s="6" t="str">
        <f t="shared" si="27"/>
        <v/>
      </c>
      <c r="BX30" s="6" t="str">
        <f t="shared" si="27"/>
        <v/>
      </c>
      <c r="BY30" s="6" t="str">
        <f t="shared" si="27"/>
        <v/>
      </c>
      <c r="BZ30" s="6" t="str">
        <f t="shared" si="27"/>
        <v/>
      </c>
      <c r="CA30" s="6" t="str">
        <f t="shared" si="27"/>
        <v/>
      </c>
      <c r="CB30" s="6" t="str">
        <f t="shared" si="27"/>
        <v/>
      </c>
      <c r="CC30" s="6" t="str">
        <f t="shared" si="27"/>
        <v/>
      </c>
      <c r="CD30" s="6" t="str">
        <f t="shared" si="27"/>
        <v/>
      </c>
      <c r="CE30" s="6" t="str">
        <f t="shared" si="27"/>
        <v/>
      </c>
      <c r="CF30" s="6" t="str">
        <f t="shared" si="27"/>
        <v/>
      </c>
      <c r="CG30" s="6" t="str">
        <f t="shared" si="28"/>
        <v/>
      </c>
      <c r="CH30" s="6" t="str">
        <f t="shared" si="28"/>
        <v/>
      </c>
      <c r="CI30" s="6" t="str">
        <f t="shared" si="28"/>
        <v/>
      </c>
      <c r="CJ30" s="6" t="str">
        <f t="shared" si="28"/>
        <v/>
      </c>
      <c r="CK30" s="6" t="str">
        <f t="shared" si="28"/>
        <v/>
      </c>
      <c r="CL30" s="6" t="str">
        <f t="shared" si="28"/>
        <v/>
      </c>
      <c r="CM30" s="6" t="str">
        <f t="shared" si="28"/>
        <v/>
      </c>
      <c r="CN30" s="6" t="str">
        <f t="shared" si="28"/>
        <v/>
      </c>
      <c r="CO30" s="6" t="str">
        <f t="shared" si="28"/>
        <v/>
      </c>
      <c r="CP30" s="6" t="str">
        <f t="shared" si="28"/>
        <v/>
      </c>
      <c r="CQ30" s="6" t="str">
        <f t="shared" si="29"/>
        <v/>
      </c>
      <c r="CR30" s="6" t="str">
        <f t="shared" si="29"/>
        <v/>
      </c>
      <c r="CS30" s="6" t="str">
        <f t="shared" si="29"/>
        <v/>
      </c>
      <c r="CT30" s="6" t="str">
        <f t="shared" si="29"/>
        <v/>
      </c>
      <c r="CU30" s="6" t="str">
        <f t="shared" si="29"/>
        <v/>
      </c>
      <c r="CV30" s="6" t="str">
        <f t="shared" si="29"/>
        <v/>
      </c>
      <c r="CW30" s="6" t="str">
        <f t="shared" si="29"/>
        <v/>
      </c>
      <c r="CX30" s="6" t="str">
        <f t="shared" si="29"/>
        <v/>
      </c>
      <c r="CY30" s="6" t="str">
        <f t="shared" si="29"/>
        <v/>
      </c>
      <c r="CZ30" s="6" t="str">
        <f t="shared" si="29"/>
        <v/>
      </c>
      <c r="DA30" s="6" t="str">
        <f t="shared" si="29"/>
        <v/>
      </c>
      <c r="DB30" s="6" t="str">
        <f t="shared" si="29"/>
        <v/>
      </c>
      <c r="DC30" s="6" t="str">
        <f t="shared" si="29"/>
        <v/>
      </c>
      <c r="DD30" s="6" t="str">
        <f t="shared" si="29"/>
        <v/>
      </c>
    </row>
    <row r="31" spans="1:108" ht="28" customHeight="1" x14ac:dyDescent="0.35">
      <c r="A31" s="24" t="str">
        <f>Schedule!B31</f>
        <v>ML and mathematical coding practice</v>
      </c>
      <c r="B31" s="4" t="str">
        <f>Schedule!C31</f>
        <v>Practice</v>
      </c>
      <c r="C31" s="3">
        <f>IF(Schedule!P31="","",Schedule!P31)</f>
        <v>46636</v>
      </c>
      <c r="D31" s="3">
        <f>IF(Schedule!Q31="","",Schedule!Q31)</f>
        <v>46707</v>
      </c>
      <c r="E31" s="6" t="str">
        <f t="shared" si="20"/>
        <v/>
      </c>
      <c r="F31" s="6" t="str">
        <f t="shared" si="20"/>
        <v/>
      </c>
      <c r="G31" s="6" t="str">
        <f t="shared" si="20"/>
        <v/>
      </c>
      <c r="H31" s="6" t="str">
        <f t="shared" si="20"/>
        <v/>
      </c>
      <c r="I31" s="6" t="str">
        <f t="shared" si="20"/>
        <v/>
      </c>
      <c r="J31" s="6" t="str">
        <f t="shared" si="20"/>
        <v/>
      </c>
      <c r="K31" s="6" t="str">
        <f t="shared" si="20"/>
        <v/>
      </c>
      <c r="L31" s="6" t="str">
        <f t="shared" si="20"/>
        <v/>
      </c>
      <c r="M31" s="6" t="str">
        <f t="shared" si="20"/>
        <v/>
      </c>
      <c r="N31" s="6" t="str">
        <f t="shared" si="20"/>
        <v/>
      </c>
      <c r="O31" s="6" t="str">
        <f t="shared" si="21"/>
        <v/>
      </c>
      <c r="P31" s="6" t="str">
        <f t="shared" si="21"/>
        <v/>
      </c>
      <c r="Q31" s="6" t="str">
        <f t="shared" si="21"/>
        <v/>
      </c>
      <c r="R31" s="6" t="str">
        <f t="shared" si="21"/>
        <v/>
      </c>
      <c r="S31" s="6" t="str">
        <f t="shared" si="21"/>
        <v/>
      </c>
      <c r="T31" s="6" t="str">
        <f t="shared" si="21"/>
        <v/>
      </c>
      <c r="U31" s="6" t="str">
        <f t="shared" si="21"/>
        <v/>
      </c>
      <c r="V31" s="6" t="str">
        <f t="shared" si="21"/>
        <v/>
      </c>
      <c r="W31" s="6" t="str">
        <f t="shared" si="21"/>
        <v/>
      </c>
      <c r="X31" s="6" t="str">
        <f t="shared" si="21"/>
        <v/>
      </c>
      <c r="Y31" s="6" t="str">
        <f t="shared" si="22"/>
        <v/>
      </c>
      <c r="Z31" s="6" t="str">
        <f t="shared" si="22"/>
        <v/>
      </c>
      <c r="AA31" s="6" t="str">
        <f t="shared" si="22"/>
        <v/>
      </c>
      <c r="AB31" s="6" t="str">
        <f t="shared" si="22"/>
        <v/>
      </c>
      <c r="AC31" s="6" t="str">
        <f t="shared" si="22"/>
        <v/>
      </c>
      <c r="AD31" s="6" t="str">
        <f t="shared" si="22"/>
        <v/>
      </c>
      <c r="AE31" s="6" t="str">
        <f t="shared" si="22"/>
        <v/>
      </c>
      <c r="AF31" s="6" t="str">
        <f t="shared" si="22"/>
        <v/>
      </c>
      <c r="AG31" s="6" t="str">
        <f t="shared" si="22"/>
        <v/>
      </c>
      <c r="AH31" s="6" t="str">
        <f t="shared" si="22"/>
        <v/>
      </c>
      <c r="AI31" s="6" t="str">
        <f t="shared" si="23"/>
        <v/>
      </c>
      <c r="AJ31" s="6" t="str">
        <f t="shared" si="23"/>
        <v/>
      </c>
      <c r="AK31" s="6" t="str">
        <f t="shared" si="23"/>
        <v/>
      </c>
      <c r="AL31" s="6" t="str">
        <f t="shared" si="23"/>
        <v/>
      </c>
      <c r="AM31" s="6" t="str">
        <f t="shared" si="23"/>
        <v/>
      </c>
      <c r="AN31" s="6" t="str">
        <f t="shared" si="23"/>
        <v/>
      </c>
      <c r="AO31" s="6" t="str">
        <f t="shared" si="23"/>
        <v/>
      </c>
      <c r="AP31" s="6" t="str">
        <f t="shared" si="23"/>
        <v/>
      </c>
      <c r="AQ31" s="6" t="str">
        <f t="shared" si="23"/>
        <v/>
      </c>
      <c r="AR31" s="6" t="str">
        <f t="shared" si="23"/>
        <v/>
      </c>
      <c r="AS31" s="6" t="str">
        <f t="shared" si="24"/>
        <v/>
      </c>
      <c r="AT31" s="6" t="str">
        <f t="shared" si="24"/>
        <v/>
      </c>
      <c r="AU31" s="6" t="str">
        <f t="shared" si="24"/>
        <v/>
      </c>
      <c r="AV31" s="6" t="str">
        <f t="shared" si="24"/>
        <v/>
      </c>
      <c r="AW31" s="6" t="str">
        <f t="shared" si="24"/>
        <v/>
      </c>
      <c r="AX31" s="6">
        <f t="shared" si="24"/>
        <v>1</v>
      </c>
      <c r="AY31" s="6">
        <f t="shared" si="24"/>
        <v>1</v>
      </c>
      <c r="AZ31" s="6">
        <f t="shared" si="24"/>
        <v>1</v>
      </c>
      <c r="BA31" s="6">
        <f t="shared" si="24"/>
        <v>1</v>
      </c>
      <c r="BB31" s="6">
        <f t="shared" si="24"/>
        <v>1</v>
      </c>
      <c r="BC31" s="6">
        <f t="shared" si="25"/>
        <v>1</v>
      </c>
      <c r="BD31" s="6">
        <f t="shared" si="25"/>
        <v>1</v>
      </c>
      <c r="BE31" s="6">
        <f t="shared" si="25"/>
        <v>1</v>
      </c>
      <c r="BF31" s="6">
        <f t="shared" si="25"/>
        <v>1</v>
      </c>
      <c r="BG31" s="6">
        <f t="shared" si="25"/>
        <v>1</v>
      </c>
      <c r="BH31" s="6">
        <f t="shared" si="25"/>
        <v>1</v>
      </c>
      <c r="BI31" s="6" t="str">
        <f t="shared" si="25"/>
        <v/>
      </c>
      <c r="BJ31" s="6" t="str">
        <f t="shared" si="25"/>
        <v/>
      </c>
      <c r="BK31" s="6" t="str">
        <f t="shared" si="25"/>
        <v/>
      </c>
      <c r="BL31" s="6" t="str">
        <f t="shared" si="25"/>
        <v/>
      </c>
      <c r="BM31" s="6" t="str">
        <f t="shared" si="26"/>
        <v/>
      </c>
      <c r="BN31" s="6" t="str">
        <f t="shared" si="26"/>
        <v/>
      </c>
      <c r="BO31" s="6" t="str">
        <f t="shared" si="26"/>
        <v/>
      </c>
      <c r="BP31" s="6" t="str">
        <f t="shared" si="26"/>
        <v/>
      </c>
      <c r="BQ31" s="6" t="str">
        <f t="shared" si="26"/>
        <v/>
      </c>
      <c r="BR31" s="6" t="str">
        <f t="shared" si="26"/>
        <v/>
      </c>
      <c r="BS31" s="6" t="str">
        <f t="shared" si="26"/>
        <v/>
      </c>
      <c r="BT31" s="6" t="str">
        <f t="shared" si="26"/>
        <v/>
      </c>
      <c r="BU31" s="6" t="str">
        <f t="shared" si="26"/>
        <v/>
      </c>
      <c r="BV31" s="6" t="str">
        <f t="shared" si="26"/>
        <v/>
      </c>
      <c r="BW31" s="6" t="str">
        <f t="shared" si="27"/>
        <v/>
      </c>
      <c r="BX31" s="6" t="str">
        <f t="shared" si="27"/>
        <v/>
      </c>
      <c r="BY31" s="6" t="str">
        <f t="shared" si="27"/>
        <v/>
      </c>
      <c r="BZ31" s="6" t="str">
        <f t="shared" si="27"/>
        <v/>
      </c>
      <c r="CA31" s="6" t="str">
        <f t="shared" si="27"/>
        <v/>
      </c>
      <c r="CB31" s="6" t="str">
        <f t="shared" si="27"/>
        <v/>
      </c>
      <c r="CC31" s="6" t="str">
        <f t="shared" si="27"/>
        <v/>
      </c>
      <c r="CD31" s="6" t="str">
        <f t="shared" si="27"/>
        <v/>
      </c>
      <c r="CE31" s="6" t="str">
        <f t="shared" si="27"/>
        <v/>
      </c>
      <c r="CF31" s="6" t="str">
        <f t="shared" si="27"/>
        <v/>
      </c>
      <c r="CG31" s="6" t="str">
        <f t="shared" si="28"/>
        <v/>
      </c>
      <c r="CH31" s="6" t="str">
        <f t="shared" si="28"/>
        <v/>
      </c>
      <c r="CI31" s="6" t="str">
        <f t="shared" si="28"/>
        <v/>
      </c>
      <c r="CJ31" s="6" t="str">
        <f t="shared" si="28"/>
        <v/>
      </c>
      <c r="CK31" s="6" t="str">
        <f t="shared" si="28"/>
        <v/>
      </c>
      <c r="CL31" s="6" t="str">
        <f t="shared" si="28"/>
        <v/>
      </c>
      <c r="CM31" s="6" t="str">
        <f t="shared" si="28"/>
        <v/>
      </c>
      <c r="CN31" s="6" t="str">
        <f t="shared" si="28"/>
        <v/>
      </c>
      <c r="CO31" s="6" t="str">
        <f t="shared" si="28"/>
        <v/>
      </c>
      <c r="CP31" s="6" t="str">
        <f t="shared" si="28"/>
        <v/>
      </c>
      <c r="CQ31" s="6" t="str">
        <f t="shared" si="29"/>
        <v/>
      </c>
      <c r="CR31" s="6" t="str">
        <f t="shared" si="29"/>
        <v/>
      </c>
      <c r="CS31" s="6" t="str">
        <f t="shared" si="29"/>
        <v/>
      </c>
      <c r="CT31" s="6" t="str">
        <f t="shared" si="29"/>
        <v/>
      </c>
      <c r="CU31" s="6" t="str">
        <f t="shared" si="29"/>
        <v/>
      </c>
      <c r="CV31" s="6" t="str">
        <f t="shared" si="29"/>
        <v/>
      </c>
      <c r="CW31" s="6" t="str">
        <f t="shared" si="29"/>
        <v/>
      </c>
      <c r="CX31" s="6" t="str">
        <f t="shared" si="29"/>
        <v/>
      </c>
      <c r="CY31" s="6" t="str">
        <f t="shared" si="29"/>
        <v/>
      </c>
      <c r="CZ31" s="6" t="str">
        <f t="shared" si="29"/>
        <v/>
      </c>
      <c r="DA31" s="6" t="str">
        <f t="shared" si="29"/>
        <v/>
      </c>
      <c r="DB31" s="6" t="str">
        <f t="shared" si="29"/>
        <v/>
      </c>
      <c r="DC31" s="6" t="str">
        <f t="shared" si="29"/>
        <v/>
      </c>
      <c r="DD31" s="6" t="str">
        <f t="shared" si="29"/>
        <v/>
      </c>
    </row>
    <row r="32" spans="1:108" ht="28" customHeight="1" x14ac:dyDescent="0.35">
      <c r="A32" s="24" t="str">
        <f>Schedule!B32</f>
        <v>Timed DSA and system-design explanation</v>
      </c>
      <c r="B32" s="4" t="str">
        <f>Schedule!C32</f>
        <v>Practice</v>
      </c>
      <c r="C32" s="3">
        <f>IF(Schedule!P32="","",Schedule!P32)</f>
        <v>46707</v>
      </c>
      <c r="D32" s="3">
        <f>IF(Schedule!Q32="","",Schedule!Q32)</f>
        <v>46767</v>
      </c>
      <c r="E32" s="6" t="str">
        <f t="shared" ref="E32:N41" si="30">IF(AND(ISNUMBER($C32),ISNUMBER($D32),E$1&lt;=$D32,E$1+6&gt;=$C32),1,"")</f>
        <v/>
      </c>
      <c r="F32" s="6" t="str">
        <f t="shared" si="30"/>
        <v/>
      </c>
      <c r="G32" s="6" t="str">
        <f t="shared" si="30"/>
        <v/>
      </c>
      <c r="H32" s="6" t="str">
        <f t="shared" si="30"/>
        <v/>
      </c>
      <c r="I32" s="6" t="str">
        <f t="shared" si="30"/>
        <v/>
      </c>
      <c r="J32" s="6" t="str">
        <f t="shared" si="30"/>
        <v/>
      </c>
      <c r="K32" s="6" t="str">
        <f t="shared" si="30"/>
        <v/>
      </c>
      <c r="L32" s="6" t="str">
        <f t="shared" si="30"/>
        <v/>
      </c>
      <c r="M32" s="6" t="str">
        <f t="shared" si="30"/>
        <v/>
      </c>
      <c r="N32" s="6" t="str">
        <f t="shared" si="30"/>
        <v/>
      </c>
      <c r="O32" s="6" t="str">
        <f t="shared" ref="O32:X41" si="31">IF(AND(ISNUMBER($C32),ISNUMBER($D32),O$1&lt;=$D32,O$1+6&gt;=$C32),1,"")</f>
        <v/>
      </c>
      <c r="P32" s="6" t="str">
        <f t="shared" si="31"/>
        <v/>
      </c>
      <c r="Q32" s="6" t="str">
        <f t="shared" si="31"/>
        <v/>
      </c>
      <c r="R32" s="6" t="str">
        <f t="shared" si="31"/>
        <v/>
      </c>
      <c r="S32" s="6" t="str">
        <f t="shared" si="31"/>
        <v/>
      </c>
      <c r="T32" s="6" t="str">
        <f t="shared" si="31"/>
        <v/>
      </c>
      <c r="U32" s="6" t="str">
        <f t="shared" si="31"/>
        <v/>
      </c>
      <c r="V32" s="6" t="str">
        <f t="shared" si="31"/>
        <v/>
      </c>
      <c r="W32" s="6" t="str">
        <f t="shared" si="31"/>
        <v/>
      </c>
      <c r="X32" s="6" t="str">
        <f t="shared" si="31"/>
        <v/>
      </c>
      <c r="Y32" s="6" t="str">
        <f t="shared" ref="Y32:AH41" si="32">IF(AND(ISNUMBER($C32),ISNUMBER($D32),Y$1&lt;=$D32,Y$1+6&gt;=$C32),1,"")</f>
        <v/>
      </c>
      <c r="Z32" s="6" t="str">
        <f t="shared" si="32"/>
        <v/>
      </c>
      <c r="AA32" s="6" t="str">
        <f t="shared" si="32"/>
        <v/>
      </c>
      <c r="AB32" s="6" t="str">
        <f t="shared" si="32"/>
        <v/>
      </c>
      <c r="AC32" s="6" t="str">
        <f t="shared" si="32"/>
        <v/>
      </c>
      <c r="AD32" s="6" t="str">
        <f t="shared" si="32"/>
        <v/>
      </c>
      <c r="AE32" s="6" t="str">
        <f t="shared" si="32"/>
        <v/>
      </c>
      <c r="AF32" s="6" t="str">
        <f t="shared" si="32"/>
        <v/>
      </c>
      <c r="AG32" s="6" t="str">
        <f t="shared" si="32"/>
        <v/>
      </c>
      <c r="AH32" s="6" t="str">
        <f t="shared" si="32"/>
        <v/>
      </c>
      <c r="AI32" s="6" t="str">
        <f t="shared" ref="AI32:AR41" si="33">IF(AND(ISNUMBER($C32),ISNUMBER($D32),AI$1&lt;=$D32,AI$1+6&gt;=$C32),1,"")</f>
        <v/>
      </c>
      <c r="AJ32" s="6" t="str">
        <f t="shared" si="33"/>
        <v/>
      </c>
      <c r="AK32" s="6" t="str">
        <f t="shared" si="33"/>
        <v/>
      </c>
      <c r="AL32" s="6" t="str">
        <f t="shared" si="33"/>
        <v/>
      </c>
      <c r="AM32" s="6" t="str">
        <f t="shared" si="33"/>
        <v/>
      </c>
      <c r="AN32" s="6" t="str">
        <f t="shared" si="33"/>
        <v/>
      </c>
      <c r="AO32" s="6" t="str">
        <f t="shared" si="33"/>
        <v/>
      </c>
      <c r="AP32" s="6" t="str">
        <f t="shared" si="33"/>
        <v/>
      </c>
      <c r="AQ32" s="6" t="str">
        <f t="shared" si="33"/>
        <v/>
      </c>
      <c r="AR32" s="6" t="str">
        <f t="shared" si="33"/>
        <v/>
      </c>
      <c r="AS32" s="6" t="str">
        <f t="shared" ref="AS32:BB41" si="34">IF(AND(ISNUMBER($C32),ISNUMBER($D32),AS$1&lt;=$D32,AS$1+6&gt;=$C32),1,"")</f>
        <v/>
      </c>
      <c r="AT32" s="6" t="str">
        <f t="shared" si="34"/>
        <v/>
      </c>
      <c r="AU32" s="6" t="str">
        <f t="shared" si="34"/>
        <v/>
      </c>
      <c r="AV32" s="6" t="str">
        <f t="shared" si="34"/>
        <v/>
      </c>
      <c r="AW32" s="6" t="str">
        <f t="shared" si="34"/>
        <v/>
      </c>
      <c r="AX32" s="6" t="str">
        <f t="shared" si="34"/>
        <v/>
      </c>
      <c r="AY32" s="6" t="str">
        <f t="shared" si="34"/>
        <v/>
      </c>
      <c r="AZ32" s="6" t="str">
        <f t="shared" si="34"/>
        <v/>
      </c>
      <c r="BA32" s="6" t="str">
        <f t="shared" si="34"/>
        <v/>
      </c>
      <c r="BB32" s="6" t="str">
        <f t="shared" si="34"/>
        <v/>
      </c>
      <c r="BC32" s="6" t="str">
        <f t="shared" ref="BC32:BL41" si="35">IF(AND(ISNUMBER($C32),ISNUMBER($D32),BC$1&lt;=$D32,BC$1+6&gt;=$C32),1,"")</f>
        <v/>
      </c>
      <c r="BD32" s="6" t="str">
        <f t="shared" si="35"/>
        <v/>
      </c>
      <c r="BE32" s="6" t="str">
        <f t="shared" si="35"/>
        <v/>
      </c>
      <c r="BF32" s="6" t="str">
        <f t="shared" si="35"/>
        <v/>
      </c>
      <c r="BG32" s="6" t="str">
        <f t="shared" si="35"/>
        <v/>
      </c>
      <c r="BH32" s="6">
        <f t="shared" si="35"/>
        <v>1</v>
      </c>
      <c r="BI32" s="6">
        <f t="shared" si="35"/>
        <v>1</v>
      </c>
      <c r="BJ32" s="6">
        <f t="shared" si="35"/>
        <v>1</v>
      </c>
      <c r="BK32" s="6">
        <f t="shared" si="35"/>
        <v>1</v>
      </c>
      <c r="BL32" s="6">
        <f t="shared" si="35"/>
        <v>1</v>
      </c>
      <c r="BM32" s="6">
        <f t="shared" ref="BM32:BV41" si="36">IF(AND(ISNUMBER($C32),ISNUMBER($D32),BM$1&lt;=$D32,BM$1+6&gt;=$C32),1,"")</f>
        <v>1</v>
      </c>
      <c r="BN32" s="6">
        <f t="shared" si="36"/>
        <v>1</v>
      </c>
      <c r="BO32" s="6">
        <f t="shared" si="36"/>
        <v>1</v>
      </c>
      <c r="BP32" s="6">
        <f t="shared" si="36"/>
        <v>1</v>
      </c>
      <c r="BQ32" s="6">
        <f t="shared" si="36"/>
        <v>1</v>
      </c>
      <c r="BR32" s="6" t="str">
        <f t="shared" si="36"/>
        <v/>
      </c>
      <c r="BS32" s="6" t="str">
        <f t="shared" si="36"/>
        <v/>
      </c>
      <c r="BT32" s="6" t="str">
        <f t="shared" si="36"/>
        <v/>
      </c>
      <c r="BU32" s="6" t="str">
        <f t="shared" si="36"/>
        <v/>
      </c>
      <c r="BV32" s="6" t="str">
        <f t="shared" si="36"/>
        <v/>
      </c>
      <c r="BW32" s="6" t="str">
        <f t="shared" ref="BW32:CF41" si="37">IF(AND(ISNUMBER($C32),ISNUMBER($D32),BW$1&lt;=$D32,BW$1+6&gt;=$C32),1,"")</f>
        <v/>
      </c>
      <c r="BX32" s="6" t="str">
        <f t="shared" si="37"/>
        <v/>
      </c>
      <c r="BY32" s="6" t="str">
        <f t="shared" si="37"/>
        <v/>
      </c>
      <c r="BZ32" s="6" t="str">
        <f t="shared" si="37"/>
        <v/>
      </c>
      <c r="CA32" s="6" t="str">
        <f t="shared" si="37"/>
        <v/>
      </c>
      <c r="CB32" s="6" t="str">
        <f t="shared" si="37"/>
        <v/>
      </c>
      <c r="CC32" s="6" t="str">
        <f t="shared" si="37"/>
        <v/>
      </c>
      <c r="CD32" s="6" t="str">
        <f t="shared" si="37"/>
        <v/>
      </c>
      <c r="CE32" s="6" t="str">
        <f t="shared" si="37"/>
        <v/>
      </c>
      <c r="CF32" s="6" t="str">
        <f t="shared" si="37"/>
        <v/>
      </c>
      <c r="CG32" s="6" t="str">
        <f t="shared" ref="CG32:CP41" si="38">IF(AND(ISNUMBER($C32),ISNUMBER($D32),CG$1&lt;=$D32,CG$1+6&gt;=$C32),1,"")</f>
        <v/>
      </c>
      <c r="CH32" s="6" t="str">
        <f t="shared" si="38"/>
        <v/>
      </c>
      <c r="CI32" s="6" t="str">
        <f t="shared" si="38"/>
        <v/>
      </c>
      <c r="CJ32" s="6" t="str">
        <f t="shared" si="38"/>
        <v/>
      </c>
      <c r="CK32" s="6" t="str">
        <f t="shared" si="38"/>
        <v/>
      </c>
      <c r="CL32" s="6" t="str">
        <f t="shared" si="38"/>
        <v/>
      </c>
      <c r="CM32" s="6" t="str">
        <f t="shared" si="38"/>
        <v/>
      </c>
      <c r="CN32" s="6" t="str">
        <f t="shared" si="38"/>
        <v/>
      </c>
      <c r="CO32" s="6" t="str">
        <f t="shared" si="38"/>
        <v/>
      </c>
      <c r="CP32" s="6" t="str">
        <f t="shared" si="38"/>
        <v/>
      </c>
      <c r="CQ32" s="6" t="str">
        <f t="shared" ref="CQ32:DD41" si="39">IF(AND(ISNUMBER($C32),ISNUMBER($D32),CQ$1&lt;=$D32,CQ$1+6&gt;=$C32),1,"")</f>
        <v/>
      </c>
      <c r="CR32" s="6" t="str">
        <f t="shared" si="39"/>
        <v/>
      </c>
      <c r="CS32" s="6" t="str">
        <f t="shared" si="39"/>
        <v/>
      </c>
      <c r="CT32" s="6" t="str">
        <f t="shared" si="39"/>
        <v/>
      </c>
      <c r="CU32" s="6" t="str">
        <f t="shared" si="39"/>
        <v/>
      </c>
      <c r="CV32" s="6" t="str">
        <f t="shared" si="39"/>
        <v/>
      </c>
      <c r="CW32" s="6" t="str">
        <f t="shared" si="39"/>
        <v/>
      </c>
      <c r="CX32" s="6" t="str">
        <f t="shared" si="39"/>
        <v/>
      </c>
      <c r="CY32" s="6" t="str">
        <f t="shared" si="39"/>
        <v/>
      </c>
      <c r="CZ32" s="6" t="str">
        <f t="shared" si="39"/>
        <v/>
      </c>
      <c r="DA32" s="6" t="str">
        <f t="shared" si="39"/>
        <v/>
      </c>
      <c r="DB32" s="6" t="str">
        <f t="shared" si="39"/>
        <v/>
      </c>
      <c r="DC32" s="6" t="str">
        <f t="shared" si="39"/>
        <v/>
      </c>
      <c r="DD32" s="6" t="str">
        <f t="shared" si="39"/>
        <v/>
      </c>
    </row>
    <row r="33" spans="1:108" ht="28" customHeight="1" x14ac:dyDescent="0.35">
      <c r="A33" s="24" t="str">
        <f>Schedule!B33</f>
        <v>Mixed SQL ML DSA revision and interview evidence</v>
      </c>
      <c r="B33" s="4" t="str">
        <f>Schedule!C33</f>
        <v>Practice</v>
      </c>
      <c r="C33" s="3">
        <f>IF(Schedule!P33="","",Schedule!P33)</f>
        <v>46767</v>
      </c>
      <c r="D33" s="3">
        <f>IF(Schedule!Q33="","",Schedule!Q33)</f>
        <v>46822</v>
      </c>
      <c r="E33" s="6" t="str">
        <f t="shared" si="30"/>
        <v/>
      </c>
      <c r="F33" s="6" t="str">
        <f t="shared" si="30"/>
        <v/>
      </c>
      <c r="G33" s="6" t="str">
        <f t="shared" si="30"/>
        <v/>
      </c>
      <c r="H33" s="6" t="str">
        <f t="shared" si="30"/>
        <v/>
      </c>
      <c r="I33" s="6" t="str">
        <f t="shared" si="30"/>
        <v/>
      </c>
      <c r="J33" s="6" t="str">
        <f t="shared" si="30"/>
        <v/>
      </c>
      <c r="K33" s="6" t="str">
        <f t="shared" si="30"/>
        <v/>
      </c>
      <c r="L33" s="6" t="str">
        <f t="shared" si="30"/>
        <v/>
      </c>
      <c r="M33" s="6" t="str">
        <f t="shared" si="30"/>
        <v/>
      </c>
      <c r="N33" s="6" t="str">
        <f t="shared" si="30"/>
        <v/>
      </c>
      <c r="O33" s="6" t="str">
        <f t="shared" si="31"/>
        <v/>
      </c>
      <c r="P33" s="6" t="str">
        <f t="shared" si="31"/>
        <v/>
      </c>
      <c r="Q33" s="6" t="str">
        <f t="shared" si="31"/>
        <v/>
      </c>
      <c r="R33" s="6" t="str">
        <f t="shared" si="31"/>
        <v/>
      </c>
      <c r="S33" s="6" t="str">
        <f t="shared" si="31"/>
        <v/>
      </c>
      <c r="T33" s="6" t="str">
        <f t="shared" si="31"/>
        <v/>
      </c>
      <c r="U33" s="6" t="str">
        <f t="shared" si="31"/>
        <v/>
      </c>
      <c r="V33" s="6" t="str">
        <f t="shared" si="31"/>
        <v/>
      </c>
      <c r="W33" s="6" t="str">
        <f t="shared" si="31"/>
        <v/>
      </c>
      <c r="X33" s="6" t="str">
        <f t="shared" si="31"/>
        <v/>
      </c>
      <c r="Y33" s="6" t="str">
        <f t="shared" si="32"/>
        <v/>
      </c>
      <c r="Z33" s="6" t="str">
        <f t="shared" si="32"/>
        <v/>
      </c>
      <c r="AA33" s="6" t="str">
        <f t="shared" si="32"/>
        <v/>
      </c>
      <c r="AB33" s="6" t="str">
        <f t="shared" si="32"/>
        <v/>
      </c>
      <c r="AC33" s="6" t="str">
        <f t="shared" si="32"/>
        <v/>
      </c>
      <c r="AD33" s="6" t="str">
        <f t="shared" si="32"/>
        <v/>
      </c>
      <c r="AE33" s="6" t="str">
        <f t="shared" si="32"/>
        <v/>
      </c>
      <c r="AF33" s="6" t="str">
        <f t="shared" si="32"/>
        <v/>
      </c>
      <c r="AG33" s="6" t="str">
        <f t="shared" si="32"/>
        <v/>
      </c>
      <c r="AH33" s="6" t="str">
        <f t="shared" si="32"/>
        <v/>
      </c>
      <c r="AI33" s="6" t="str">
        <f t="shared" si="33"/>
        <v/>
      </c>
      <c r="AJ33" s="6" t="str">
        <f t="shared" si="33"/>
        <v/>
      </c>
      <c r="AK33" s="6" t="str">
        <f t="shared" si="33"/>
        <v/>
      </c>
      <c r="AL33" s="6" t="str">
        <f t="shared" si="33"/>
        <v/>
      </c>
      <c r="AM33" s="6" t="str">
        <f t="shared" si="33"/>
        <v/>
      </c>
      <c r="AN33" s="6" t="str">
        <f t="shared" si="33"/>
        <v/>
      </c>
      <c r="AO33" s="6" t="str">
        <f t="shared" si="33"/>
        <v/>
      </c>
      <c r="AP33" s="6" t="str">
        <f t="shared" si="33"/>
        <v/>
      </c>
      <c r="AQ33" s="6" t="str">
        <f t="shared" si="33"/>
        <v/>
      </c>
      <c r="AR33" s="6" t="str">
        <f t="shared" si="33"/>
        <v/>
      </c>
      <c r="AS33" s="6" t="str">
        <f t="shared" si="34"/>
        <v/>
      </c>
      <c r="AT33" s="6" t="str">
        <f t="shared" si="34"/>
        <v/>
      </c>
      <c r="AU33" s="6" t="str">
        <f t="shared" si="34"/>
        <v/>
      </c>
      <c r="AV33" s="6" t="str">
        <f t="shared" si="34"/>
        <v/>
      </c>
      <c r="AW33" s="6" t="str">
        <f t="shared" si="34"/>
        <v/>
      </c>
      <c r="AX33" s="6" t="str">
        <f t="shared" si="34"/>
        <v/>
      </c>
      <c r="AY33" s="6" t="str">
        <f t="shared" si="34"/>
        <v/>
      </c>
      <c r="AZ33" s="6" t="str">
        <f t="shared" si="34"/>
        <v/>
      </c>
      <c r="BA33" s="6" t="str">
        <f t="shared" si="34"/>
        <v/>
      </c>
      <c r="BB33" s="6" t="str">
        <f t="shared" si="34"/>
        <v/>
      </c>
      <c r="BC33" s="6" t="str">
        <f t="shared" si="35"/>
        <v/>
      </c>
      <c r="BD33" s="6" t="str">
        <f t="shared" si="35"/>
        <v/>
      </c>
      <c r="BE33" s="6" t="str">
        <f t="shared" si="35"/>
        <v/>
      </c>
      <c r="BF33" s="6" t="str">
        <f t="shared" si="35"/>
        <v/>
      </c>
      <c r="BG33" s="6" t="str">
        <f t="shared" si="35"/>
        <v/>
      </c>
      <c r="BH33" s="6" t="str">
        <f t="shared" si="35"/>
        <v/>
      </c>
      <c r="BI33" s="6" t="str">
        <f t="shared" si="35"/>
        <v/>
      </c>
      <c r="BJ33" s="6" t="str">
        <f t="shared" si="35"/>
        <v/>
      </c>
      <c r="BK33" s="6" t="str">
        <f t="shared" si="35"/>
        <v/>
      </c>
      <c r="BL33" s="6" t="str">
        <f t="shared" si="35"/>
        <v/>
      </c>
      <c r="BM33" s="6" t="str">
        <f t="shared" si="36"/>
        <v/>
      </c>
      <c r="BN33" s="6" t="str">
        <f t="shared" si="36"/>
        <v/>
      </c>
      <c r="BO33" s="6" t="str">
        <f t="shared" si="36"/>
        <v/>
      </c>
      <c r="BP33" s="6" t="str">
        <f t="shared" si="36"/>
        <v/>
      </c>
      <c r="BQ33" s="6">
        <f t="shared" si="36"/>
        <v>1</v>
      </c>
      <c r="BR33" s="6">
        <f t="shared" si="36"/>
        <v>1</v>
      </c>
      <c r="BS33" s="6">
        <f t="shared" si="36"/>
        <v>1</v>
      </c>
      <c r="BT33" s="6">
        <f t="shared" si="36"/>
        <v>1</v>
      </c>
      <c r="BU33" s="6">
        <f t="shared" si="36"/>
        <v>1</v>
      </c>
      <c r="BV33" s="6">
        <f t="shared" si="36"/>
        <v>1</v>
      </c>
      <c r="BW33" s="6">
        <f t="shared" si="37"/>
        <v>1</v>
      </c>
      <c r="BX33" s="6">
        <f t="shared" si="37"/>
        <v>1</v>
      </c>
      <c r="BY33" s="6" t="str">
        <f t="shared" si="37"/>
        <v/>
      </c>
      <c r="BZ33" s="6" t="str">
        <f t="shared" si="37"/>
        <v/>
      </c>
      <c r="CA33" s="6" t="str">
        <f t="shared" si="37"/>
        <v/>
      </c>
      <c r="CB33" s="6" t="str">
        <f t="shared" si="37"/>
        <v/>
      </c>
      <c r="CC33" s="6" t="str">
        <f t="shared" si="37"/>
        <v/>
      </c>
      <c r="CD33" s="6" t="str">
        <f t="shared" si="37"/>
        <v/>
      </c>
      <c r="CE33" s="6" t="str">
        <f t="shared" si="37"/>
        <v/>
      </c>
      <c r="CF33" s="6" t="str">
        <f t="shared" si="37"/>
        <v/>
      </c>
      <c r="CG33" s="6" t="str">
        <f t="shared" si="38"/>
        <v/>
      </c>
      <c r="CH33" s="6" t="str">
        <f t="shared" si="38"/>
        <v/>
      </c>
      <c r="CI33" s="6" t="str">
        <f t="shared" si="38"/>
        <v/>
      </c>
      <c r="CJ33" s="6" t="str">
        <f t="shared" si="38"/>
        <v/>
      </c>
      <c r="CK33" s="6" t="str">
        <f t="shared" si="38"/>
        <v/>
      </c>
      <c r="CL33" s="6" t="str">
        <f t="shared" si="38"/>
        <v/>
      </c>
      <c r="CM33" s="6" t="str">
        <f t="shared" si="38"/>
        <v/>
      </c>
      <c r="CN33" s="6" t="str">
        <f t="shared" si="38"/>
        <v/>
      </c>
      <c r="CO33" s="6" t="str">
        <f t="shared" si="38"/>
        <v/>
      </c>
      <c r="CP33" s="6" t="str">
        <f t="shared" si="38"/>
        <v/>
      </c>
      <c r="CQ33" s="6" t="str">
        <f t="shared" si="39"/>
        <v/>
      </c>
      <c r="CR33" s="6" t="str">
        <f t="shared" si="39"/>
        <v/>
      </c>
      <c r="CS33" s="6" t="str">
        <f t="shared" si="39"/>
        <v/>
      </c>
      <c r="CT33" s="6" t="str">
        <f t="shared" si="39"/>
        <v/>
      </c>
      <c r="CU33" s="6" t="str">
        <f t="shared" si="39"/>
        <v/>
      </c>
      <c r="CV33" s="6" t="str">
        <f t="shared" si="39"/>
        <v/>
      </c>
      <c r="CW33" s="6" t="str">
        <f t="shared" si="39"/>
        <v/>
      </c>
      <c r="CX33" s="6" t="str">
        <f t="shared" si="39"/>
        <v/>
      </c>
      <c r="CY33" s="6" t="str">
        <f t="shared" si="39"/>
        <v/>
      </c>
      <c r="CZ33" s="6" t="str">
        <f t="shared" si="39"/>
        <v/>
      </c>
      <c r="DA33" s="6" t="str">
        <f t="shared" si="39"/>
        <v/>
      </c>
      <c r="DB33" s="6" t="str">
        <f t="shared" si="39"/>
        <v/>
      </c>
      <c r="DC33" s="6" t="str">
        <f t="shared" si="39"/>
        <v/>
      </c>
      <c r="DD33" s="6" t="str">
        <f t="shared" si="39"/>
        <v/>
      </c>
    </row>
    <row r="34" spans="1:108" ht="28" customHeight="1" x14ac:dyDescent="0.35">
      <c r="A34" s="24" t="str">
        <f>Schedule!B34</f>
        <v>Discovery and business workflow framing</v>
      </c>
      <c r="B34" s="4" t="str">
        <f>Schedule!C34</f>
        <v>Delivery</v>
      </c>
      <c r="C34" s="3">
        <f>IF(Schedule!P34="","",Schedule!P34)</f>
        <v>46323</v>
      </c>
      <c r="D34" s="3">
        <f>IF(Schedule!Q34="","",Schedule!Q34)</f>
        <v>46350</v>
      </c>
      <c r="E34" s="6">
        <f t="shared" si="30"/>
        <v>1</v>
      </c>
      <c r="F34" s="6">
        <f t="shared" si="30"/>
        <v>1</v>
      </c>
      <c r="G34" s="6">
        <f t="shared" si="30"/>
        <v>1</v>
      </c>
      <c r="H34" s="6">
        <f t="shared" si="30"/>
        <v>1</v>
      </c>
      <c r="I34" s="6">
        <f t="shared" si="30"/>
        <v>1</v>
      </c>
      <c r="J34" s="6" t="str">
        <f t="shared" si="30"/>
        <v/>
      </c>
      <c r="K34" s="6" t="str">
        <f t="shared" si="30"/>
        <v/>
      </c>
      <c r="L34" s="6" t="str">
        <f t="shared" si="30"/>
        <v/>
      </c>
      <c r="M34" s="6" t="str">
        <f t="shared" si="30"/>
        <v/>
      </c>
      <c r="N34" s="6" t="str">
        <f t="shared" si="30"/>
        <v/>
      </c>
      <c r="O34" s="6" t="str">
        <f t="shared" si="31"/>
        <v/>
      </c>
      <c r="P34" s="6" t="str">
        <f t="shared" si="31"/>
        <v/>
      </c>
      <c r="Q34" s="6" t="str">
        <f t="shared" si="31"/>
        <v/>
      </c>
      <c r="R34" s="6" t="str">
        <f t="shared" si="31"/>
        <v/>
      </c>
      <c r="S34" s="6" t="str">
        <f t="shared" si="31"/>
        <v/>
      </c>
      <c r="T34" s="6" t="str">
        <f t="shared" si="31"/>
        <v/>
      </c>
      <c r="U34" s="6" t="str">
        <f t="shared" si="31"/>
        <v/>
      </c>
      <c r="V34" s="6" t="str">
        <f t="shared" si="31"/>
        <v/>
      </c>
      <c r="W34" s="6" t="str">
        <f t="shared" si="31"/>
        <v/>
      </c>
      <c r="X34" s="6" t="str">
        <f t="shared" si="31"/>
        <v/>
      </c>
      <c r="Y34" s="6" t="str">
        <f t="shared" si="32"/>
        <v/>
      </c>
      <c r="Z34" s="6" t="str">
        <f t="shared" si="32"/>
        <v/>
      </c>
      <c r="AA34" s="6" t="str">
        <f t="shared" si="32"/>
        <v/>
      </c>
      <c r="AB34" s="6" t="str">
        <f t="shared" si="32"/>
        <v/>
      </c>
      <c r="AC34" s="6" t="str">
        <f t="shared" si="32"/>
        <v/>
      </c>
      <c r="AD34" s="6" t="str">
        <f t="shared" si="32"/>
        <v/>
      </c>
      <c r="AE34" s="6" t="str">
        <f t="shared" si="32"/>
        <v/>
      </c>
      <c r="AF34" s="6" t="str">
        <f t="shared" si="32"/>
        <v/>
      </c>
      <c r="AG34" s="6" t="str">
        <f t="shared" si="32"/>
        <v/>
      </c>
      <c r="AH34" s="6" t="str">
        <f t="shared" si="32"/>
        <v/>
      </c>
      <c r="AI34" s="6" t="str">
        <f t="shared" si="33"/>
        <v/>
      </c>
      <c r="AJ34" s="6" t="str">
        <f t="shared" si="33"/>
        <v/>
      </c>
      <c r="AK34" s="6" t="str">
        <f t="shared" si="33"/>
        <v/>
      </c>
      <c r="AL34" s="6" t="str">
        <f t="shared" si="33"/>
        <v/>
      </c>
      <c r="AM34" s="6" t="str">
        <f t="shared" si="33"/>
        <v/>
      </c>
      <c r="AN34" s="6" t="str">
        <f t="shared" si="33"/>
        <v/>
      </c>
      <c r="AO34" s="6" t="str">
        <f t="shared" si="33"/>
        <v/>
      </c>
      <c r="AP34" s="6" t="str">
        <f t="shared" si="33"/>
        <v/>
      </c>
      <c r="AQ34" s="6" t="str">
        <f t="shared" si="33"/>
        <v/>
      </c>
      <c r="AR34" s="6" t="str">
        <f t="shared" si="33"/>
        <v/>
      </c>
      <c r="AS34" s="6" t="str">
        <f t="shared" si="34"/>
        <v/>
      </c>
      <c r="AT34" s="6" t="str">
        <f t="shared" si="34"/>
        <v/>
      </c>
      <c r="AU34" s="6" t="str">
        <f t="shared" si="34"/>
        <v/>
      </c>
      <c r="AV34" s="6" t="str">
        <f t="shared" si="34"/>
        <v/>
      </c>
      <c r="AW34" s="6" t="str">
        <f t="shared" si="34"/>
        <v/>
      </c>
      <c r="AX34" s="6" t="str">
        <f t="shared" si="34"/>
        <v/>
      </c>
      <c r="AY34" s="6" t="str">
        <f t="shared" si="34"/>
        <v/>
      </c>
      <c r="AZ34" s="6" t="str">
        <f t="shared" si="34"/>
        <v/>
      </c>
      <c r="BA34" s="6" t="str">
        <f t="shared" si="34"/>
        <v/>
      </c>
      <c r="BB34" s="6" t="str">
        <f t="shared" si="34"/>
        <v/>
      </c>
      <c r="BC34" s="6" t="str">
        <f t="shared" si="35"/>
        <v/>
      </c>
      <c r="BD34" s="6" t="str">
        <f t="shared" si="35"/>
        <v/>
      </c>
      <c r="BE34" s="6" t="str">
        <f t="shared" si="35"/>
        <v/>
      </c>
      <c r="BF34" s="6" t="str">
        <f t="shared" si="35"/>
        <v/>
      </c>
      <c r="BG34" s="6" t="str">
        <f t="shared" si="35"/>
        <v/>
      </c>
      <c r="BH34" s="6" t="str">
        <f t="shared" si="35"/>
        <v/>
      </c>
      <c r="BI34" s="6" t="str">
        <f t="shared" si="35"/>
        <v/>
      </c>
      <c r="BJ34" s="6" t="str">
        <f t="shared" si="35"/>
        <v/>
      </c>
      <c r="BK34" s="6" t="str">
        <f t="shared" si="35"/>
        <v/>
      </c>
      <c r="BL34" s="6" t="str">
        <f t="shared" si="35"/>
        <v/>
      </c>
      <c r="BM34" s="6" t="str">
        <f t="shared" si="36"/>
        <v/>
      </c>
      <c r="BN34" s="6" t="str">
        <f t="shared" si="36"/>
        <v/>
      </c>
      <c r="BO34" s="6" t="str">
        <f t="shared" si="36"/>
        <v/>
      </c>
      <c r="BP34" s="6" t="str">
        <f t="shared" si="36"/>
        <v/>
      </c>
      <c r="BQ34" s="6" t="str">
        <f t="shared" si="36"/>
        <v/>
      </c>
      <c r="BR34" s="6" t="str">
        <f t="shared" si="36"/>
        <v/>
      </c>
      <c r="BS34" s="6" t="str">
        <f t="shared" si="36"/>
        <v/>
      </c>
      <c r="BT34" s="6" t="str">
        <f t="shared" si="36"/>
        <v/>
      </c>
      <c r="BU34" s="6" t="str">
        <f t="shared" si="36"/>
        <v/>
      </c>
      <c r="BV34" s="6" t="str">
        <f t="shared" si="36"/>
        <v/>
      </c>
      <c r="BW34" s="6" t="str">
        <f t="shared" si="37"/>
        <v/>
      </c>
      <c r="BX34" s="6" t="str">
        <f t="shared" si="37"/>
        <v/>
      </c>
      <c r="BY34" s="6" t="str">
        <f t="shared" si="37"/>
        <v/>
      </c>
      <c r="BZ34" s="6" t="str">
        <f t="shared" si="37"/>
        <v/>
      </c>
      <c r="CA34" s="6" t="str">
        <f t="shared" si="37"/>
        <v/>
      </c>
      <c r="CB34" s="6" t="str">
        <f t="shared" si="37"/>
        <v/>
      </c>
      <c r="CC34" s="6" t="str">
        <f t="shared" si="37"/>
        <v/>
      </c>
      <c r="CD34" s="6" t="str">
        <f t="shared" si="37"/>
        <v/>
      </c>
      <c r="CE34" s="6" t="str">
        <f t="shared" si="37"/>
        <v/>
      </c>
      <c r="CF34" s="6" t="str">
        <f t="shared" si="37"/>
        <v/>
      </c>
      <c r="CG34" s="6" t="str">
        <f t="shared" si="38"/>
        <v/>
      </c>
      <c r="CH34" s="6" t="str">
        <f t="shared" si="38"/>
        <v/>
      </c>
      <c r="CI34" s="6" t="str">
        <f t="shared" si="38"/>
        <v/>
      </c>
      <c r="CJ34" s="6" t="str">
        <f t="shared" si="38"/>
        <v/>
      </c>
      <c r="CK34" s="6" t="str">
        <f t="shared" si="38"/>
        <v/>
      </c>
      <c r="CL34" s="6" t="str">
        <f t="shared" si="38"/>
        <v/>
      </c>
      <c r="CM34" s="6" t="str">
        <f t="shared" si="38"/>
        <v/>
      </c>
      <c r="CN34" s="6" t="str">
        <f t="shared" si="38"/>
        <v/>
      </c>
      <c r="CO34" s="6" t="str">
        <f t="shared" si="38"/>
        <v/>
      </c>
      <c r="CP34" s="6" t="str">
        <f t="shared" si="38"/>
        <v/>
      </c>
      <c r="CQ34" s="6" t="str">
        <f t="shared" si="39"/>
        <v/>
      </c>
      <c r="CR34" s="6" t="str">
        <f t="shared" si="39"/>
        <v/>
      </c>
      <c r="CS34" s="6" t="str">
        <f t="shared" si="39"/>
        <v/>
      </c>
      <c r="CT34" s="6" t="str">
        <f t="shared" si="39"/>
        <v/>
      </c>
      <c r="CU34" s="6" t="str">
        <f t="shared" si="39"/>
        <v/>
      </c>
      <c r="CV34" s="6" t="str">
        <f t="shared" si="39"/>
        <v/>
      </c>
      <c r="CW34" s="6" t="str">
        <f t="shared" si="39"/>
        <v/>
      </c>
      <c r="CX34" s="6" t="str">
        <f t="shared" si="39"/>
        <v/>
      </c>
      <c r="CY34" s="6" t="str">
        <f t="shared" si="39"/>
        <v/>
      </c>
      <c r="CZ34" s="6" t="str">
        <f t="shared" si="39"/>
        <v/>
      </c>
      <c r="DA34" s="6" t="str">
        <f t="shared" si="39"/>
        <v/>
      </c>
      <c r="DB34" s="6" t="str">
        <f t="shared" si="39"/>
        <v/>
      </c>
      <c r="DC34" s="6" t="str">
        <f t="shared" si="39"/>
        <v/>
      </c>
      <c r="DD34" s="6" t="str">
        <f t="shared" si="39"/>
        <v/>
      </c>
    </row>
    <row r="35" spans="1:108" ht="28" customHeight="1" x14ac:dyDescent="0.35">
      <c r="A35" s="24" t="str">
        <f>Schedule!B35</f>
        <v>Requirements scoping and stakeholder alignment</v>
      </c>
      <c r="B35" s="4" t="str">
        <f>Schedule!C35</f>
        <v>Delivery</v>
      </c>
      <c r="C35" s="3">
        <f>IF(Schedule!P35="","",Schedule!P35)</f>
        <v>46350</v>
      </c>
      <c r="D35" s="3">
        <f>IF(Schedule!Q35="","",Schedule!Q35)</f>
        <v>46382</v>
      </c>
      <c r="E35" s="6" t="str">
        <f t="shared" si="30"/>
        <v/>
      </c>
      <c r="F35" s="6" t="str">
        <f t="shared" si="30"/>
        <v/>
      </c>
      <c r="G35" s="6" t="str">
        <f t="shared" si="30"/>
        <v/>
      </c>
      <c r="H35" s="6" t="str">
        <f t="shared" si="30"/>
        <v/>
      </c>
      <c r="I35" s="6">
        <f t="shared" si="30"/>
        <v>1</v>
      </c>
      <c r="J35" s="6">
        <f t="shared" si="30"/>
        <v>1</v>
      </c>
      <c r="K35" s="6">
        <f t="shared" si="30"/>
        <v>1</v>
      </c>
      <c r="L35" s="6">
        <f t="shared" si="30"/>
        <v>1</v>
      </c>
      <c r="M35" s="6">
        <f t="shared" si="30"/>
        <v>1</v>
      </c>
      <c r="N35" s="6">
        <f t="shared" si="30"/>
        <v>1</v>
      </c>
      <c r="O35" s="6" t="str">
        <f t="shared" si="31"/>
        <v/>
      </c>
      <c r="P35" s="6" t="str">
        <f t="shared" si="31"/>
        <v/>
      </c>
      <c r="Q35" s="6" t="str">
        <f t="shared" si="31"/>
        <v/>
      </c>
      <c r="R35" s="6" t="str">
        <f t="shared" si="31"/>
        <v/>
      </c>
      <c r="S35" s="6" t="str">
        <f t="shared" si="31"/>
        <v/>
      </c>
      <c r="T35" s="6" t="str">
        <f t="shared" si="31"/>
        <v/>
      </c>
      <c r="U35" s="6" t="str">
        <f t="shared" si="31"/>
        <v/>
      </c>
      <c r="V35" s="6" t="str">
        <f t="shared" si="31"/>
        <v/>
      </c>
      <c r="W35" s="6" t="str">
        <f t="shared" si="31"/>
        <v/>
      </c>
      <c r="X35" s="6" t="str">
        <f t="shared" si="31"/>
        <v/>
      </c>
      <c r="Y35" s="6" t="str">
        <f t="shared" si="32"/>
        <v/>
      </c>
      <c r="Z35" s="6" t="str">
        <f t="shared" si="32"/>
        <v/>
      </c>
      <c r="AA35" s="6" t="str">
        <f t="shared" si="32"/>
        <v/>
      </c>
      <c r="AB35" s="6" t="str">
        <f t="shared" si="32"/>
        <v/>
      </c>
      <c r="AC35" s="6" t="str">
        <f t="shared" si="32"/>
        <v/>
      </c>
      <c r="AD35" s="6" t="str">
        <f t="shared" si="32"/>
        <v/>
      </c>
      <c r="AE35" s="6" t="str">
        <f t="shared" si="32"/>
        <v/>
      </c>
      <c r="AF35" s="6" t="str">
        <f t="shared" si="32"/>
        <v/>
      </c>
      <c r="AG35" s="6" t="str">
        <f t="shared" si="32"/>
        <v/>
      </c>
      <c r="AH35" s="6" t="str">
        <f t="shared" si="32"/>
        <v/>
      </c>
      <c r="AI35" s="6" t="str">
        <f t="shared" si="33"/>
        <v/>
      </c>
      <c r="AJ35" s="6" t="str">
        <f t="shared" si="33"/>
        <v/>
      </c>
      <c r="AK35" s="6" t="str">
        <f t="shared" si="33"/>
        <v/>
      </c>
      <c r="AL35" s="6" t="str">
        <f t="shared" si="33"/>
        <v/>
      </c>
      <c r="AM35" s="6" t="str">
        <f t="shared" si="33"/>
        <v/>
      </c>
      <c r="AN35" s="6" t="str">
        <f t="shared" si="33"/>
        <v/>
      </c>
      <c r="AO35" s="6" t="str">
        <f t="shared" si="33"/>
        <v/>
      </c>
      <c r="AP35" s="6" t="str">
        <f t="shared" si="33"/>
        <v/>
      </c>
      <c r="AQ35" s="6" t="str">
        <f t="shared" si="33"/>
        <v/>
      </c>
      <c r="AR35" s="6" t="str">
        <f t="shared" si="33"/>
        <v/>
      </c>
      <c r="AS35" s="6" t="str">
        <f t="shared" si="34"/>
        <v/>
      </c>
      <c r="AT35" s="6" t="str">
        <f t="shared" si="34"/>
        <v/>
      </c>
      <c r="AU35" s="6" t="str">
        <f t="shared" si="34"/>
        <v/>
      </c>
      <c r="AV35" s="6" t="str">
        <f t="shared" si="34"/>
        <v/>
      </c>
      <c r="AW35" s="6" t="str">
        <f t="shared" si="34"/>
        <v/>
      </c>
      <c r="AX35" s="6" t="str">
        <f t="shared" si="34"/>
        <v/>
      </c>
      <c r="AY35" s="6" t="str">
        <f t="shared" si="34"/>
        <v/>
      </c>
      <c r="AZ35" s="6" t="str">
        <f t="shared" si="34"/>
        <v/>
      </c>
      <c r="BA35" s="6" t="str">
        <f t="shared" si="34"/>
        <v/>
      </c>
      <c r="BB35" s="6" t="str">
        <f t="shared" si="34"/>
        <v/>
      </c>
      <c r="BC35" s="6" t="str">
        <f t="shared" si="35"/>
        <v/>
      </c>
      <c r="BD35" s="6" t="str">
        <f t="shared" si="35"/>
        <v/>
      </c>
      <c r="BE35" s="6" t="str">
        <f t="shared" si="35"/>
        <v/>
      </c>
      <c r="BF35" s="6" t="str">
        <f t="shared" si="35"/>
        <v/>
      </c>
      <c r="BG35" s="6" t="str">
        <f t="shared" si="35"/>
        <v/>
      </c>
      <c r="BH35" s="6" t="str">
        <f t="shared" si="35"/>
        <v/>
      </c>
      <c r="BI35" s="6" t="str">
        <f t="shared" si="35"/>
        <v/>
      </c>
      <c r="BJ35" s="6" t="str">
        <f t="shared" si="35"/>
        <v/>
      </c>
      <c r="BK35" s="6" t="str">
        <f t="shared" si="35"/>
        <v/>
      </c>
      <c r="BL35" s="6" t="str">
        <f t="shared" si="35"/>
        <v/>
      </c>
      <c r="BM35" s="6" t="str">
        <f t="shared" si="36"/>
        <v/>
      </c>
      <c r="BN35" s="6" t="str">
        <f t="shared" si="36"/>
        <v/>
      </c>
      <c r="BO35" s="6" t="str">
        <f t="shared" si="36"/>
        <v/>
      </c>
      <c r="BP35" s="6" t="str">
        <f t="shared" si="36"/>
        <v/>
      </c>
      <c r="BQ35" s="6" t="str">
        <f t="shared" si="36"/>
        <v/>
      </c>
      <c r="BR35" s="6" t="str">
        <f t="shared" si="36"/>
        <v/>
      </c>
      <c r="BS35" s="6" t="str">
        <f t="shared" si="36"/>
        <v/>
      </c>
      <c r="BT35" s="6" t="str">
        <f t="shared" si="36"/>
        <v/>
      </c>
      <c r="BU35" s="6" t="str">
        <f t="shared" si="36"/>
        <v/>
      </c>
      <c r="BV35" s="6" t="str">
        <f t="shared" si="36"/>
        <v/>
      </c>
      <c r="BW35" s="6" t="str">
        <f t="shared" si="37"/>
        <v/>
      </c>
      <c r="BX35" s="6" t="str">
        <f t="shared" si="37"/>
        <v/>
      </c>
      <c r="BY35" s="6" t="str">
        <f t="shared" si="37"/>
        <v/>
      </c>
      <c r="BZ35" s="6" t="str">
        <f t="shared" si="37"/>
        <v/>
      </c>
      <c r="CA35" s="6" t="str">
        <f t="shared" si="37"/>
        <v/>
      </c>
      <c r="CB35" s="6" t="str">
        <f t="shared" si="37"/>
        <v/>
      </c>
      <c r="CC35" s="6" t="str">
        <f t="shared" si="37"/>
        <v/>
      </c>
      <c r="CD35" s="6" t="str">
        <f t="shared" si="37"/>
        <v/>
      </c>
      <c r="CE35" s="6" t="str">
        <f t="shared" si="37"/>
        <v/>
      </c>
      <c r="CF35" s="6" t="str">
        <f t="shared" si="37"/>
        <v/>
      </c>
      <c r="CG35" s="6" t="str">
        <f t="shared" si="38"/>
        <v/>
      </c>
      <c r="CH35" s="6" t="str">
        <f t="shared" si="38"/>
        <v/>
      </c>
      <c r="CI35" s="6" t="str">
        <f t="shared" si="38"/>
        <v/>
      </c>
      <c r="CJ35" s="6" t="str">
        <f t="shared" si="38"/>
        <v/>
      </c>
      <c r="CK35" s="6" t="str">
        <f t="shared" si="38"/>
        <v/>
      </c>
      <c r="CL35" s="6" t="str">
        <f t="shared" si="38"/>
        <v/>
      </c>
      <c r="CM35" s="6" t="str">
        <f t="shared" si="38"/>
        <v/>
      </c>
      <c r="CN35" s="6" t="str">
        <f t="shared" si="38"/>
        <v/>
      </c>
      <c r="CO35" s="6" t="str">
        <f t="shared" si="38"/>
        <v/>
      </c>
      <c r="CP35" s="6" t="str">
        <f t="shared" si="38"/>
        <v/>
      </c>
      <c r="CQ35" s="6" t="str">
        <f t="shared" si="39"/>
        <v/>
      </c>
      <c r="CR35" s="6" t="str">
        <f t="shared" si="39"/>
        <v/>
      </c>
      <c r="CS35" s="6" t="str">
        <f t="shared" si="39"/>
        <v/>
      </c>
      <c r="CT35" s="6" t="str">
        <f t="shared" si="39"/>
        <v/>
      </c>
      <c r="CU35" s="6" t="str">
        <f t="shared" si="39"/>
        <v/>
      </c>
      <c r="CV35" s="6" t="str">
        <f t="shared" si="39"/>
        <v/>
      </c>
      <c r="CW35" s="6" t="str">
        <f t="shared" si="39"/>
        <v/>
      </c>
      <c r="CX35" s="6" t="str">
        <f t="shared" si="39"/>
        <v/>
      </c>
      <c r="CY35" s="6" t="str">
        <f t="shared" si="39"/>
        <v/>
      </c>
      <c r="CZ35" s="6" t="str">
        <f t="shared" si="39"/>
        <v/>
      </c>
      <c r="DA35" s="6" t="str">
        <f t="shared" si="39"/>
        <v/>
      </c>
      <c r="DB35" s="6" t="str">
        <f t="shared" si="39"/>
        <v/>
      </c>
      <c r="DC35" s="6" t="str">
        <f t="shared" si="39"/>
        <v/>
      </c>
      <c r="DD35" s="6" t="str">
        <f t="shared" si="39"/>
        <v/>
      </c>
    </row>
    <row r="36" spans="1:108" ht="28" customHeight="1" x14ac:dyDescent="0.35">
      <c r="A36" s="24" t="str">
        <f>Schedule!B36</f>
        <v>Privacy governance and data permissions</v>
      </c>
      <c r="B36" s="4" t="str">
        <f>Schedule!C36</f>
        <v>Delivery</v>
      </c>
      <c r="C36" s="3">
        <f>IF(Schedule!P36="","",Schedule!P36)</f>
        <v>46382</v>
      </c>
      <c r="D36" s="3">
        <f>IF(Schedule!Q36="","",Schedule!Q36)</f>
        <v>46416</v>
      </c>
      <c r="E36" s="6" t="str">
        <f t="shared" si="30"/>
        <v/>
      </c>
      <c r="F36" s="6" t="str">
        <f t="shared" si="30"/>
        <v/>
      </c>
      <c r="G36" s="6" t="str">
        <f t="shared" si="30"/>
        <v/>
      </c>
      <c r="H36" s="6" t="str">
        <f t="shared" si="30"/>
        <v/>
      </c>
      <c r="I36" s="6" t="str">
        <f t="shared" si="30"/>
        <v/>
      </c>
      <c r="J36" s="6" t="str">
        <f t="shared" si="30"/>
        <v/>
      </c>
      <c r="K36" s="6" t="str">
        <f t="shared" si="30"/>
        <v/>
      </c>
      <c r="L36" s="6" t="str">
        <f t="shared" si="30"/>
        <v/>
      </c>
      <c r="M36" s="6" t="str">
        <f t="shared" si="30"/>
        <v/>
      </c>
      <c r="N36" s="6">
        <f t="shared" si="30"/>
        <v>1</v>
      </c>
      <c r="O36" s="6">
        <f t="shared" si="31"/>
        <v>1</v>
      </c>
      <c r="P36" s="6">
        <f t="shared" si="31"/>
        <v>1</v>
      </c>
      <c r="Q36" s="6">
        <f t="shared" si="31"/>
        <v>1</v>
      </c>
      <c r="R36" s="6">
        <f t="shared" si="31"/>
        <v>1</v>
      </c>
      <c r="S36" s="6" t="str">
        <f t="shared" si="31"/>
        <v/>
      </c>
      <c r="T36" s="6" t="str">
        <f t="shared" si="31"/>
        <v/>
      </c>
      <c r="U36" s="6" t="str">
        <f t="shared" si="31"/>
        <v/>
      </c>
      <c r="V36" s="6" t="str">
        <f t="shared" si="31"/>
        <v/>
      </c>
      <c r="W36" s="6" t="str">
        <f t="shared" si="31"/>
        <v/>
      </c>
      <c r="X36" s="6" t="str">
        <f t="shared" si="31"/>
        <v/>
      </c>
      <c r="Y36" s="6" t="str">
        <f t="shared" si="32"/>
        <v/>
      </c>
      <c r="Z36" s="6" t="str">
        <f t="shared" si="32"/>
        <v/>
      </c>
      <c r="AA36" s="6" t="str">
        <f t="shared" si="32"/>
        <v/>
      </c>
      <c r="AB36" s="6" t="str">
        <f t="shared" si="32"/>
        <v/>
      </c>
      <c r="AC36" s="6" t="str">
        <f t="shared" si="32"/>
        <v/>
      </c>
      <c r="AD36" s="6" t="str">
        <f t="shared" si="32"/>
        <v/>
      </c>
      <c r="AE36" s="6" t="str">
        <f t="shared" si="32"/>
        <v/>
      </c>
      <c r="AF36" s="6" t="str">
        <f t="shared" si="32"/>
        <v/>
      </c>
      <c r="AG36" s="6" t="str">
        <f t="shared" si="32"/>
        <v/>
      </c>
      <c r="AH36" s="6" t="str">
        <f t="shared" si="32"/>
        <v/>
      </c>
      <c r="AI36" s="6" t="str">
        <f t="shared" si="33"/>
        <v/>
      </c>
      <c r="AJ36" s="6" t="str">
        <f t="shared" si="33"/>
        <v/>
      </c>
      <c r="AK36" s="6" t="str">
        <f t="shared" si="33"/>
        <v/>
      </c>
      <c r="AL36" s="6" t="str">
        <f t="shared" si="33"/>
        <v/>
      </c>
      <c r="AM36" s="6" t="str">
        <f t="shared" si="33"/>
        <v/>
      </c>
      <c r="AN36" s="6" t="str">
        <f t="shared" si="33"/>
        <v/>
      </c>
      <c r="AO36" s="6" t="str">
        <f t="shared" si="33"/>
        <v/>
      </c>
      <c r="AP36" s="6" t="str">
        <f t="shared" si="33"/>
        <v/>
      </c>
      <c r="AQ36" s="6" t="str">
        <f t="shared" si="33"/>
        <v/>
      </c>
      <c r="AR36" s="6" t="str">
        <f t="shared" si="33"/>
        <v/>
      </c>
      <c r="AS36" s="6" t="str">
        <f t="shared" si="34"/>
        <v/>
      </c>
      <c r="AT36" s="6" t="str">
        <f t="shared" si="34"/>
        <v/>
      </c>
      <c r="AU36" s="6" t="str">
        <f t="shared" si="34"/>
        <v/>
      </c>
      <c r="AV36" s="6" t="str">
        <f t="shared" si="34"/>
        <v/>
      </c>
      <c r="AW36" s="6" t="str">
        <f t="shared" si="34"/>
        <v/>
      </c>
      <c r="AX36" s="6" t="str">
        <f t="shared" si="34"/>
        <v/>
      </c>
      <c r="AY36" s="6" t="str">
        <f t="shared" si="34"/>
        <v/>
      </c>
      <c r="AZ36" s="6" t="str">
        <f t="shared" si="34"/>
        <v/>
      </c>
      <c r="BA36" s="6" t="str">
        <f t="shared" si="34"/>
        <v/>
      </c>
      <c r="BB36" s="6" t="str">
        <f t="shared" si="34"/>
        <v/>
      </c>
      <c r="BC36" s="6" t="str">
        <f t="shared" si="35"/>
        <v/>
      </c>
      <c r="BD36" s="6" t="str">
        <f t="shared" si="35"/>
        <v/>
      </c>
      <c r="BE36" s="6" t="str">
        <f t="shared" si="35"/>
        <v/>
      </c>
      <c r="BF36" s="6" t="str">
        <f t="shared" si="35"/>
        <v/>
      </c>
      <c r="BG36" s="6" t="str">
        <f t="shared" si="35"/>
        <v/>
      </c>
      <c r="BH36" s="6" t="str">
        <f t="shared" si="35"/>
        <v/>
      </c>
      <c r="BI36" s="6" t="str">
        <f t="shared" si="35"/>
        <v/>
      </c>
      <c r="BJ36" s="6" t="str">
        <f t="shared" si="35"/>
        <v/>
      </c>
      <c r="BK36" s="6" t="str">
        <f t="shared" si="35"/>
        <v/>
      </c>
      <c r="BL36" s="6" t="str">
        <f t="shared" si="35"/>
        <v/>
      </c>
      <c r="BM36" s="6" t="str">
        <f t="shared" si="36"/>
        <v/>
      </c>
      <c r="BN36" s="6" t="str">
        <f t="shared" si="36"/>
        <v/>
      </c>
      <c r="BO36" s="6" t="str">
        <f t="shared" si="36"/>
        <v/>
      </c>
      <c r="BP36" s="6" t="str">
        <f t="shared" si="36"/>
        <v/>
      </c>
      <c r="BQ36" s="6" t="str">
        <f t="shared" si="36"/>
        <v/>
      </c>
      <c r="BR36" s="6" t="str">
        <f t="shared" si="36"/>
        <v/>
      </c>
      <c r="BS36" s="6" t="str">
        <f t="shared" si="36"/>
        <v/>
      </c>
      <c r="BT36" s="6" t="str">
        <f t="shared" si="36"/>
        <v/>
      </c>
      <c r="BU36" s="6" t="str">
        <f t="shared" si="36"/>
        <v/>
      </c>
      <c r="BV36" s="6" t="str">
        <f t="shared" si="36"/>
        <v/>
      </c>
      <c r="BW36" s="6" t="str">
        <f t="shared" si="37"/>
        <v/>
      </c>
      <c r="BX36" s="6" t="str">
        <f t="shared" si="37"/>
        <v/>
      </c>
      <c r="BY36" s="6" t="str">
        <f t="shared" si="37"/>
        <v/>
      </c>
      <c r="BZ36" s="6" t="str">
        <f t="shared" si="37"/>
        <v/>
      </c>
      <c r="CA36" s="6" t="str">
        <f t="shared" si="37"/>
        <v/>
      </c>
      <c r="CB36" s="6" t="str">
        <f t="shared" si="37"/>
        <v/>
      </c>
      <c r="CC36" s="6" t="str">
        <f t="shared" si="37"/>
        <v/>
      </c>
      <c r="CD36" s="6" t="str">
        <f t="shared" si="37"/>
        <v/>
      </c>
      <c r="CE36" s="6" t="str">
        <f t="shared" si="37"/>
        <v/>
      </c>
      <c r="CF36" s="6" t="str">
        <f t="shared" si="37"/>
        <v/>
      </c>
      <c r="CG36" s="6" t="str">
        <f t="shared" si="38"/>
        <v/>
      </c>
      <c r="CH36" s="6" t="str">
        <f t="shared" si="38"/>
        <v/>
      </c>
      <c r="CI36" s="6" t="str">
        <f t="shared" si="38"/>
        <v/>
      </c>
      <c r="CJ36" s="6" t="str">
        <f t="shared" si="38"/>
        <v/>
      </c>
      <c r="CK36" s="6" t="str">
        <f t="shared" si="38"/>
        <v/>
      </c>
      <c r="CL36" s="6" t="str">
        <f t="shared" si="38"/>
        <v/>
      </c>
      <c r="CM36" s="6" t="str">
        <f t="shared" si="38"/>
        <v/>
      </c>
      <c r="CN36" s="6" t="str">
        <f t="shared" si="38"/>
        <v/>
      </c>
      <c r="CO36" s="6" t="str">
        <f t="shared" si="38"/>
        <v/>
      </c>
      <c r="CP36" s="6" t="str">
        <f t="shared" si="38"/>
        <v/>
      </c>
      <c r="CQ36" s="6" t="str">
        <f t="shared" si="39"/>
        <v/>
      </c>
      <c r="CR36" s="6" t="str">
        <f t="shared" si="39"/>
        <v/>
      </c>
      <c r="CS36" s="6" t="str">
        <f t="shared" si="39"/>
        <v/>
      </c>
      <c r="CT36" s="6" t="str">
        <f t="shared" si="39"/>
        <v/>
      </c>
      <c r="CU36" s="6" t="str">
        <f t="shared" si="39"/>
        <v/>
      </c>
      <c r="CV36" s="6" t="str">
        <f t="shared" si="39"/>
        <v/>
      </c>
      <c r="CW36" s="6" t="str">
        <f t="shared" si="39"/>
        <v/>
      </c>
      <c r="CX36" s="6" t="str">
        <f t="shared" si="39"/>
        <v/>
      </c>
      <c r="CY36" s="6" t="str">
        <f t="shared" si="39"/>
        <v/>
      </c>
      <c r="CZ36" s="6" t="str">
        <f t="shared" si="39"/>
        <v/>
      </c>
      <c r="DA36" s="6" t="str">
        <f t="shared" si="39"/>
        <v/>
      </c>
      <c r="DB36" s="6" t="str">
        <f t="shared" si="39"/>
        <v/>
      </c>
      <c r="DC36" s="6" t="str">
        <f t="shared" si="39"/>
        <v/>
      </c>
      <c r="DD36" s="6" t="str">
        <f t="shared" si="39"/>
        <v/>
      </c>
    </row>
    <row r="37" spans="1:108" ht="28" customHeight="1" x14ac:dyDescent="0.35">
      <c r="A37" s="24" t="str">
        <f>Schedule!B37</f>
        <v>Capstone data audit and non-AI baseline</v>
      </c>
      <c r="B37" s="4" t="str">
        <f>Schedule!C37</f>
        <v>Delivery</v>
      </c>
      <c r="C37" s="3">
        <f>IF(Schedule!P37="","",Schedule!P37)</f>
        <v>46498</v>
      </c>
      <c r="D37" s="3">
        <f>IF(Schedule!Q37="","",Schedule!Q37)</f>
        <v>46536</v>
      </c>
      <c r="E37" s="6" t="str">
        <f t="shared" si="30"/>
        <v/>
      </c>
      <c r="F37" s="6" t="str">
        <f t="shared" si="30"/>
        <v/>
      </c>
      <c r="G37" s="6" t="str">
        <f t="shared" si="30"/>
        <v/>
      </c>
      <c r="H37" s="6" t="str">
        <f t="shared" si="30"/>
        <v/>
      </c>
      <c r="I37" s="6" t="str">
        <f t="shared" si="30"/>
        <v/>
      </c>
      <c r="J37" s="6" t="str">
        <f t="shared" si="30"/>
        <v/>
      </c>
      <c r="K37" s="6" t="str">
        <f t="shared" si="30"/>
        <v/>
      </c>
      <c r="L37" s="6" t="str">
        <f t="shared" si="30"/>
        <v/>
      </c>
      <c r="M37" s="6" t="str">
        <f t="shared" si="30"/>
        <v/>
      </c>
      <c r="N37" s="6" t="str">
        <f t="shared" si="30"/>
        <v/>
      </c>
      <c r="O37" s="6" t="str">
        <f t="shared" si="31"/>
        <v/>
      </c>
      <c r="P37" s="6" t="str">
        <f t="shared" si="31"/>
        <v/>
      </c>
      <c r="Q37" s="6" t="str">
        <f t="shared" si="31"/>
        <v/>
      </c>
      <c r="R37" s="6" t="str">
        <f t="shared" si="31"/>
        <v/>
      </c>
      <c r="S37" s="6" t="str">
        <f t="shared" si="31"/>
        <v/>
      </c>
      <c r="T37" s="6" t="str">
        <f t="shared" si="31"/>
        <v/>
      </c>
      <c r="U37" s="6" t="str">
        <f t="shared" si="31"/>
        <v/>
      </c>
      <c r="V37" s="6" t="str">
        <f t="shared" si="31"/>
        <v/>
      </c>
      <c r="W37" s="6" t="str">
        <f t="shared" si="31"/>
        <v/>
      </c>
      <c r="X37" s="6" t="str">
        <f t="shared" si="31"/>
        <v/>
      </c>
      <c r="Y37" s="6" t="str">
        <f t="shared" si="32"/>
        <v/>
      </c>
      <c r="Z37" s="6" t="str">
        <f t="shared" si="32"/>
        <v/>
      </c>
      <c r="AA37" s="6" t="str">
        <f t="shared" si="32"/>
        <v/>
      </c>
      <c r="AB37" s="6" t="str">
        <f t="shared" si="32"/>
        <v/>
      </c>
      <c r="AC37" s="6" t="str">
        <f t="shared" si="32"/>
        <v/>
      </c>
      <c r="AD37" s="6">
        <f t="shared" si="32"/>
        <v>1</v>
      </c>
      <c r="AE37" s="6">
        <f t="shared" si="32"/>
        <v>1</v>
      </c>
      <c r="AF37" s="6">
        <f t="shared" si="32"/>
        <v>1</v>
      </c>
      <c r="AG37" s="6">
        <f t="shared" si="32"/>
        <v>1</v>
      </c>
      <c r="AH37" s="6">
        <f t="shared" si="32"/>
        <v>1</v>
      </c>
      <c r="AI37" s="6">
        <f t="shared" si="33"/>
        <v>1</v>
      </c>
      <c r="AJ37" s="6">
        <f t="shared" si="33"/>
        <v>1</v>
      </c>
      <c r="AK37" s="6" t="str">
        <f t="shared" si="33"/>
        <v/>
      </c>
      <c r="AL37" s="6" t="str">
        <f t="shared" si="33"/>
        <v/>
      </c>
      <c r="AM37" s="6" t="str">
        <f t="shared" si="33"/>
        <v/>
      </c>
      <c r="AN37" s="6" t="str">
        <f t="shared" si="33"/>
        <v/>
      </c>
      <c r="AO37" s="6" t="str">
        <f t="shared" si="33"/>
        <v/>
      </c>
      <c r="AP37" s="6" t="str">
        <f t="shared" si="33"/>
        <v/>
      </c>
      <c r="AQ37" s="6" t="str">
        <f t="shared" si="33"/>
        <v/>
      </c>
      <c r="AR37" s="6" t="str">
        <f t="shared" si="33"/>
        <v/>
      </c>
      <c r="AS37" s="6" t="str">
        <f t="shared" si="34"/>
        <v/>
      </c>
      <c r="AT37" s="6" t="str">
        <f t="shared" si="34"/>
        <v/>
      </c>
      <c r="AU37" s="6" t="str">
        <f t="shared" si="34"/>
        <v/>
      </c>
      <c r="AV37" s="6" t="str">
        <f t="shared" si="34"/>
        <v/>
      </c>
      <c r="AW37" s="6" t="str">
        <f t="shared" si="34"/>
        <v/>
      </c>
      <c r="AX37" s="6" t="str">
        <f t="shared" si="34"/>
        <v/>
      </c>
      <c r="AY37" s="6" t="str">
        <f t="shared" si="34"/>
        <v/>
      </c>
      <c r="AZ37" s="6" t="str">
        <f t="shared" si="34"/>
        <v/>
      </c>
      <c r="BA37" s="6" t="str">
        <f t="shared" si="34"/>
        <v/>
      </c>
      <c r="BB37" s="6" t="str">
        <f t="shared" si="34"/>
        <v/>
      </c>
      <c r="BC37" s="6" t="str">
        <f t="shared" si="35"/>
        <v/>
      </c>
      <c r="BD37" s="6" t="str">
        <f t="shared" si="35"/>
        <v/>
      </c>
      <c r="BE37" s="6" t="str">
        <f t="shared" si="35"/>
        <v/>
      </c>
      <c r="BF37" s="6" t="str">
        <f t="shared" si="35"/>
        <v/>
      </c>
      <c r="BG37" s="6" t="str">
        <f t="shared" si="35"/>
        <v/>
      </c>
      <c r="BH37" s="6" t="str">
        <f t="shared" si="35"/>
        <v/>
      </c>
      <c r="BI37" s="6" t="str">
        <f t="shared" si="35"/>
        <v/>
      </c>
      <c r="BJ37" s="6" t="str">
        <f t="shared" si="35"/>
        <v/>
      </c>
      <c r="BK37" s="6" t="str">
        <f t="shared" si="35"/>
        <v/>
      </c>
      <c r="BL37" s="6" t="str">
        <f t="shared" si="35"/>
        <v/>
      </c>
      <c r="BM37" s="6" t="str">
        <f t="shared" si="36"/>
        <v/>
      </c>
      <c r="BN37" s="6" t="str">
        <f t="shared" si="36"/>
        <v/>
      </c>
      <c r="BO37" s="6" t="str">
        <f t="shared" si="36"/>
        <v/>
      </c>
      <c r="BP37" s="6" t="str">
        <f t="shared" si="36"/>
        <v/>
      </c>
      <c r="BQ37" s="6" t="str">
        <f t="shared" si="36"/>
        <v/>
      </c>
      <c r="BR37" s="6" t="str">
        <f t="shared" si="36"/>
        <v/>
      </c>
      <c r="BS37" s="6" t="str">
        <f t="shared" si="36"/>
        <v/>
      </c>
      <c r="BT37" s="6" t="str">
        <f t="shared" si="36"/>
        <v/>
      </c>
      <c r="BU37" s="6" t="str">
        <f t="shared" si="36"/>
        <v/>
      </c>
      <c r="BV37" s="6" t="str">
        <f t="shared" si="36"/>
        <v/>
      </c>
      <c r="BW37" s="6" t="str">
        <f t="shared" si="37"/>
        <v/>
      </c>
      <c r="BX37" s="6" t="str">
        <f t="shared" si="37"/>
        <v/>
      </c>
      <c r="BY37" s="6" t="str">
        <f t="shared" si="37"/>
        <v/>
      </c>
      <c r="BZ37" s="6" t="str">
        <f t="shared" si="37"/>
        <v/>
      </c>
      <c r="CA37" s="6" t="str">
        <f t="shared" si="37"/>
        <v/>
      </c>
      <c r="CB37" s="6" t="str">
        <f t="shared" si="37"/>
        <v/>
      </c>
      <c r="CC37" s="6" t="str">
        <f t="shared" si="37"/>
        <v/>
      </c>
      <c r="CD37" s="6" t="str">
        <f t="shared" si="37"/>
        <v/>
      </c>
      <c r="CE37" s="6" t="str">
        <f t="shared" si="37"/>
        <v/>
      </c>
      <c r="CF37" s="6" t="str">
        <f t="shared" si="37"/>
        <v/>
      </c>
      <c r="CG37" s="6" t="str">
        <f t="shared" si="38"/>
        <v/>
      </c>
      <c r="CH37" s="6" t="str">
        <f t="shared" si="38"/>
        <v/>
      </c>
      <c r="CI37" s="6" t="str">
        <f t="shared" si="38"/>
        <v/>
      </c>
      <c r="CJ37" s="6" t="str">
        <f t="shared" si="38"/>
        <v/>
      </c>
      <c r="CK37" s="6" t="str">
        <f t="shared" si="38"/>
        <v/>
      </c>
      <c r="CL37" s="6" t="str">
        <f t="shared" si="38"/>
        <v/>
      </c>
      <c r="CM37" s="6" t="str">
        <f t="shared" si="38"/>
        <v/>
      </c>
      <c r="CN37" s="6" t="str">
        <f t="shared" si="38"/>
        <v/>
      </c>
      <c r="CO37" s="6" t="str">
        <f t="shared" si="38"/>
        <v/>
      </c>
      <c r="CP37" s="6" t="str">
        <f t="shared" si="38"/>
        <v/>
      </c>
      <c r="CQ37" s="6" t="str">
        <f t="shared" si="39"/>
        <v/>
      </c>
      <c r="CR37" s="6" t="str">
        <f t="shared" si="39"/>
        <v/>
      </c>
      <c r="CS37" s="6" t="str">
        <f t="shared" si="39"/>
        <v/>
      </c>
      <c r="CT37" s="6" t="str">
        <f t="shared" si="39"/>
        <v/>
      </c>
      <c r="CU37" s="6" t="str">
        <f t="shared" si="39"/>
        <v/>
      </c>
      <c r="CV37" s="6" t="str">
        <f t="shared" si="39"/>
        <v/>
      </c>
      <c r="CW37" s="6" t="str">
        <f t="shared" si="39"/>
        <v/>
      </c>
      <c r="CX37" s="6" t="str">
        <f t="shared" si="39"/>
        <v/>
      </c>
      <c r="CY37" s="6" t="str">
        <f t="shared" si="39"/>
        <v/>
      </c>
      <c r="CZ37" s="6" t="str">
        <f t="shared" si="39"/>
        <v/>
      </c>
      <c r="DA37" s="6" t="str">
        <f t="shared" si="39"/>
        <v/>
      </c>
      <c r="DB37" s="6" t="str">
        <f t="shared" si="39"/>
        <v/>
      </c>
      <c r="DC37" s="6" t="str">
        <f t="shared" si="39"/>
        <v/>
      </c>
      <c r="DD37" s="6" t="str">
        <f t="shared" si="39"/>
        <v/>
      </c>
    </row>
    <row r="38" spans="1:108" ht="28" customHeight="1" x14ac:dyDescent="0.35">
      <c r="A38" s="24" t="str">
        <f>Schedule!B38</f>
        <v>Capstone full-stack vertical slice</v>
      </c>
      <c r="B38" s="4" t="str">
        <f>Schedule!C38</f>
        <v>Delivery</v>
      </c>
      <c r="C38" s="3">
        <f>IF(Schedule!P38="","",Schedule!P38)</f>
        <v>46536</v>
      </c>
      <c r="D38" s="3">
        <f>IF(Schedule!Q38="","",Schedule!Q38)</f>
        <v>46613</v>
      </c>
      <c r="E38" s="6" t="str">
        <f t="shared" si="30"/>
        <v/>
      </c>
      <c r="F38" s="6" t="str">
        <f t="shared" si="30"/>
        <v/>
      </c>
      <c r="G38" s="6" t="str">
        <f t="shared" si="30"/>
        <v/>
      </c>
      <c r="H38" s="6" t="str">
        <f t="shared" si="30"/>
        <v/>
      </c>
      <c r="I38" s="6" t="str">
        <f t="shared" si="30"/>
        <v/>
      </c>
      <c r="J38" s="6" t="str">
        <f t="shared" si="30"/>
        <v/>
      </c>
      <c r="K38" s="6" t="str">
        <f t="shared" si="30"/>
        <v/>
      </c>
      <c r="L38" s="6" t="str">
        <f t="shared" si="30"/>
        <v/>
      </c>
      <c r="M38" s="6" t="str">
        <f t="shared" si="30"/>
        <v/>
      </c>
      <c r="N38" s="6" t="str">
        <f t="shared" si="30"/>
        <v/>
      </c>
      <c r="O38" s="6" t="str">
        <f t="shared" si="31"/>
        <v/>
      </c>
      <c r="P38" s="6" t="str">
        <f t="shared" si="31"/>
        <v/>
      </c>
      <c r="Q38" s="6" t="str">
        <f t="shared" si="31"/>
        <v/>
      </c>
      <c r="R38" s="6" t="str">
        <f t="shared" si="31"/>
        <v/>
      </c>
      <c r="S38" s="6" t="str">
        <f t="shared" si="31"/>
        <v/>
      </c>
      <c r="T38" s="6" t="str">
        <f t="shared" si="31"/>
        <v/>
      </c>
      <c r="U38" s="6" t="str">
        <f t="shared" si="31"/>
        <v/>
      </c>
      <c r="V38" s="6" t="str">
        <f t="shared" si="31"/>
        <v/>
      </c>
      <c r="W38" s="6" t="str">
        <f t="shared" si="31"/>
        <v/>
      </c>
      <c r="X38" s="6" t="str">
        <f t="shared" si="31"/>
        <v/>
      </c>
      <c r="Y38" s="6" t="str">
        <f t="shared" si="32"/>
        <v/>
      </c>
      <c r="Z38" s="6" t="str">
        <f t="shared" si="32"/>
        <v/>
      </c>
      <c r="AA38" s="6" t="str">
        <f t="shared" si="32"/>
        <v/>
      </c>
      <c r="AB38" s="6" t="str">
        <f t="shared" si="32"/>
        <v/>
      </c>
      <c r="AC38" s="6" t="str">
        <f t="shared" si="32"/>
        <v/>
      </c>
      <c r="AD38" s="6" t="str">
        <f t="shared" si="32"/>
        <v/>
      </c>
      <c r="AE38" s="6" t="str">
        <f t="shared" si="32"/>
        <v/>
      </c>
      <c r="AF38" s="6" t="str">
        <f t="shared" si="32"/>
        <v/>
      </c>
      <c r="AG38" s="6" t="str">
        <f t="shared" si="32"/>
        <v/>
      </c>
      <c r="AH38" s="6" t="str">
        <f t="shared" si="32"/>
        <v/>
      </c>
      <c r="AI38" s="6" t="str">
        <f t="shared" si="33"/>
        <v/>
      </c>
      <c r="AJ38" s="6">
        <f t="shared" si="33"/>
        <v>1</v>
      </c>
      <c r="AK38" s="6">
        <f t="shared" si="33"/>
        <v>1</v>
      </c>
      <c r="AL38" s="6">
        <f t="shared" si="33"/>
        <v>1</v>
      </c>
      <c r="AM38" s="6">
        <f t="shared" si="33"/>
        <v>1</v>
      </c>
      <c r="AN38" s="6">
        <f t="shared" si="33"/>
        <v>1</v>
      </c>
      <c r="AO38" s="6">
        <f t="shared" si="33"/>
        <v>1</v>
      </c>
      <c r="AP38" s="6">
        <f t="shared" si="33"/>
        <v>1</v>
      </c>
      <c r="AQ38" s="6">
        <f t="shared" si="33"/>
        <v>1</v>
      </c>
      <c r="AR38" s="6">
        <f t="shared" si="33"/>
        <v>1</v>
      </c>
      <c r="AS38" s="6">
        <f t="shared" si="34"/>
        <v>1</v>
      </c>
      <c r="AT38" s="6">
        <f t="shared" si="34"/>
        <v>1</v>
      </c>
      <c r="AU38" s="6">
        <f t="shared" si="34"/>
        <v>1</v>
      </c>
      <c r="AV38" s="6" t="str">
        <f t="shared" si="34"/>
        <v/>
      </c>
      <c r="AW38" s="6" t="str">
        <f t="shared" si="34"/>
        <v/>
      </c>
      <c r="AX38" s="6" t="str">
        <f t="shared" si="34"/>
        <v/>
      </c>
      <c r="AY38" s="6" t="str">
        <f t="shared" si="34"/>
        <v/>
      </c>
      <c r="AZ38" s="6" t="str">
        <f t="shared" si="34"/>
        <v/>
      </c>
      <c r="BA38" s="6" t="str">
        <f t="shared" si="34"/>
        <v/>
      </c>
      <c r="BB38" s="6" t="str">
        <f t="shared" si="34"/>
        <v/>
      </c>
      <c r="BC38" s="6" t="str">
        <f t="shared" si="35"/>
        <v/>
      </c>
      <c r="BD38" s="6" t="str">
        <f t="shared" si="35"/>
        <v/>
      </c>
      <c r="BE38" s="6" t="str">
        <f t="shared" si="35"/>
        <v/>
      </c>
      <c r="BF38" s="6" t="str">
        <f t="shared" si="35"/>
        <v/>
      </c>
      <c r="BG38" s="6" t="str">
        <f t="shared" si="35"/>
        <v/>
      </c>
      <c r="BH38" s="6" t="str">
        <f t="shared" si="35"/>
        <v/>
      </c>
      <c r="BI38" s="6" t="str">
        <f t="shared" si="35"/>
        <v/>
      </c>
      <c r="BJ38" s="6" t="str">
        <f t="shared" si="35"/>
        <v/>
      </c>
      <c r="BK38" s="6" t="str">
        <f t="shared" si="35"/>
        <v/>
      </c>
      <c r="BL38" s="6" t="str">
        <f t="shared" si="35"/>
        <v/>
      </c>
      <c r="BM38" s="6" t="str">
        <f t="shared" si="36"/>
        <v/>
      </c>
      <c r="BN38" s="6" t="str">
        <f t="shared" si="36"/>
        <v/>
      </c>
      <c r="BO38" s="6" t="str">
        <f t="shared" si="36"/>
        <v/>
      </c>
      <c r="BP38" s="6" t="str">
        <f t="shared" si="36"/>
        <v/>
      </c>
      <c r="BQ38" s="6" t="str">
        <f t="shared" si="36"/>
        <v/>
      </c>
      <c r="BR38" s="6" t="str">
        <f t="shared" si="36"/>
        <v/>
      </c>
      <c r="BS38" s="6" t="str">
        <f t="shared" si="36"/>
        <v/>
      </c>
      <c r="BT38" s="6" t="str">
        <f t="shared" si="36"/>
        <v/>
      </c>
      <c r="BU38" s="6" t="str">
        <f t="shared" si="36"/>
        <v/>
      </c>
      <c r="BV38" s="6" t="str">
        <f t="shared" si="36"/>
        <v/>
      </c>
      <c r="BW38" s="6" t="str">
        <f t="shared" si="37"/>
        <v/>
      </c>
      <c r="BX38" s="6" t="str">
        <f t="shared" si="37"/>
        <v/>
      </c>
      <c r="BY38" s="6" t="str">
        <f t="shared" si="37"/>
        <v/>
      </c>
      <c r="BZ38" s="6" t="str">
        <f t="shared" si="37"/>
        <v/>
      </c>
      <c r="CA38" s="6" t="str">
        <f t="shared" si="37"/>
        <v/>
      </c>
      <c r="CB38" s="6" t="str">
        <f t="shared" si="37"/>
        <v/>
      </c>
      <c r="CC38" s="6" t="str">
        <f t="shared" si="37"/>
        <v/>
      </c>
      <c r="CD38" s="6" t="str">
        <f t="shared" si="37"/>
        <v/>
      </c>
      <c r="CE38" s="6" t="str">
        <f t="shared" si="37"/>
        <v/>
      </c>
      <c r="CF38" s="6" t="str">
        <f t="shared" si="37"/>
        <v/>
      </c>
      <c r="CG38" s="6" t="str">
        <f t="shared" si="38"/>
        <v/>
      </c>
      <c r="CH38" s="6" t="str">
        <f t="shared" si="38"/>
        <v/>
      </c>
      <c r="CI38" s="6" t="str">
        <f t="shared" si="38"/>
        <v/>
      </c>
      <c r="CJ38" s="6" t="str">
        <f t="shared" si="38"/>
        <v/>
      </c>
      <c r="CK38" s="6" t="str">
        <f t="shared" si="38"/>
        <v/>
      </c>
      <c r="CL38" s="6" t="str">
        <f t="shared" si="38"/>
        <v/>
      </c>
      <c r="CM38" s="6" t="str">
        <f t="shared" si="38"/>
        <v/>
      </c>
      <c r="CN38" s="6" t="str">
        <f t="shared" si="38"/>
        <v/>
      </c>
      <c r="CO38" s="6" t="str">
        <f t="shared" si="38"/>
        <v/>
      </c>
      <c r="CP38" s="6" t="str">
        <f t="shared" si="38"/>
        <v/>
      </c>
      <c r="CQ38" s="6" t="str">
        <f t="shared" si="39"/>
        <v/>
      </c>
      <c r="CR38" s="6" t="str">
        <f t="shared" si="39"/>
        <v/>
      </c>
      <c r="CS38" s="6" t="str">
        <f t="shared" si="39"/>
        <v/>
      </c>
      <c r="CT38" s="6" t="str">
        <f t="shared" si="39"/>
        <v/>
      </c>
      <c r="CU38" s="6" t="str">
        <f t="shared" si="39"/>
        <v/>
      </c>
      <c r="CV38" s="6" t="str">
        <f t="shared" si="39"/>
        <v/>
      </c>
      <c r="CW38" s="6" t="str">
        <f t="shared" si="39"/>
        <v/>
      </c>
      <c r="CX38" s="6" t="str">
        <f t="shared" si="39"/>
        <v/>
      </c>
      <c r="CY38" s="6" t="str">
        <f t="shared" si="39"/>
        <v/>
      </c>
      <c r="CZ38" s="6" t="str">
        <f t="shared" si="39"/>
        <v/>
      </c>
      <c r="DA38" s="6" t="str">
        <f t="shared" si="39"/>
        <v/>
      </c>
      <c r="DB38" s="6" t="str">
        <f t="shared" si="39"/>
        <v/>
      </c>
      <c r="DC38" s="6" t="str">
        <f t="shared" si="39"/>
        <v/>
      </c>
      <c r="DD38" s="6" t="str">
        <f t="shared" si="39"/>
        <v/>
      </c>
    </row>
    <row r="39" spans="1:108" ht="28" customHeight="1" x14ac:dyDescent="0.35">
      <c r="A39" s="24" t="str">
        <f>Schedule!B39</f>
        <v>Capstone retrieval and evaluation pilot</v>
      </c>
      <c r="B39" s="4" t="str">
        <f>Schedule!C39</f>
        <v>Delivery</v>
      </c>
      <c r="C39" s="3">
        <f>IF(Schedule!P39="","",Schedule!P39)</f>
        <v>46693</v>
      </c>
      <c r="D39" s="3">
        <f>IF(Schedule!Q39="","",Schedule!Q39)</f>
        <v>46758</v>
      </c>
      <c r="E39" s="6" t="str">
        <f t="shared" si="30"/>
        <v/>
      </c>
      <c r="F39" s="6" t="str">
        <f t="shared" si="30"/>
        <v/>
      </c>
      <c r="G39" s="6" t="str">
        <f t="shared" si="30"/>
        <v/>
      </c>
      <c r="H39" s="6" t="str">
        <f t="shared" si="30"/>
        <v/>
      </c>
      <c r="I39" s="6" t="str">
        <f t="shared" si="30"/>
        <v/>
      </c>
      <c r="J39" s="6" t="str">
        <f t="shared" si="30"/>
        <v/>
      </c>
      <c r="K39" s="6" t="str">
        <f t="shared" si="30"/>
        <v/>
      </c>
      <c r="L39" s="6" t="str">
        <f t="shared" si="30"/>
        <v/>
      </c>
      <c r="M39" s="6" t="str">
        <f t="shared" si="30"/>
        <v/>
      </c>
      <c r="N39" s="6" t="str">
        <f t="shared" si="30"/>
        <v/>
      </c>
      <c r="O39" s="6" t="str">
        <f t="shared" si="31"/>
        <v/>
      </c>
      <c r="P39" s="6" t="str">
        <f t="shared" si="31"/>
        <v/>
      </c>
      <c r="Q39" s="6" t="str">
        <f t="shared" si="31"/>
        <v/>
      </c>
      <c r="R39" s="6" t="str">
        <f t="shared" si="31"/>
        <v/>
      </c>
      <c r="S39" s="6" t="str">
        <f t="shared" si="31"/>
        <v/>
      </c>
      <c r="T39" s="6" t="str">
        <f t="shared" si="31"/>
        <v/>
      </c>
      <c r="U39" s="6" t="str">
        <f t="shared" si="31"/>
        <v/>
      </c>
      <c r="V39" s="6" t="str">
        <f t="shared" si="31"/>
        <v/>
      </c>
      <c r="W39" s="6" t="str">
        <f t="shared" si="31"/>
        <v/>
      </c>
      <c r="X39" s="6" t="str">
        <f t="shared" si="31"/>
        <v/>
      </c>
      <c r="Y39" s="6" t="str">
        <f t="shared" si="32"/>
        <v/>
      </c>
      <c r="Z39" s="6" t="str">
        <f t="shared" si="32"/>
        <v/>
      </c>
      <c r="AA39" s="6" t="str">
        <f t="shared" si="32"/>
        <v/>
      </c>
      <c r="AB39" s="6" t="str">
        <f t="shared" si="32"/>
        <v/>
      </c>
      <c r="AC39" s="6" t="str">
        <f t="shared" si="32"/>
        <v/>
      </c>
      <c r="AD39" s="6" t="str">
        <f t="shared" si="32"/>
        <v/>
      </c>
      <c r="AE39" s="6" t="str">
        <f t="shared" si="32"/>
        <v/>
      </c>
      <c r="AF39" s="6" t="str">
        <f t="shared" si="32"/>
        <v/>
      </c>
      <c r="AG39" s="6" t="str">
        <f t="shared" si="32"/>
        <v/>
      </c>
      <c r="AH39" s="6" t="str">
        <f t="shared" si="32"/>
        <v/>
      </c>
      <c r="AI39" s="6" t="str">
        <f t="shared" si="33"/>
        <v/>
      </c>
      <c r="AJ39" s="6" t="str">
        <f t="shared" si="33"/>
        <v/>
      </c>
      <c r="AK39" s="6" t="str">
        <f t="shared" si="33"/>
        <v/>
      </c>
      <c r="AL39" s="6" t="str">
        <f t="shared" si="33"/>
        <v/>
      </c>
      <c r="AM39" s="6" t="str">
        <f t="shared" si="33"/>
        <v/>
      </c>
      <c r="AN39" s="6" t="str">
        <f t="shared" si="33"/>
        <v/>
      </c>
      <c r="AO39" s="6" t="str">
        <f t="shared" si="33"/>
        <v/>
      </c>
      <c r="AP39" s="6" t="str">
        <f t="shared" si="33"/>
        <v/>
      </c>
      <c r="AQ39" s="6" t="str">
        <f t="shared" si="33"/>
        <v/>
      </c>
      <c r="AR39" s="6" t="str">
        <f t="shared" si="33"/>
        <v/>
      </c>
      <c r="AS39" s="6" t="str">
        <f t="shared" si="34"/>
        <v/>
      </c>
      <c r="AT39" s="6" t="str">
        <f t="shared" si="34"/>
        <v/>
      </c>
      <c r="AU39" s="6" t="str">
        <f t="shared" si="34"/>
        <v/>
      </c>
      <c r="AV39" s="6" t="str">
        <f t="shared" si="34"/>
        <v/>
      </c>
      <c r="AW39" s="6" t="str">
        <f t="shared" si="34"/>
        <v/>
      </c>
      <c r="AX39" s="6" t="str">
        <f t="shared" si="34"/>
        <v/>
      </c>
      <c r="AY39" s="6" t="str">
        <f t="shared" si="34"/>
        <v/>
      </c>
      <c r="AZ39" s="6" t="str">
        <f t="shared" si="34"/>
        <v/>
      </c>
      <c r="BA39" s="6" t="str">
        <f t="shared" si="34"/>
        <v/>
      </c>
      <c r="BB39" s="6" t="str">
        <f t="shared" si="34"/>
        <v/>
      </c>
      <c r="BC39" s="6" t="str">
        <f t="shared" si="35"/>
        <v/>
      </c>
      <c r="BD39" s="6" t="str">
        <f t="shared" si="35"/>
        <v/>
      </c>
      <c r="BE39" s="6" t="str">
        <f t="shared" si="35"/>
        <v/>
      </c>
      <c r="BF39" s="6">
        <f t="shared" si="35"/>
        <v>1</v>
      </c>
      <c r="BG39" s="6">
        <f t="shared" si="35"/>
        <v>1</v>
      </c>
      <c r="BH39" s="6">
        <f t="shared" si="35"/>
        <v>1</v>
      </c>
      <c r="BI39" s="6">
        <f t="shared" si="35"/>
        <v>1</v>
      </c>
      <c r="BJ39" s="6">
        <f t="shared" si="35"/>
        <v>1</v>
      </c>
      <c r="BK39" s="6">
        <f t="shared" si="35"/>
        <v>1</v>
      </c>
      <c r="BL39" s="6">
        <f t="shared" si="35"/>
        <v>1</v>
      </c>
      <c r="BM39" s="6">
        <f t="shared" si="36"/>
        <v>1</v>
      </c>
      <c r="BN39" s="6">
        <f t="shared" si="36"/>
        <v>1</v>
      </c>
      <c r="BO39" s="6">
        <f t="shared" si="36"/>
        <v>1</v>
      </c>
      <c r="BP39" s="6" t="str">
        <f t="shared" si="36"/>
        <v/>
      </c>
      <c r="BQ39" s="6" t="str">
        <f t="shared" si="36"/>
        <v/>
      </c>
      <c r="BR39" s="6" t="str">
        <f t="shared" si="36"/>
        <v/>
      </c>
      <c r="BS39" s="6" t="str">
        <f t="shared" si="36"/>
        <v/>
      </c>
      <c r="BT39" s="6" t="str">
        <f t="shared" si="36"/>
        <v/>
      </c>
      <c r="BU39" s="6" t="str">
        <f t="shared" si="36"/>
        <v/>
      </c>
      <c r="BV39" s="6" t="str">
        <f t="shared" si="36"/>
        <v/>
      </c>
      <c r="BW39" s="6" t="str">
        <f t="shared" si="37"/>
        <v/>
      </c>
      <c r="BX39" s="6" t="str">
        <f t="shared" si="37"/>
        <v/>
      </c>
      <c r="BY39" s="6" t="str">
        <f t="shared" si="37"/>
        <v/>
      </c>
      <c r="BZ39" s="6" t="str">
        <f t="shared" si="37"/>
        <v/>
      </c>
      <c r="CA39" s="6" t="str">
        <f t="shared" si="37"/>
        <v/>
      </c>
      <c r="CB39" s="6" t="str">
        <f t="shared" si="37"/>
        <v/>
      </c>
      <c r="CC39" s="6" t="str">
        <f t="shared" si="37"/>
        <v/>
      </c>
      <c r="CD39" s="6" t="str">
        <f t="shared" si="37"/>
        <v/>
      </c>
      <c r="CE39" s="6" t="str">
        <f t="shared" si="37"/>
        <v/>
      </c>
      <c r="CF39" s="6" t="str">
        <f t="shared" si="37"/>
        <v/>
      </c>
      <c r="CG39" s="6" t="str">
        <f t="shared" si="38"/>
        <v/>
      </c>
      <c r="CH39" s="6" t="str">
        <f t="shared" si="38"/>
        <v/>
      </c>
      <c r="CI39" s="6" t="str">
        <f t="shared" si="38"/>
        <v/>
      </c>
      <c r="CJ39" s="6" t="str">
        <f t="shared" si="38"/>
        <v/>
      </c>
      <c r="CK39" s="6" t="str">
        <f t="shared" si="38"/>
        <v/>
      </c>
      <c r="CL39" s="6" t="str">
        <f t="shared" si="38"/>
        <v/>
      </c>
      <c r="CM39" s="6" t="str">
        <f t="shared" si="38"/>
        <v/>
      </c>
      <c r="CN39" s="6" t="str">
        <f t="shared" si="38"/>
        <v/>
      </c>
      <c r="CO39" s="6" t="str">
        <f t="shared" si="38"/>
        <v/>
      </c>
      <c r="CP39" s="6" t="str">
        <f t="shared" si="38"/>
        <v/>
      </c>
      <c r="CQ39" s="6" t="str">
        <f t="shared" si="39"/>
        <v/>
      </c>
      <c r="CR39" s="6" t="str">
        <f t="shared" si="39"/>
        <v/>
      </c>
      <c r="CS39" s="6" t="str">
        <f t="shared" si="39"/>
        <v/>
      </c>
      <c r="CT39" s="6" t="str">
        <f t="shared" si="39"/>
        <v/>
      </c>
      <c r="CU39" s="6" t="str">
        <f t="shared" si="39"/>
        <v/>
      </c>
      <c r="CV39" s="6" t="str">
        <f t="shared" si="39"/>
        <v/>
      </c>
      <c r="CW39" s="6" t="str">
        <f t="shared" si="39"/>
        <v/>
      </c>
      <c r="CX39" s="6" t="str">
        <f t="shared" si="39"/>
        <v/>
      </c>
      <c r="CY39" s="6" t="str">
        <f t="shared" si="39"/>
        <v/>
      </c>
      <c r="CZ39" s="6" t="str">
        <f t="shared" si="39"/>
        <v/>
      </c>
      <c r="DA39" s="6" t="str">
        <f t="shared" si="39"/>
        <v/>
      </c>
      <c r="DB39" s="6" t="str">
        <f t="shared" si="39"/>
        <v/>
      </c>
      <c r="DC39" s="6" t="str">
        <f t="shared" si="39"/>
        <v/>
      </c>
      <c r="DD39" s="6" t="str">
        <f t="shared" si="39"/>
        <v/>
      </c>
    </row>
    <row r="40" spans="1:108" ht="28" customHeight="1" x14ac:dyDescent="0.35">
      <c r="A40" s="24" t="str">
        <f>Schedule!B40</f>
        <v>Capstone bounded actions and failure rehearsal</v>
      </c>
      <c r="B40" s="4" t="str">
        <f>Schedule!C40</f>
        <v>Delivery</v>
      </c>
      <c r="C40" s="3">
        <f>IF(Schedule!P40="","",Schedule!P40)</f>
        <v>46760</v>
      </c>
      <c r="D40" s="3">
        <f>IF(Schedule!Q40="","",Schedule!Q40)</f>
        <v>46804</v>
      </c>
      <c r="E40" s="6" t="str">
        <f t="shared" si="30"/>
        <v/>
      </c>
      <c r="F40" s="6" t="str">
        <f t="shared" si="30"/>
        <v/>
      </c>
      <c r="G40" s="6" t="str">
        <f t="shared" si="30"/>
        <v/>
      </c>
      <c r="H40" s="6" t="str">
        <f t="shared" si="30"/>
        <v/>
      </c>
      <c r="I40" s="6" t="str">
        <f t="shared" si="30"/>
        <v/>
      </c>
      <c r="J40" s="6" t="str">
        <f t="shared" si="30"/>
        <v/>
      </c>
      <c r="K40" s="6" t="str">
        <f t="shared" si="30"/>
        <v/>
      </c>
      <c r="L40" s="6" t="str">
        <f t="shared" si="30"/>
        <v/>
      </c>
      <c r="M40" s="6" t="str">
        <f t="shared" si="30"/>
        <v/>
      </c>
      <c r="N40" s="6" t="str">
        <f t="shared" si="30"/>
        <v/>
      </c>
      <c r="O40" s="6" t="str">
        <f t="shared" si="31"/>
        <v/>
      </c>
      <c r="P40" s="6" t="str">
        <f t="shared" si="31"/>
        <v/>
      </c>
      <c r="Q40" s="6" t="str">
        <f t="shared" si="31"/>
        <v/>
      </c>
      <c r="R40" s="6" t="str">
        <f t="shared" si="31"/>
        <v/>
      </c>
      <c r="S40" s="6" t="str">
        <f t="shared" si="31"/>
        <v/>
      </c>
      <c r="T40" s="6" t="str">
        <f t="shared" si="31"/>
        <v/>
      </c>
      <c r="U40" s="6" t="str">
        <f t="shared" si="31"/>
        <v/>
      </c>
      <c r="V40" s="6" t="str">
        <f t="shared" si="31"/>
        <v/>
      </c>
      <c r="W40" s="6" t="str">
        <f t="shared" si="31"/>
        <v/>
      </c>
      <c r="X40" s="6" t="str">
        <f t="shared" si="31"/>
        <v/>
      </c>
      <c r="Y40" s="6" t="str">
        <f t="shared" si="32"/>
        <v/>
      </c>
      <c r="Z40" s="6" t="str">
        <f t="shared" si="32"/>
        <v/>
      </c>
      <c r="AA40" s="6" t="str">
        <f t="shared" si="32"/>
        <v/>
      </c>
      <c r="AB40" s="6" t="str">
        <f t="shared" si="32"/>
        <v/>
      </c>
      <c r="AC40" s="6" t="str">
        <f t="shared" si="32"/>
        <v/>
      </c>
      <c r="AD40" s="6" t="str">
        <f t="shared" si="32"/>
        <v/>
      </c>
      <c r="AE40" s="6" t="str">
        <f t="shared" si="32"/>
        <v/>
      </c>
      <c r="AF40" s="6" t="str">
        <f t="shared" si="32"/>
        <v/>
      </c>
      <c r="AG40" s="6" t="str">
        <f t="shared" si="32"/>
        <v/>
      </c>
      <c r="AH40" s="6" t="str">
        <f t="shared" si="32"/>
        <v/>
      </c>
      <c r="AI40" s="6" t="str">
        <f t="shared" si="33"/>
        <v/>
      </c>
      <c r="AJ40" s="6" t="str">
        <f t="shared" si="33"/>
        <v/>
      </c>
      <c r="AK40" s="6" t="str">
        <f t="shared" si="33"/>
        <v/>
      </c>
      <c r="AL40" s="6" t="str">
        <f t="shared" si="33"/>
        <v/>
      </c>
      <c r="AM40" s="6" t="str">
        <f t="shared" si="33"/>
        <v/>
      </c>
      <c r="AN40" s="6" t="str">
        <f t="shared" si="33"/>
        <v/>
      </c>
      <c r="AO40" s="6" t="str">
        <f t="shared" si="33"/>
        <v/>
      </c>
      <c r="AP40" s="6" t="str">
        <f t="shared" si="33"/>
        <v/>
      </c>
      <c r="AQ40" s="6" t="str">
        <f t="shared" si="33"/>
        <v/>
      </c>
      <c r="AR40" s="6" t="str">
        <f t="shared" si="33"/>
        <v/>
      </c>
      <c r="AS40" s="6" t="str">
        <f t="shared" si="34"/>
        <v/>
      </c>
      <c r="AT40" s="6" t="str">
        <f t="shared" si="34"/>
        <v/>
      </c>
      <c r="AU40" s="6" t="str">
        <f t="shared" si="34"/>
        <v/>
      </c>
      <c r="AV40" s="6" t="str">
        <f t="shared" si="34"/>
        <v/>
      </c>
      <c r="AW40" s="6" t="str">
        <f t="shared" si="34"/>
        <v/>
      </c>
      <c r="AX40" s="6" t="str">
        <f t="shared" si="34"/>
        <v/>
      </c>
      <c r="AY40" s="6" t="str">
        <f t="shared" si="34"/>
        <v/>
      </c>
      <c r="AZ40" s="6" t="str">
        <f t="shared" si="34"/>
        <v/>
      </c>
      <c r="BA40" s="6" t="str">
        <f t="shared" si="34"/>
        <v/>
      </c>
      <c r="BB40" s="6" t="str">
        <f t="shared" si="34"/>
        <v/>
      </c>
      <c r="BC40" s="6" t="str">
        <f t="shared" si="35"/>
        <v/>
      </c>
      <c r="BD40" s="6" t="str">
        <f t="shared" si="35"/>
        <v/>
      </c>
      <c r="BE40" s="6" t="str">
        <f t="shared" si="35"/>
        <v/>
      </c>
      <c r="BF40" s="6" t="str">
        <f t="shared" si="35"/>
        <v/>
      </c>
      <c r="BG40" s="6" t="str">
        <f t="shared" si="35"/>
        <v/>
      </c>
      <c r="BH40" s="6" t="str">
        <f t="shared" si="35"/>
        <v/>
      </c>
      <c r="BI40" s="6" t="str">
        <f t="shared" si="35"/>
        <v/>
      </c>
      <c r="BJ40" s="6" t="str">
        <f t="shared" si="35"/>
        <v/>
      </c>
      <c r="BK40" s="6" t="str">
        <f t="shared" si="35"/>
        <v/>
      </c>
      <c r="BL40" s="6" t="str">
        <f t="shared" si="35"/>
        <v/>
      </c>
      <c r="BM40" s="6" t="str">
        <f t="shared" si="36"/>
        <v/>
      </c>
      <c r="BN40" s="6" t="str">
        <f t="shared" si="36"/>
        <v/>
      </c>
      <c r="BO40" s="6" t="str">
        <f t="shared" si="36"/>
        <v/>
      </c>
      <c r="BP40" s="6">
        <f t="shared" si="36"/>
        <v>1</v>
      </c>
      <c r="BQ40" s="6">
        <f t="shared" si="36"/>
        <v>1</v>
      </c>
      <c r="BR40" s="6">
        <f t="shared" si="36"/>
        <v>1</v>
      </c>
      <c r="BS40" s="6">
        <f t="shared" si="36"/>
        <v>1</v>
      </c>
      <c r="BT40" s="6">
        <f t="shared" si="36"/>
        <v>1</v>
      </c>
      <c r="BU40" s="6">
        <f t="shared" si="36"/>
        <v>1</v>
      </c>
      <c r="BV40" s="6">
        <f t="shared" si="36"/>
        <v>1</v>
      </c>
      <c r="BW40" s="6" t="str">
        <f t="shared" si="37"/>
        <v/>
      </c>
      <c r="BX40" s="6" t="str">
        <f t="shared" si="37"/>
        <v/>
      </c>
      <c r="BY40" s="6" t="str">
        <f t="shared" si="37"/>
        <v/>
      </c>
      <c r="BZ40" s="6" t="str">
        <f t="shared" si="37"/>
        <v/>
      </c>
      <c r="CA40" s="6" t="str">
        <f t="shared" si="37"/>
        <v/>
      </c>
      <c r="CB40" s="6" t="str">
        <f t="shared" si="37"/>
        <v/>
      </c>
      <c r="CC40" s="6" t="str">
        <f t="shared" si="37"/>
        <v/>
      </c>
      <c r="CD40" s="6" t="str">
        <f t="shared" si="37"/>
        <v/>
      </c>
      <c r="CE40" s="6" t="str">
        <f t="shared" si="37"/>
        <v/>
      </c>
      <c r="CF40" s="6" t="str">
        <f t="shared" si="37"/>
        <v/>
      </c>
      <c r="CG40" s="6" t="str">
        <f t="shared" si="38"/>
        <v/>
      </c>
      <c r="CH40" s="6" t="str">
        <f t="shared" si="38"/>
        <v/>
      </c>
      <c r="CI40" s="6" t="str">
        <f t="shared" si="38"/>
        <v/>
      </c>
      <c r="CJ40" s="6" t="str">
        <f t="shared" si="38"/>
        <v/>
      </c>
      <c r="CK40" s="6" t="str">
        <f t="shared" si="38"/>
        <v/>
      </c>
      <c r="CL40" s="6" t="str">
        <f t="shared" si="38"/>
        <v/>
      </c>
      <c r="CM40" s="6" t="str">
        <f t="shared" si="38"/>
        <v/>
      </c>
      <c r="CN40" s="6" t="str">
        <f t="shared" si="38"/>
        <v/>
      </c>
      <c r="CO40" s="6" t="str">
        <f t="shared" si="38"/>
        <v/>
      </c>
      <c r="CP40" s="6" t="str">
        <f t="shared" si="38"/>
        <v/>
      </c>
      <c r="CQ40" s="6" t="str">
        <f t="shared" si="39"/>
        <v/>
      </c>
      <c r="CR40" s="6" t="str">
        <f t="shared" si="39"/>
        <v/>
      </c>
      <c r="CS40" s="6" t="str">
        <f t="shared" si="39"/>
        <v/>
      </c>
      <c r="CT40" s="6" t="str">
        <f t="shared" si="39"/>
        <v/>
      </c>
      <c r="CU40" s="6" t="str">
        <f t="shared" si="39"/>
        <v/>
      </c>
      <c r="CV40" s="6" t="str">
        <f t="shared" si="39"/>
        <v/>
      </c>
      <c r="CW40" s="6" t="str">
        <f t="shared" si="39"/>
        <v/>
      </c>
      <c r="CX40" s="6" t="str">
        <f t="shared" si="39"/>
        <v/>
      </c>
      <c r="CY40" s="6" t="str">
        <f t="shared" si="39"/>
        <v/>
      </c>
      <c r="CZ40" s="6" t="str">
        <f t="shared" si="39"/>
        <v/>
      </c>
      <c r="DA40" s="6" t="str">
        <f t="shared" si="39"/>
        <v/>
      </c>
      <c r="DB40" s="6" t="str">
        <f t="shared" si="39"/>
        <v/>
      </c>
      <c r="DC40" s="6" t="str">
        <f t="shared" si="39"/>
        <v/>
      </c>
      <c r="DD40" s="6" t="str">
        <f t="shared" si="39"/>
        <v/>
      </c>
    </row>
    <row r="41" spans="1:108" ht="28" customHeight="1" x14ac:dyDescent="0.35">
      <c r="A41" s="24" t="str">
        <f>Schedule!B41</f>
        <v>Deployment user acceptance and recovery</v>
      </c>
      <c r="B41" s="4" t="str">
        <f>Schedule!C41</f>
        <v>Delivery</v>
      </c>
      <c r="C41" s="3">
        <f>IF(Schedule!P41="","",Schedule!P41)</f>
        <v>46848</v>
      </c>
      <c r="D41" s="3">
        <f>IF(Schedule!Q41="","",Schedule!Q41)</f>
        <v>46903</v>
      </c>
      <c r="E41" s="6" t="str">
        <f t="shared" si="30"/>
        <v/>
      </c>
      <c r="F41" s="6" t="str">
        <f t="shared" si="30"/>
        <v/>
      </c>
      <c r="G41" s="6" t="str">
        <f t="shared" si="30"/>
        <v/>
      </c>
      <c r="H41" s="6" t="str">
        <f t="shared" si="30"/>
        <v/>
      </c>
      <c r="I41" s="6" t="str">
        <f t="shared" si="30"/>
        <v/>
      </c>
      <c r="J41" s="6" t="str">
        <f t="shared" si="30"/>
        <v/>
      </c>
      <c r="K41" s="6" t="str">
        <f t="shared" si="30"/>
        <v/>
      </c>
      <c r="L41" s="6" t="str">
        <f t="shared" si="30"/>
        <v/>
      </c>
      <c r="M41" s="6" t="str">
        <f t="shared" si="30"/>
        <v/>
      </c>
      <c r="N41" s="6" t="str">
        <f t="shared" si="30"/>
        <v/>
      </c>
      <c r="O41" s="6" t="str">
        <f t="shared" si="31"/>
        <v/>
      </c>
      <c r="P41" s="6" t="str">
        <f t="shared" si="31"/>
        <v/>
      </c>
      <c r="Q41" s="6" t="str">
        <f t="shared" si="31"/>
        <v/>
      </c>
      <c r="R41" s="6" t="str">
        <f t="shared" si="31"/>
        <v/>
      </c>
      <c r="S41" s="6" t="str">
        <f t="shared" si="31"/>
        <v/>
      </c>
      <c r="T41" s="6" t="str">
        <f t="shared" si="31"/>
        <v/>
      </c>
      <c r="U41" s="6" t="str">
        <f t="shared" si="31"/>
        <v/>
      </c>
      <c r="V41" s="6" t="str">
        <f t="shared" si="31"/>
        <v/>
      </c>
      <c r="W41" s="6" t="str">
        <f t="shared" si="31"/>
        <v/>
      </c>
      <c r="X41" s="6" t="str">
        <f t="shared" si="31"/>
        <v/>
      </c>
      <c r="Y41" s="6" t="str">
        <f t="shared" si="32"/>
        <v/>
      </c>
      <c r="Z41" s="6" t="str">
        <f t="shared" si="32"/>
        <v/>
      </c>
      <c r="AA41" s="6" t="str">
        <f t="shared" si="32"/>
        <v/>
      </c>
      <c r="AB41" s="6" t="str">
        <f t="shared" si="32"/>
        <v/>
      </c>
      <c r="AC41" s="6" t="str">
        <f t="shared" si="32"/>
        <v/>
      </c>
      <c r="AD41" s="6" t="str">
        <f t="shared" si="32"/>
        <v/>
      </c>
      <c r="AE41" s="6" t="str">
        <f t="shared" si="32"/>
        <v/>
      </c>
      <c r="AF41" s="6" t="str">
        <f t="shared" si="32"/>
        <v/>
      </c>
      <c r="AG41" s="6" t="str">
        <f t="shared" si="32"/>
        <v/>
      </c>
      <c r="AH41" s="6" t="str">
        <f t="shared" si="32"/>
        <v/>
      </c>
      <c r="AI41" s="6" t="str">
        <f t="shared" si="33"/>
        <v/>
      </c>
      <c r="AJ41" s="6" t="str">
        <f t="shared" si="33"/>
        <v/>
      </c>
      <c r="AK41" s="6" t="str">
        <f t="shared" si="33"/>
        <v/>
      </c>
      <c r="AL41" s="6" t="str">
        <f t="shared" si="33"/>
        <v/>
      </c>
      <c r="AM41" s="6" t="str">
        <f t="shared" si="33"/>
        <v/>
      </c>
      <c r="AN41" s="6" t="str">
        <f t="shared" si="33"/>
        <v/>
      </c>
      <c r="AO41" s="6" t="str">
        <f t="shared" si="33"/>
        <v/>
      </c>
      <c r="AP41" s="6" t="str">
        <f t="shared" si="33"/>
        <v/>
      </c>
      <c r="AQ41" s="6" t="str">
        <f t="shared" si="33"/>
        <v/>
      </c>
      <c r="AR41" s="6" t="str">
        <f t="shared" si="33"/>
        <v/>
      </c>
      <c r="AS41" s="6" t="str">
        <f t="shared" si="34"/>
        <v/>
      </c>
      <c r="AT41" s="6" t="str">
        <f t="shared" si="34"/>
        <v/>
      </c>
      <c r="AU41" s="6" t="str">
        <f t="shared" si="34"/>
        <v/>
      </c>
      <c r="AV41" s="6" t="str">
        <f t="shared" si="34"/>
        <v/>
      </c>
      <c r="AW41" s="6" t="str">
        <f t="shared" si="34"/>
        <v/>
      </c>
      <c r="AX41" s="6" t="str">
        <f t="shared" si="34"/>
        <v/>
      </c>
      <c r="AY41" s="6" t="str">
        <f t="shared" si="34"/>
        <v/>
      </c>
      <c r="AZ41" s="6" t="str">
        <f t="shared" si="34"/>
        <v/>
      </c>
      <c r="BA41" s="6" t="str">
        <f t="shared" si="34"/>
        <v/>
      </c>
      <c r="BB41" s="6" t="str">
        <f t="shared" si="34"/>
        <v/>
      </c>
      <c r="BC41" s="6" t="str">
        <f t="shared" si="35"/>
        <v/>
      </c>
      <c r="BD41" s="6" t="str">
        <f t="shared" si="35"/>
        <v/>
      </c>
      <c r="BE41" s="6" t="str">
        <f t="shared" si="35"/>
        <v/>
      </c>
      <c r="BF41" s="6" t="str">
        <f t="shared" si="35"/>
        <v/>
      </c>
      <c r="BG41" s="6" t="str">
        <f t="shared" si="35"/>
        <v/>
      </c>
      <c r="BH41" s="6" t="str">
        <f t="shared" si="35"/>
        <v/>
      </c>
      <c r="BI41" s="6" t="str">
        <f t="shared" si="35"/>
        <v/>
      </c>
      <c r="BJ41" s="6" t="str">
        <f t="shared" si="35"/>
        <v/>
      </c>
      <c r="BK41" s="6" t="str">
        <f t="shared" si="35"/>
        <v/>
      </c>
      <c r="BL41" s="6" t="str">
        <f t="shared" si="35"/>
        <v/>
      </c>
      <c r="BM41" s="6" t="str">
        <f t="shared" si="36"/>
        <v/>
      </c>
      <c r="BN41" s="6" t="str">
        <f t="shared" si="36"/>
        <v/>
      </c>
      <c r="BO41" s="6" t="str">
        <f t="shared" si="36"/>
        <v/>
      </c>
      <c r="BP41" s="6" t="str">
        <f t="shared" si="36"/>
        <v/>
      </c>
      <c r="BQ41" s="6" t="str">
        <f t="shared" si="36"/>
        <v/>
      </c>
      <c r="BR41" s="6" t="str">
        <f t="shared" si="36"/>
        <v/>
      </c>
      <c r="BS41" s="6" t="str">
        <f t="shared" si="36"/>
        <v/>
      </c>
      <c r="BT41" s="6" t="str">
        <f t="shared" si="36"/>
        <v/>
      </c>
      <c r="BU41" s="6" t="str">
        <f t="shared" si="36"/>
        <v/>
      </c>
      <c r="BV41" s="6" t="str">
        <f t="shared" si="36"/>
        <v/>
      </c>
      <c r="BW41" s="6" t="str">
        <f t="shared" si="37"/>
        <v/>
      </c>
      <c r="BX41" s="6" t="str">
        <f t="shared" si="37"/>
        <v/>
      </c>
      <c r="BY41" s="6" t="str">
        <f t="shared" si="37"/>
        <v/>
      </c>
      <c r="BZ41" s="6" t="str">
        <f t="shared" si="37"/>
        <v/>
      </c>
      <c r="CA41" s="6" t="str">
        <f t="shared" si="37"/>
        <v/>
      </c>
      <c r="CB41" s="6">
        <f t="shared" si="37"/>
        <v>1</v>
      </c>
      <c r="CC41" s="6">
        <f t="shared" si="37"/>
        <v>1</v>
      </c>
      <c r="CD41" s="6">
        <f t="shared" si="37"/>
        <v>1</v>
      </c>
      <c r="CE41" s="6">
        <f t="shared" si="37"/>
        <v>1</v>
      </c>
      <c r="CF41" s="6">
        <f t="shared" si="37"/>
        <v>1</v>
      </c>
      <c r="CG41" s="6">
        <f t="shared" si="38"/>
        <v>1</v>
      </c>
      <c r="CH41" s="6">
        <f t="shared" si="38"/>
        <v>1</v>
      </c>
      <c r="CI41" s="6">
        <f t="shared" si="38"/>
        <v>1</v>
      </c>
      <c r="CJ41" s="6">
        <f t="shared" si="38"/>
        <v>1</v>
      </c>
      <c r="CK41" s="6" t="str">
        <f t="shared" si="38"/>
        <v/>
      </c>
      <c r="CL41" s="6" t="str">
        <f t="shared" si="38"/>
        <v/>
      </c>
      <c r="CM41" s="6" t="str">
        <f t="shared" si="38"/>
        <v/>
      </c>
      <c r="CN41" s="6" t="str">
        <f t="shared" si="38"/>
        <v/>
      </c>
      <c r="CO41" s="6" t="str">
        <f t="shared" si="38"/>
        <v/>
      </c>
      <c r="CP41" s="6" t="str">
        <f t="shared" si="38"/>
        <v/>
      </c>
      <c r="CQ41" s="6" t="str">
        <f t="shared" si="39"/>
        <v/>
      </c>
      <c r="CR41" s="6" t="str">
        <f t="shared" si="39"/>
        <v/>
      </c>
      <c r="CS41" s="6" t="str">
        <f t="shared" si="39"/>
        <v/>
      </c>
      <c r="CT41" s="6" t="str">
        <f t="shared" si="39"/>
        <v/>
      </c>
      <c r="CU41" s="6" t="str">
        <f t="shared" si="39"/>
        <v/>
      </c>
      <c r="CV41" s="6" t="str">
        <f t="shared" si="39"/>
        <v/>
      </c>
      <c r="CW41" s="6" t="str">
        <f t="shared" si="39"/>
        <v/>
      </c>
      <c r="CX41" s="6" t="str">
        <f t="shared" si="39"/>
        <v/>
      </c>
      <c r="CY41" s="6" t="str">
        <f t="shared" si="39"/>
        <v/>
      </c>
      <c r="CZ41" s="6" t="str">
        <f t="shared" si="39"/>
        <v/>
      </c>
      <c r="DA41" s="6" t="str">
        <f t="shared" si="39"/>
        <v/>
      </c>
      <c r="DB41" s="6" t="str">
        <f t="shared" si="39"/>
        <v/>
      </c>
      <c r="DC41" s="6" t="str">
        <f t="shared" si="39"/>
        <v/>
      </c>
      <c r="DD41" s="6" t="str">
        <f t="shared" si="39"/>
        <v/>
      </c>
    </row>
    <row r="42" spans="1:108" ht="28" customHeight="1" x14ac:dyDescent="0.35">
      <c r="A42" s="24" t="str">
        <f>Schedule!B42</f>
        <v>Operational handover and technical writing</v>
      </c>
      <c r="B42" s="4" t="str">
        <f>Schedule!C42</f>
        <v>Delivery</v>
      </c>
      <c r="C42" s="3">
        <f>IF(Schedule!P42="","",Schedule!P42)</f>
        <v>46903</v>
      </c>
      <c r="D42" s="3">
        <f>IF(Schedule!Q42="","",Schedule!Q42)</f>
        <v>46941</v>
      </c>
      <c r="E42" s="6" t="str">
        <f t="shared" ref="E42:N49" si="40">IF(AND(ISNUMBER($C42),ISNUMBER($D42),E$1&lt;=$D42,E$1+6&gt;=$C42),1,"")</f>
        <v/>
      </c>
      <c r="F42" s="6" t="str">
        <f t="shared" si="40"/>
        <v/>
      </c>
      <c r="G42" s="6" t="str">
        <f t="shared" si="40"/>
        <v/>
      </c>
      <c r="H42" s="6" t="str">
        <f t="shared" si="40"/>
        <v/>
      </c>
      <c r="I42" s="6" t="str">
        <f t="shared" si="40"/>
        <v/>
      </c>
      <c r="J42" s="6" t="str">
        <f t="shared" si="40"/>
        <v/>
      </c>
      <c r="K42" s="6" t="str">
        <f t="shared" si="40"/>
        <v/>
      </c>
      <c r="L42" s="6" t="str">
        <f t="shared" si="40"/>
        <v/>
      </c>
      <c r="M42" s="6" t="str">
        <f t="shared" si="40"/>
        <v/>
      </c>
      <c r="N42" s="6" t="str">
        <f t="shared" si="40"/>
        <v/>
      </c>
      <c r="O42" s="6" t="str">
        <f t="shared" ref="O42:X49" si="41">IF(AND(ISNUMBER($C42),ISNUMBER($D42),O$1&lt;=$D42,O$1+6&gt;=$C42),1,"")</f>
        <v/>
      </c>
      <c r="P42" s="6" t="str">
        <f t="shared" si="41"/>
        <v/>
      </c>
      <c r="Q42" s="6" t="str">
        <f t="shared" si="41"/>
        <v/>
      </c>
      <c r="R42" s="6" t="str">
        <f t="shared" si="41"/>
        <v/>
      </c>
      <c r="S42" s="6" t="str">
        <f t="shared" si="41"/>
        <v/>
      </c>
      <c r="T42" s="6" t="str">
        <f t="shared" si="41"/>
        <v/>
      </c>
      <c r="U42" s="6" t="str">
        <f t="shared" si="41"/>
        <v/>
      </c>
      <c r="V42" s="6" t="str">
        <f t="shared" si="41"/>
        <v/>
      </c>
      <c r="W42" s="6" t="str">
        <f t="shared" si="41"/>
        <v/>
      </c>
      <c r="X42" s="6" t="str">
        <f t="shared" si="41"/>
        <v/>
      </c>
      <c r="Y42" s="6" t="str">
        <f t="shared" ref="Y42:AH49" si="42">IF(AND(ISNUMBER($C42),ISNUMBER($D42),Y$1&lt;=$D42,Y$1+6&gt;=$C42),1,"")</f>
        <v/>
      </c>
      <c r="Z42" s="6" t="str">
        <f t="shared" si="42"/>
        <v/>
      </c>
      <c r="AA42" s="6" t="str">
        <f t="shared" si="42"/>
        <v/>
      </c>
      <c r="AB42" s="6" t="str">
        <f t="shared" si="42"/>
        <v/>
      </c>
      <c r="AC42" s="6" t="str">
        <f t="shared" si="42"/>
        <v/>
      </c>
      <c r="AD42" s="6" t="str">
        <f t="shared" si="42"/>
        <v/>
      </c>
      <c r="AE42" s="6" t="str">
        <f t="shared" si="42"/>
        <v/>
      </c>
      <c r="AF42" s="6" t="str">
        <f t="shared" si="42"/>
        <v/>
      </c>
      <c r="AG42" s="6" t="str">
        <f t="shared" si="42"/>
        <v/>
      </c>
      <c r="AH42" s="6" t="str">
        <f t="shared" si="42"/>
        <v/>
      </c>
      <c r="AI42" s="6" t="str">
        <f t="shared" ref="AI42:AR49" si="43">IF(AND(ISNUMBER($C42),ISNUMBER($D42),AI$1&lt;=$D42,AI$1+6&gt;=$C42),1,"")</f>
        <v/>
      </c>
      <c r="AJ42" s="6" t="str">
        <f t="shared" si="43"/>
        <v/>
      </c>
      <c r="AK42" s="6" t="str">
        <f t="shared" si="43"/>
        <v/>
      </c>
      <c r="AL42" s="6" t="str">
        <f t="shared" si="43"/>
        <v/>
      </c>
      <c r="AM42" s="6" t="str">
        <f t="shared" si="43"/>
        <v/>
      </c>
      <c r="AN42" s="6" t="str">
        <f t="shared" si="43"/>
        <v/>
      </c>
      <c r="AO42" s="6" t="str">
        <f t="shared" si="43"/>
        <v/>
      </c>
      <c r="AP42" s="6" t="str">
        <f t="shared" si="43"/>
        <v/>
      </c>
      <c r="AQ42" s="6" t="str">
        <f t="shared" si="43"/>
        <v/>
      </c>
      <c r="AR42" s="6" t="str">
        <f t="shared" si="43"/>
        <v/>
      </c>
      <c r="AS42" s="6" t="str">
        <f t="shared" ref="AS42:BB49" si="44">IF(AND(ISNUMBER($C42),ISNUMBER($D42),AS$1&lt;=$D42,AS$1+6&gt;=$C42),1,"")</f>
        <v/>
      </c>
      <c r="AT42" s="6" t="str">
        <f t="shared" si="44"/>
        <v/>
      </c>
      <c r="AU42" s="6" t="str">
        <f t="shared" si="44"/>
        <v/>
      </c>
      <c r="AV42" s="6" t="str">
        <f t="shared" si="44"/>
        <v/>
      </c>
      <c r="AW42" s="6" t="str">
        <f t="shared" si="44"/>
        <v/>
      </c>
      <c r="AX42" s="6" t="str">
        <f t="shared" si="44"/>
        <v/>
      </c>
      <c r="AY42" s="6" t="str">
        <f t="shared" si="44"/>
        <v/>
      </c>
      <c r="AZ42" s="6" t="str">
        <f t="shared" si="44"/>
        <v/>
      </c>
      <c r="BA42" s="6" t="str">
        <f t="shared" si="44"/>
        <v/>
      </c>
      <c r="BB42" s="6" t="str">
        <f t="shared" si="44"/>
        <v/>
      </c>
      <c r="BC42" s="6" t="str">
        <f t="shared" ref="BC42:BL49" si="45">IF(AND(ISNUMBER($C42),ISNUMBER($D42),BC$1&lt;=$D42,BC$1+6&gt;=$C42),1,"")</f>
        <v/>
      </c>
      <c r="BD42" s="6" t="str">
        <f t="shared" si="45"/>
        <v/>
      </c>
      <c r="BE42" s="6" t="str">
        <f t="shared" si="45"/>
        <v/>
      </c>
      <c r="BF42" s="6" t="str">
        <f t="shared" si="45"/>
        <v/>
      </c>
      <c r="BG42" s="6" t="str">
        <f t="shared" si="45"/>
        <v/>
      </c>
      <c r="BH42" s="6" t="str">
        <f t="shared" si="45"/>
        <v/>
      </c>
      <c r="BI42" s="6" t="str">
        <f t="shared" si="45"/>
        <v/>
      </c>
      <c r="BJ42" s="6" t="str">
        <f t="shared" si="45"/>
        <v/>
      </c>
      <c r="BK42" s="6" t="str">
        <f t="shared" si="45"/>
        <v/>
      </c>
      <c r="BL42" s="6" t="str">
        <f t="shared" si="45"/>
        <v/>
      </c>
      <c r="BM42" s="6" t="str">
        <f t="shared" ref="BM42:BV49" si="46">IF(AND(ISNUMBER($C42),ISNUMBER($D42),BM$1&lt;=$D42,BM$1+6&gt;=$C42),1,"")</f>
        <v/>
      </c>
      <c r="BN42" s="6" t="str">
        <f t="shared" si="46"/>
        <v/>
      </c>
      <c r="BO42" s="6" t="str">
        <f t="shared" si="46"/>
        <v/>
      </c>
      <c r="BP42" s="6" t="str">
        <f t="shared" si="46"/>
        <v/>
      </c>
      <c r="BQ42" s="6" t="str">
        <f t="shared" si="46"/>
        <v/>
      </c>
      <c r="BR42" s="6" t="str">
        <f t="shared" si="46"/>
        <v/>
      </c>
      <c r="BS42" s="6" t="str">
        <f t="shared" si="46"/>
        <v/>
      </c>
      <c r="BT42" s="6" t="str">
        <f t="shared" si="46"/>
        <v/>
      </c>
      <c r="BU42" s="6" t="str">
        <f t="shared" si="46"/>
        <v/>
      </c>
      <c r="BV42" s="6" t="str">
        <f t="shared" si="46"/>
        <v/>
      </c>
      <c r="BW42" s="6" t="str">
        <f t="shared" ref="BW42:CF49" si="47">IF(AND(ISNUMBER($C42),ISNUMBER($D42),BW$1&lt;=$D42,BW$1+6&gt;=$C42),1,"")</f>
        <v/>
      </c>
      <c r="BX42" s="6" t="str">
        <f t="shared" si="47"/>
        <v/>
      </c>
      <c r="BY42" s="6" t="str">
        <f t="shared" si="47"/>
        <v/>
      </c>
      <c r="BZ42" s="6" t="str">
        <f t="shared" si="47"/>
        <v/>
      </c>
      <c r="CA42" s="6" t="str">
        <f t="shared" si="47"/>
        <v/>
      </c>
      <c r="CB42" s="6" t="str">
        <f t="shared" si="47"/>
        <v/>
      </c>
      <c r="CC42" s="6" t="str">
        <f t="shared" si="47"/>
        <v/>
      </c>
      <c r="CD42" s="6" t="str">
        <f t="shared" si="47"/>
        <v/>
      </c>
      <c r="CE42" s="6" t="str">
        <f t="shared" si="47"/>
        <v/>
      </c>
      <c r="CF42" s="6" t="str">
        <f t="shared" si="47"/>
        <v/>
      </c>
      <c r="CG42" s="6" t="str">
        <f t="shared" ref="CG42:CP49" si="48">IF(AND(ISNUMBER($C42),ISNUMBER($D42),CG$1&lt;=$D42,CG$1+6&gt;=$C42),1,"")</f>
        <v/>
      </c>
      <c r="CH42" s="6" t="str">
        <f t="shared" si="48"/>
        <v/>
      </c>
      <c r="CI42" s="6" t="str">
        <f t="shared" si="48"/>
        <v/>
      </c>
      <c r="CJ42" s="6">
        <f t="shared" si="48"/>
        <v>1</v>
      </c>
      <c r="CK42" s="6">
        <f t="shared" si="48"/>
        <v>1</v>
      </c>
      <c r="CL42" s="6">
        <f t="shared" si="48"/>
        <v>1</v>
      </c>
      <c r="CM42" s="6">
        <f t="shared" si="48"/>
        <v>1</v>
      </c>
      <c r="CN42" s="6">
        <f t="shared" si="48"/>
        <v>1</v>
      </c>
      <c r="CO42" s="6">
        <f t="shared" si="48"/>
        <v>1</v>
      </c>
      <c r="CP42" s="6" t="str">
        <f t="shared" si="48"/>
        <v/>
      </c>
      <c r="CQ42" s="6" t="str">
        <f t="shared" ref="CQ42:DD49" si="49">IF(AND(ISNUMBER($C42),ISNUMBER($D42),CQ$1&lt;=$D42,CQ$1+6&gt;=$C42),1,"")</f>
        <v/>
      </c>
      <c r="CR42" s="6" t="str">
        <f t="shared" si="49"/>
        <v/>
      </c>
      <c r="CS42" s="6" t="str">
        <f t="shared" si="49"/>
        <v/>
      </c>
      <c r="CT42" s="6" t="str">
        <f t="shared" si="49"/>
        <v/>
      </c>
      <c r="CU42" s="6" t="str">
        <f t="shared" si="49"/>
        <v/>
      </c>
      <c r="CV42" s="6" t="str">
        <f t="shared" si="49"/>
        <v/>
      </c>
      <c r="CW42" s="6" t="str">
        <f t="shared" si="49"/>
        <v/>
      </c>
      <c r="CX42" s="6" t="str">
        <f t="shared" si="49"/>
        <v/>
      </c>
      <c r="CY42" s="6" t="str">
        <f t="shared" si="49"/>
        <v/>
      </c>
      <c r="CZ42" s="6" t="str">
        <f t="shared" si="49"/>
        <v/>
      </c>
      <c r="DA42" s="6" t="str">
        <f t="shared" si="49"/>
        <v/>
      </c>
      <c r="DB42" s="6" t="str">
        <f t="shared" si="49"/>
        <v/>
      </c>
      <c r="DC42" s="6" t="str">
        <f t="shared" si="49"/>
        <v/>
      </c>
      <c r="DD42" s="6" t="str">
        <f t="shared" si="49"/>
        <v/>
      </c>
    </row>
    <row r="43" spans="1:108" ht="28" customHeight="1" x14ac:dyDescent="0.35">
      <c r="A43" s="24" t="str">
        <f>Schedule!B43</f>
        <v>Value report feedback and portfolio</v>
      </c>
      <c r="B43" s="4" t="str">
        <f>Schedule!C43</f>
        <v>Delivery</v>
      </c>
      <c r="C43" s="3">
        <f>IF(Schedule!P43="","",Schedule!P43)</f>
        <v>46941</v>
      </c>
      <c r="D43" s="3">
        <f>IF(Schedule!Q43="","",Schedule!Q43)</f>
        <v>46974</v>
      </c>
      <c r="E43" s="6" t="str">
        <f t="shared" si="40"/>
        <v/>
      </c>
      <c r="F43" s="6" t="str">
        <f t="shared" si="40"/>
        <v/>
      </c>
      <c r="G43" s="6" t="str">
        <f t="shared" si="40"/>
        <v/>
      </c>
      <c r="H43" s="6" t="str">
        <f t="shared" si="40"/>
        <v/>
      </c>
      <c r="I43" s="6" t="str">
        <f t="shared" si="40"/>
        <v/>
      </c>
      <c r="J43" s="6" t="str">
        <f t="shared" si="40"/>
        <v/>
      </c>
      <c r="K43" s="6" t="str">
        <f t="shared" si="40"/>
        <v/>
      </c>
      <c r="L43" s="6" t="str">
        <f t="shared" si="40"/>
        <v/>
      </c>
      <c r="M43" s="6" t="str">
        <f t="shared" si="40"/>
        <v/>
      </c>
      <c r="N43" s="6" t="str">
        <f t="shared" si="40"/>
        <v/>
      </c>
      <c r="O43" s="6" t="str">
        <f t="shared" si="41"/>
        <v/>
      </c>
      <c r="P43" s="6" t="str">
        <f t="shared" si="41"/>
        <v/>
      </c>
      <c r="Q43" s="6" t="str">
        <f t="shared" si="41"/>
        <v/>
      </c>
      <c r="R43" s="6" t="str">
        <f t="shared" si="41"/>
        <v/>
      </c>
      <c r="S43" s="6" t="str">
        <f t="shared" si="41"/>
        <v/>
      </c>
      <c r="T43" s="6" t="str">
        <f t="shared" si="41"/>
        <v/>
      </c>
      <c r="U43" s="6" t="str">
        <f t="shared" si="41"/>
        <v/>
      </c>
      <c r="V43" s="6" t="str">
        <f t="shared" si="41"/>
        <v/>
      </c>
      <c r="W43" s="6" t="str">
        <f t="shared" si="41"/>
        <v/>
      </c>
      <c r="X43" s="6" t="str">
        <f t="shared" si="41"/>
        <v/>
      </c>
      <c r="Y43" s="6" t="str">
        <f t="shared" si="42"/>
        <v/>
      </c>
      <c r="Z43" s="6" t="str">
        <f t="shared" si="42"/>
        <v/>
      </c>
      <c r="AA43" s="6" t="str">
        <f t="shared" si="42"/>
        <v/>
      </c>
      <c r="AB43" s="6" t="str">
        <f t="shared" si="42"/>
        <v/>
      </c>
      <c r="AC43" s="6" t="str">
        <f t="shared" si="42"/>
        <v/>
      </c>
      <c r="AD43" s="6" t="str">
        <f t="shared" si="42"/>
        <v/>
      </c>
      <c r="AE43" s="6" t="str">
        <f t="shared" si="42"/>
        <v/>
      </c>
      <c r="AF43" s="6" t="str">
        <f t="shared" si="42"/>
        <v/>
      </c>
      <c r="AG43" s="6" t="str">
        <f t="shared" si="42"/>
        <v/>
      </c>
      <c r="AH43" s="6" t="str">
        <f t="shared" si="42"/>
        <v/>
      </c>
      <c r="AI43" s="6" t="str">
        <f t="shared" si="43"/>
        <v/>
      </c>
      <c r="AJ43" s="6" t="str">
        <f t="shared" si="43"/>
        <v/>
      </c>
      <c r="AK43" s="6" t="str">
        <f t="shared" si="43"/>
        <v/>
      </c>
      <c r="AL43" s="6" t="str">
        <f t="shared" si="43"/>
        <v/>
      </c>
      <c r="AM43" s="6" t="str">
        <f t="shared" si="43"/>
        <v/>
      </c>
      <c r="AN43" s="6" t="str">
        <f t="shared" si="43"/>
        <v/>
      </c>
      <c r="AO43" s="6" t="str">
        <f t="shared" si="43"/>
        <v/>
      </c>
      <c r="AP43" s="6" t="str">
        <f t="shared" si="43"/>
        <v/>
      </c>
      <c r="AQ43" s="6" t="str">
        <f t="shared" si="43"/>
        <v/>
      </c>
      <c r="AR43" s="6" t="str">
        <f t="shared" si="43"/>
        <v/>
      </c>
      <c r="AS43" s="6" t="str">
        <f t="shared" si="44"/>
        <v/>
      </c>
      <c r="AT43" s="6" t="str">
        <f t="shared" si="44"/>
        <v/>
      </c>
      <c r="AU43" s="6" t="str">
        <f t="shared" si="44"/>
        <v/>
      </c>
      <c r="AV43" s="6" t="str">
        <f t="shared" si="44"/>
        <v/>
      </c>
      <c r="AW43" s="6" t="str">
        <f t="shared" si="44"/>
        <v/>
      </c>
      <c r="AX43" s="6" t="str">
        <f t="shared" si="44"/>
        <v/>
      </c>
      <c r="AY43" s="6" t="str">
        <f t="shared" si="44"/>
        <v/>
      </c>
      <c r="AZ43" s="6" t="str">
        <f t="shared" si="44"/>
        <v/>
      </c>
      <c r="BA43" s="6" t="str">
        <f t="shared" si="44"/>
        <v/>
      </c>
      <c r="BB43" s="6" t="str">
        <f t="shared" si="44"/>
        <v/>
      </c>
      <c r="BC43" s="6" t="str">
        <f t="shared" si="45"/>
        <v/>
      </c>
      <c r="BD43" s="6" t="str">
        <f t="shared" si="45"/>
        <v/>
      </c>
      <c r="BE43" s="6" t="str">
        <f t="shared" si="45"/>
        <v/>
      </c>
      <c r="BF43" s="6" t="str">
        <f t="shared" si="45"/>
        <v/>
      </c>
      <c r="BG43" s="6" t="str">
        <f t="shared" si="45"/>
        <v/>
      </c>
      <c r="BH43" s="6" t="str">
        <f t="shared" si="45"/>
        <v/>
      </c>
      <c r="BI43" s="6" t="str">
        <f t="shared" si="45"/>
        <v/>
      </c>
      <c r="BJ43" s="6" t="str">
        <f t="shared" si="45"/>
        <v/>
      </c>
      <c r="BK43" s="6" t="str">
        <f t="shared" si="45"/>
        <v/>
      </c>
      <c r="BL43" s="6" t="str">
        <f t="shared" si="45"/>
        <v/>
      </c>
      <c r="BM43" s="6" t="str">
        <f t="shared" si="46"/>
        <v/>
      </c>
      <c r="BN43" s="6" t="str">
        <f t="shared" si="46"/>
        <v/>
      </c>
      <c r="BO43" s="6" t="str">
        <f t="shared" si="46"/>
        <v/>
      </c>
      <c r="BP43" s="6" t="str">
        <f t="shared" si="46"/>
        <v/>
      </c>
      <c r="BQ43" s="6" t="str">
        <f t="shared" si="46"/>
        <v/>
      </c>
      <c r="BR43" s="6" t="str">
        <f t="shared" si="46"/>
        <v/>
      </c>
      <c r="BS43" s="6" t="str">
        <f t="shared" si="46"/>
        <v/>
      </c>
      <c r="BT43" s="6" t="str">
        <f t="shared" si="46"/>
        <v/>
      </c>
      <c r="BU43" s="6" t="str">
        <f t="shared" si="46"/>
        <v/>
      </c>
      <c r="BV43" s="6" t="str">
        <f t="shared" si="46"/>
        <v/>
      </c>
      <c r="BW43" s="6" t="str">
        <f t="shared" si="47"/>
        <v/>
      </c>
      <c r="BX43" s="6" t="str">
        <f t="shared" si="47"/>
        <v/>
      </c>
      <c r="BY43" s="6" t="str">
        <f t="shared" si="47"/>
        <v/>
      </c>
      <c r="BZ43" s="6" t="str">
        <f t="shared" si="47"/>
        <v/>
      </c>
      <c r="CA43" s="6" t="str">
        <f t="shared" si="47"/>
        <v/>
      </c>
      <c r="CB43" s="6" t="str">
        <f t="shared" si="47"/>
        <v/>
      </c>
      <c r="CC43" s="6" t="str">
        <f t="shared" si="47"/>
        <v/>
      </c>
      <c r="CD43" s="6" t="str">
        <f t="shared" si="47"/>
        <v/>
      </c>
      <c r="CE43" s="6" t="str">
        <f t="shared" si="47"/>
        <v/>
      </c>
      <c r="CF43" s="6" t="str">
        <f t="shared" si="47"/>
        <v/>
      </c>
      <c r="CG43" s="6" t="str">
        <f t="shared" si="48"/>
        <v/>
      </c>
      <c r="CH43" s="6" t="str">
        <f t="shared" si="48"/>
        <v/>
      </c>
      <c r="CI43" s="6" t="str">
        <f t="shared" si="48"/>
        <v/>
      </c>
      <c r="CJ43" s="6" t="str">
        <f t="shared" si="48"/>
        <v/>
      </c>
      <c r="CK43" s="6" t="str">
        <f t="shared" si="48"/>
        <v/>
      </c>
      <c r="CL43" s="6" t="str">
        <f t="shared" si="48"/>
        <v/>
      </c>
      <c r="CM43" s="6" t="str">
        <f t="shared" si="48"/>
        <v/>
      </c>
      <c r="CN43" s="6" t="str">
        <f t="shared" si="48"/>
        <v/>
      </c>
      <c r="CO43" s="6">
        <f t="shared" si="48"/>
        <v>1</v>
      </c>
      <c r="CP43" s="6">
        <f t="shared" si="48"/>
        <v>1</v>
      </c>
      <c r="CQ43" s="6">
        <f t="shared" si="49"/>
        <v>1</v>
      </c>
      <c r="CR43" s="6">
        <f t="shared" si="49"/>
        <v>1</v>
      </c>
      <c r="CS43" s="6">
        <f t="shared" si="49"/>
        <v>1</v>
      </c>
      <c r="CT43" s="6">
        <f t="shared" si="49"/>
        <v>1</v>
      </c>
      <c r="CU43" s="6" t="str">
        <f t="shared" si="49"/>
        <v/>
      </c>
      <c r="CV43" s="6" t="str">
        <f t="shared" si="49"/>
        <v/>
      </c>
      <c r="CW43" s="6" t="str">
        <f t="shared" si="49"/>
        <v/>
      </c>
      <c r="CX43" s="6" t="str">
        <f t="shared" si="49"/>
        <v/>
      </c>
      <c r="CY43" s="6" t="str">
        <f t="shared" si="49"/>
        <v/>
      </c>
      <c r="CZ43" s="6" t="str">
        <f t="shared" si="49"/>
        <v/>
      </c>
      <c r="DA43" s="6" t="str">
        <f t="shared" si="49"/>
        <v/>
      </c>
      <c r="DB43" s="6" t="str">
        <f t="shared" si="49"/>
        <v/>
      </c>
      <c r="DC43" s="6" t="str">
        <f t="shared" si="49"/>
        <v/>
      </c>
      <c r="DD43" s="6" t="str">
        <f t="shared" si="49"/>
        <v/>
      </c>
    </row>
    <row r="44" spans="1:108" ht="28" customHeight="1" x14ac:dyDescent="0.35">
      <c r="A44" s="24" t="str">
        <f>Schedule!B44</f>
        <v>Optional additional programming languages</v>
      </c>
      <c r="B44" s="4" t="str">
        <f>Schedule!C44</f>
        <v>Core</v>
      </c>
      <c r="C44" s="3" t="str">
        <f>IF(Schedule!P44="","",Schedule!P44)</f>
        <v/>
      </c>
      <c r="D44" s="3" t="str">
        <f>IF(Schedule!Q44="","",Schedule!Q44)</f>
        <v/>
      </c>
      <c r="E44" s="6" t="str">
        <f t="shared" si="40"/>
        <v/>
      </c>
      <c r="F44" s="6" t="str">
        <f t="shared" si="40"/>
        <v/>
      </c>
      <c r="G44" s="6" t="str">
        <f t="shared" si="40"/>
        <v/>
      </c>
      <c r="H44" s="6" t="str">
        <f t="shared" si="40"/>
        <v/>
      </c>
      <c r="I44" s="6" t="str">
        <f t="shared" si="40"/>
        <v/>
      </c>
      <c r="J44" s="6" t="str">
        <f t="shared" si="40"/>
        <v/>
      </c>
      <c r="K44" s="6" t="str">
        <f t="shared" si="40"/>
        <v/>
      </c>
      <c r="L44" s="6" t="str">
        <f t="shared" si="40"/>
        <v/>
      </c>
      <c r="M44" s="6" t="str">
        <f t="shared" si="40"/>
        <v/>
      </c>
      <c r="N44" s="6" t="str">
        <f t="shared" si="40"/>
        <v/>
      </c>
      <c r="O44" s="6" t="str">
        <f t="shared" si="41"/>
        <v/>
      </c>
      <c r="P44" s="6" t="str">
        <f t="shared" si="41"/>
        <v/>
      </c>
      <c r="Q44" s="6" t="str">
        <f t="shared" si="41"/>
        <v/>
      </c>
      <c r="R44" s="6" t="str">
        <f t="shared" si="41"/>
        <v/>
      </c>
      <c r="S44" s="6" t="str">
        <f t="shared" si="41"/>
        <v/>
      </c>
      <c r="T44" s="6" t="str">
        <f t="shared" si="41"/>
        <v/>
      </c>
      <c r="U44" s="6" t="str">
        <f t="shared" si="41"/>
        <v/>
      </c>
      <c r="V44" s="6" t="str">
        <f t="shared" si="41"/>
        <v/>
      </c>
      <c r="W44" s="6" t="str">
        <f t="shared" si="41"/>
        <v/>
      </c>
      <c r="X44" s="6" t="str">
        <f t="shared" si="41"/>
        <v/>
      </c>
      <c r="Y44" s="6" t="str">
        <f t="shared" si="42"/>
        <v/>
      </c>
      <c r="Z44" s="6" t="str">
        <f t="shared" si="42"/>
        <v/>
      </c>
      <c r="AA44" s="6" t="str">
        <f t="shared" si="42"/>
        <v/>
      </c>
      <c r="AB44" s="6" t="str">
        <f t="shared" si="42"/>
        <v/>
      </c>
      <c r="AC44" s="6" t="str">
        <f t="shared" si="42"/>
        <v/>
      </c>
      <c r="AD44" s="6" t="str">
        <f t="shared" si="42"/>
        <v/>
      </c>
      <c r="AE44" s="6" t="str">
        <f t="shared" si="42"/>
        <v/>
      </c>
      <c r="AF44" s="6" t="str">
        <f t="shared" si="42"/>
        <v/>
      </c>
      <c r="AG44" s="6" t="str">
        <f t="shared" si="42"/>
        <v/>
      </c>
      <c r="AH44" s="6" t="str">
        <f t="shared" si="42"/>
        <v/>
      </c>
      <c r="AI44" s="6" t="str">
        <f t="shared" si="43"/>
        <v/>
      </c>
      <c r="AJ44" s="6" t="str">
        <f t="shared" si="43"/>
        <v/>
      </c>
      <c r="AK44" s="6" t="str">
        <f t="shared" si="43"/>
        <v/>
      </c>
      <c r="AL44" s="6" t="str">
        <f t="shared" si="43"/>
        <v/>
      </c>
      <c r="AM44" s="6" t="str">
        <f t="shared" si="43"/>
        <v/>
      </c>
      <c r="AN44" s="6" t="str">
        <f t="shared" si="43"/>
        <v/>
      </c>
      <c r="AO44" s="6" t="str">
        <f t="shared" si="43"/>
        <v/>
      </c>
      <c r="AP44" s="6" t="str">
        <f t="shared" si="43"/>
        <v/>
      </c>
      <c r="AQ44" s="6" t="str">
        <f t="shared" si="43"/>
        <v/>
      </c>
      <c r="AR44" s="6" t="str">
        <f t="shared" si="43"/>
        <v/>
      </c>
      <c r="AS44" s="6" t="str">
        <f t="shared" si="44"/>
        <v/>
      </c>
      <c r="AT44" s="6" t="str">
        <f t="shared" si="44"/>
        <v/>
      </c>
      <c r="AU44" s="6" t="str">
        <f t="shared" si="44"/>
        <v/>
      </c>
      <c r="AV44" s="6" t="str">
        <f t="shared" si="44"/>
        <v/>
      </c>
      <c r="AW44" s="6" t="str">
        <f t="shared" si="44"/>
        <v/>
      </c>
      <c r="AX44" s="6" t="str">
        <f t="shared" si="44"/>
        <v/>
      </c>
      <c r="AY44" s="6" t="str">
        <f t="shared" si="44"/>
        <v/>
      </c>
      <c r="AZ44" s="6" t="str">
        <f t="shared" si="44"/>
        <v/>
      </c>
      <c r="BA44" s="6" t="str">
        <f t="shared" si="44"/>
        <v/>
      </c>
      <c r="BB44" s="6" t="str">
        <f t="shared" si="44"/>
        <v/>
      </c>
      <c r="BC44" s="6" t="str">
        <f t="shared" si="45"/>
        <v/>
      </c>
      <c r="BD44" s="6" t="str">
        <f t="shared" si="45"/>
        <v/>
      </c>
      <c r="BE44" s="6" t="str">
        <f t="shared" si="45"/>
        <v/>
      </c>
      <c r="BF44" s="6" t="str">
        <f t="shared" si="45"/>
        <v/>
      </c>
      <c r="BG44" s="6" t="str">
        <f t="shared" si="45"/>
        <v/>
      </c>
      <c r="BH44" s="6" t="str">
        <f t="shared" si="45"/>
        <v/>
      </c>
      <c r="BI44" s="6" t="str">
        <f t="shared" si="45"/>
        <v/>
      </c>
      <c r="BJ44" s="6" t="str">
        <f t="shared" si="45"/>
        <v/>
      </c>
      <c r="BK44" s="6" t="str">
        <f t="shared" si="45"/>
        <v/>
      </c>
      <c r="BL44" s="6" t="str">
        <f t="shared" si="45"/>
        <v/>
      </c>
      <c r="BM44" s="6" t="str">
        <f t="shared" si="46"/>
        <v/>
      </c>
      <c r="BN44" s="6" t="str">
        <f t="shared" si="46"/>
        <v/>
      </c>
      <c r="BO44" s="6" t="str">
        <f t="shared" si="46"/>
        <v/>
      </c>
      <c r="BP44" s="6" t="str">
        <f t="shared" si="46"/>
        <v/>
      </c>
      <c r="BQ44" s="6" t="str">
        <f t="shared" si="46"/>
        <v/>
      </c>
      <c r="BR44" s="6" t="str">
        <f t="shared" si="46"/>
        <v/>
      </c>
      <c r="BS44" s="6" t="str">
        <f t="shared" si="46"/>
        <v/>
      </c>
      <c r="BT44" s="6" t="str">
        <f t="shared" si="46"/>
        <v/>
      </c>
      <c r="BU44" s="6" t="str">
        <f t="shared" si="46"/>
        <v/>
      </c>
      <c r="BV44" s="6" t="str">
        <f t="shared" si="46"/>
        <v/>
      </c>
      <c r="BW44" s="6" t="str">
        <f t="shared" si="47"/>
        <v/>
      </c>
      <c r="BX44" s="6" t="str">
        <f t="shared" si="47"/>
        <v/>
      </c>
      <c r="BY44" s="6" t="str">
        <f t="shared" si="47"/>
        <v/>
      </c>
      <c r="BZ44" s="6" t="str">
        <f t="shared" si="47"/>
        <v/>
      </c>
      <c r="CA44" s="6" t="str">
        <f t="shared" si="47"/>
        <v/>
      </c>
      <c r="CB44" s="6" t="str">
        <f t="shared" si="47"/>
        <v/>
      </c>
      <c r="CC44" s="6" t="str">
        <f t="shared" si="47"/>
        <v/>
      </c>
      <c r="CD44" s="6" t="str">
        <f t="shared" si="47"/>
        <v/>
      </c>
      <c r="CE44" s="6" t="str">
        <f t="shared" si="47"/>
        <v/>
      </c>
      <c r="CF44" s="6" t="str">
        <f t="shared" si="47"/>
        <v/>
      </c>
      <c r="CG44" s="6" t="str">
        <f t="shared" si="48"/>
        <v/>
      </c>
      <c r="CH44" s="6" t="str">
        <f t="shared" si="48"/>
        <v/>
      </c>
      <c r="CI44" s="6" t="str">
        <f t="shared" si="48"/>
        <v/>
      </c>
      <c r="CJ44" s="6" t="str">
        <f t="shared" si="48"/>
        <v/>
      </c>
      <c r="CK44" s="6" t="str">
        <f t="shared" si="48"/>
        <v/>
      </c>
      <c r="CL44" s="6" t="str">
        <f t="shared" si="48"/>
        <v/>
      </c>
      <c r="CM44" s="6" t="str">
        <f t="shared" si="48"/>
        <v/>
      </c>
      <c r="CN44" s="6" t="str">
        <f t="shared" si="48"/>
        <v/>
      </c>
      <c r="CO44" s="6" t="str">
        <f t="shared" si="48"/>
        <v/>
      </c>
      <c r="CP44" s="6" t="str">
        <f t="shared" si="48"/>
        <v/>
      </c>
      <c r="CQ44" s="6" t="str">
        <f t="shared" si="49"/>
        <v/>
      </c>
      <c r="CR44" s="6" t="str">
        <f t="shared" si="49"/>
        <v/>
      </c>
      <c r="CS44" s="6" t="str">
        <f t="shared" si="49"/>
        <v/>
      </c>
      <c r="CT44" s="6" t="str">
        <f t="shared" si="49"/>
        <v/>
      </c>
      <c r="CU44" s="6" t="str">
        <f t="shared" si="49"/>
        <v/>
      </c>
      <c r="CV44" s="6" t="str">
        <f t="shared" si="49"/>
        <v/>
      </c>
      <c r="CW44" s="6" t="str">
        <f t="shared" si="49"/>
        <v/>
      </c>
      <c r="CX44" s="6" t="str">
        <f t="shared" si="49"/>
        <v/>
      </c>
      <c r="CY44" s="6" t="str">
        <f t="shared" si="49"/>
        <v/>
      </c>
      <c r="CZ44" s="6" t="str">
        <f t="shared" si="49"/>
        <v/>
      </c>
      <c r="DA44" s="6" t="str">
        <f t="shared" si="49"/>
        <v/>
      </c>
      <c r="DB44" s="6" t="str">
        <f t="shared" si="49"/>
        <v/>
      </c>
      <c r="DC44" s="6" t="str">
        <f t="shared" si="49"/>
        <v/>
      </c>
      <c r="DD44" s="6" t="str">
        <f t="shared" si="49"/>
        <v/>
      </c>
    </row>
    <row r="45" spans="1:108" ht="28" customHeight="1" x14ac:dyDescent="0.35">
      <c r="A45" s="24" t="str">
        <f>Schedule!B45</f>
        <v>Optional alternative cloud depth</v>
      </c>
      <c r="B45" s="4" t="str">
        <f>Schedule!C45</f>
        <v>Core</v>
      </c>
      <c r="C45" s="3" t="str">
        <f>IF(Schedule!P45="","",Schedule!P45)</f>
        <v/>
      </c>
      <c r="D45" s="3" t="str">
        <f>IF(Schedule!Q45="","",Schedule!Q45)</f>
        <v/>
      </c>
      <c r="E45" s="6" t="str">
        <f t="shared" si="40"/>
        <v/>
      </c>
      <c r="F45" s="6" t="str">
        <f t="shared" si="40"/>
        <v/>
      </c>
      <c r="G45" s="6" t="str">
        <f t="shared" si="40"/>
        <v/>
      </c>
      <c r="H45" s="6" t="str">
        <f t="shared" si="40"/>
        <v/>
      </c>
      <c r="I45" s="6" t="str">
        <f t="shared" si="40"/>
        <v/>
      </c>
      <c r="J45" s="6" t="str">
        <f t="shared" si="40"/>
        <v/>
      </c>
      <c r="K45" s="6" t="str">
        <f t="shared" si="40"/>
        <v/>
      </c>
      <c r="L45" s="6" t="str">
        <f t="shared" si="40"/>
        <v/>
      </c>
      <c r="M45" s="6" t="str">
        <f t="shared" si="40"/>
        <v/>
      </c>
      <c r="N45" s="6" t="str">
        <f t="shared" si="40"/>
        <v/>
      </c>
      <c r="O45" s="6" t="str">
        <f t="shared" si="41"/>
        <v/>
      </c>
      <c r="P45" s="6" t="str">
        <f t="shared" si="41"/>
        <v/>
      </c>
      <c r="Q45" s="6" t="str">
        <f t="shared" si="41"/>
        <v/>
      </c>
      <c r="R45" s="6" t="str">
        <f t="shared" si="41"/>
        <v/>
      </c>
      <c r="S45" s="6" t="str">
        <f t="shared" si="41"/>
        <v/>
      </c>
      <c r="T45" s="6" t="str">
        <f t="shared" si="41"/>
        <v/>
      </c>
      <c r="U45" s="6" t="str">
        <f t="shared" si="41"/>
        <v/>
      </c>
      <c r="V45" s="6" t="str">
        <f t="shared" si="41"/>
        <v/>
      </c>
      <c r="W45" s="6" t="str">
        <f t="shared" si="41"/>
        <v/>
      </c>
      <c r="X45" s="6" t="str">
        <f t="shared" si="41"/>
        <v/>
      </c>
      <c r="Y45" s="6" t="str">
        <f t="shared" si="42"/>
        <v/>
      </c>
      <c r="Z45" s="6" t="str">
        <f t="shared" si="42"/>
        <v/>
      </c>
      <c r="AA45" s="6" t="str">
        <f t="shared" si="42"/>
        <v/>
      </c>
      <c r="AB45" s="6" t="str">
        <f t="shared" si="42"/>
        <v/>
      </c>
      <c r="AC45" s="6" t="str">
        <f t="shared" si="42"/>
        <v/>
      </c>
      <c r="AD45" s="6" t="str">
        <f t="shared" si="42"/>
        <v/>
      </c>
      <c r="AE45" s="6" t="str">
        <f t="shared" si="42"/>
        <v/>
      </c>
      <c r="AF45" s="6" t="str">
        <f t="shared" si="42"/>
        <v/>
      </c>
      <c r="AG45" s="6" t="str">
        <f t="shared" si="42"/>
        <v/>
      </c>
      <c r="AH45" s="6" t="str">
        <f t="shared" si="42"/>
        <v/>
      </c>
      <c r="AI45" s="6" t="str">
        <f t="shared" si="43"/>
        <v/>
      </c>
      <c r="AJ45" s="6" t="str">
        <f t="shared" si="43"/>
        <v/>
      </c>
      <c r="AK45" s="6" t="str">
        <f t="shared" si="43"/>
        <v/>
      </c>
      <c r="AL45" s="6" t="str">
        <f t="shared" si="43"/>
        <v/>
      </c>
      <c r="AM45" s="6" t="str">
        <f t="shared" si="43"/>
        <v/>
      </c>
      <c r="AN45" s="6" t="str">
        <f t="shared" si="43"/>
        <v/>
      </c>
      <c r="AO45" s="6" t="str">
        <f t="shared" si="43"/>
        <v/>
      </c>
      <c r="AP45" s="6" t="str">
        <f t="shared" si="43"/>
        <v/>
      </c>
      <c r="AQ45" s="6" t="str">
        <f t="shared" si="43"/>
        <v/>
      </c>
      <c r="AR45" s="6" t="str">
        <f t="shared" si="43"/>
        <v/>
      </c>
      <c r="AS45" s="6" t="str">
        <f t="shared" si="44"/>
        <v/>
      </c>
      <c r="AT45" s="6" t="str">
        <f t="shared" si="44"/>
        <v/>
      </c>
      <c r="AU45" s="6" t="str">
        <f t="shared" si="44"/>
        <v/>
      </c>
      <c r="AV45" s="6" t="str">
        <f t="shared" si="44"/>
        <v/>
      </c>
      <c r="AW45" s="6" t="str">
        <f t="shared" si="44"/>
        <v/>
      </c>
      <c r="AX45" s="6" t="str">
        <f t="shared" si="44"/>
        <v/>
      </c>
      <c r="AY45" s="6" t="str">
        <f t="shared" si="44"/>
        <v/>
      </c>
      <c r="AZ45" s="6" t="str">
        <f t="shared" si="44"/>
        <v/>
      </c>
      <c r="BA45" s="6" t="str">
        <f t="shared" si="44"/>
        <v/>
      </c>
      <c r="BB45" s="6" t="str">
        <f t="shared" si="44"/>
        <v/>
      </c>
      <c r="BC45" s="6" t="str">
        <f t="shared" si="45"/>
        <v/>
      </c>
      <c r="BD45" s="6" t="str">
        <f t="shared" si="45"/>
        <v/>
      </c>
      <c r="BE45" s="6" t="str">
        <f t="shared" si="45"/>
        <v/>
      </c>
      <c r="BF45" s="6" t="str">
        <f t="shared" si="45"/>
        <v/>
      </c>
      <c r="BG45" s="6" t="str">
        <f t="shared" si="45"/>
        <v/>
      </c>
      <c r="BH45" s="6" t="str">
        <f t="shared" si="45"/>
        <v/>
      </c>
      <c r="BI45" s="6" t="str">
        <f t="shared" si="45"/>
        <v/>
      </c>
      <c r="BJ45" s="6" t="str">
        <f t="shared" si="45"/>
        <v/>
      </c>
      <c r="BK45" s="6" t="str">
        <f t="shared" si="45"/>
        <v/>
      </c>
      <c r="BL45" s="6" t="str">
        <f t="shared" si="45"/>
        <v/>
      </c>
      <c r="BM45" s="6" t="str">
        <f t="shared" si="46"/>
        <v/>
      </c>
      <c r="BN45" s="6" t="str">
        <f t="shared" si="46"/>
        <v/>
      </c>
      <c r="BO45" s="6" t="str">
        <f t="shared" si="46"/>
        <v/>
      </c>
      <c r="BP45" s="6" t="str">
        <f t="shared" si="46"/>
        <v/>
      </c>
      <c r="BQ45" s="6" t="str">
        <f t="shared" si="46"/>
        <v/>
      </c>
      <c r="BR45" s="6" t="str">
        <f t="shared" si="46"/>
        <v/>
      </c>
      <c r="BS45" s="6" t="str">
        <f t="shared" si="46"/>
        <v/>
      </c>
      <c r="BT45" s="6" t="str">
        <f t="shared" si="46"/>
        <v/>
      </c>
      <c r="BU45" s="6" t="str">
        <f t="shared" si="46"/>
        <v/>
      </c>
      <c r="BV45" s="6" t="str">
        <f t="shared" si="46"/>
        <v/>
      </c>
      <c r="BW45" s="6" t="str">
        <f t="shared" si="47"/>
        <v/>
      </c>
      <c r="BX45" s="6" t="str">
        <f t="shared" si="47"/>
        <v/>
      </c>
      <c r="BY45" s="6" t="str">
        <f t="shared" si="47"/>
        <v/>
      </c>
      <c r="BZ45" s="6" t="str">
        <f t="shared" si="47"/>
        <v/>
      </c>
      <c r="CA45" s="6" t="str">
        <f t="shared" si="47"/>
        <v/>
      </c>
      <c r="CB45" s="6" t="str">
        <f t="shared" si="47"/>
        <v/>
      </c>
      <c r="CC45" s="6" t="str">
        <f t="shared" si="47"/>
        <v/>
      </c>
      <c r="CD45" s="6" t="str">
        <f t="shared" si="47"/>
        <v/>
      </c>
      <c r="CE45" s="6" t="str">
        <f t="shared" si="47"/>
        <v/>
      </c>
      <c r="CF45" s="6" t="str">
        <f t="shared" si="47"/>
        <v/>
      </c>
      <c r="CG45" s="6" t="str">
        <f t="shared" si="48"/>
        <v/>
      </c>
      <c r="CH45" s="6" t="str">
        <f t="shared" si="48"/>
        <v/>
      </c>
      <c r="CI45" s="6" t="str">
        <f t="shared" si="48"/>
        <v/>
      </c>
      <c r="CJ45" s="6" t="str">
        <f t="shared" si="48"/>
        <v/>
      </c>
      <c r="CK45" s="6" t="str">
        <f t="shared" si="48"/>
        <v/>
      </c>
      <c r="CL45" s="6" t="str">
        <f t="shared" si="48"/>
        <v/>
      </c>
      <c r="CM45" s="6" t="str">
        <f t="shared" si="48"/>
        <v/>
      </c>
      <c r="CN45" s="6" t="str">
        <f t="shared" si="48"/>
        <v/>
      </c>
      <c r="CO45" s="6" t="str">
        <f t="shared" si="48"/>
        <v/>
      </c>
      <c r="CP45" s="6" t="str">
        <f t="shared" si="48"/>
        <v/>
      </c>
      <c r="CQ45" s="6" t="str">
        <f t="shared" si="49"/>
        <v/>
      </c>
      <c r="CR45" s="6" t="str">
        <f t="shared" si="49"/>
        <v/>
      </c>
      <c r="CS45" s="6" t="str">
        <f t="shared" si="49"/>
        <v/>
      </c>
      <c r="CT45" s="6" t="str">
        <f t="shared" si="49"/>
        <v/>
      </c>
      <c r="CU45" s="6" t="str">
        <f t="shared" si="49"/>
        <v/>
      </c>
      <c r="CV45" s="6" t="str">
        <f t="shared" si="49"/>
        <v/>
      </c>
      <c r="CW45" s="6" t="str">
        <f t="shared" si="49"/>
        <v/>
      </c>
      <c r="CX45" s="6" t="str">
        <f t="shared" si="49"/>
        <v/>
      </c>
      <c r="CY45" s="6" t="str">
        <f t="shared" si="49"/>
        <v/>
      </c>
      <c r="CZ45" s="6" t="str">
        <f t="shared" si="49"/>
        <v/>
      </c>
      <c r="DA45" s="6" t="str">
        <f t="shared" si="49"/>
        <v/>
      </c>
      <c r="DB45" s="6" t="str">
        <f t="shared" si="49"/>
        <v/>
      </c>
      <c r="DC45" s="6" t="str">
        <f t="shared" si="49"/>
        <v/>
      </c>
      <c r="DD45" s="6" t="str">
        <f t="shared" si="49"/>
        <v/>
      </c>
    </row>
    <row r="46" spans="1:108" ht="28" customHeight="1" x14ac:dyDescent="0.35">
      <c r="A46" s="24" t="str">
        <f>Schedule!B46</f>
        <v>Optional distributed processing and orchestration</v>
      </c>
      <c r="B46" s="4" t="str">
        <f>Schedule!C46</f>
        <v>Core</v>
      </c>
      <c r="C46" s="3" t="str">
        <f>IF(Schedule!P46="","",Schedule!P46)</f>
        <v/>
      </c>
      <c r="D46" s="3" t="str">
        <f>IF(Schedule!Q46="","",Schedule!Q46)</f>
        <v/>
      </c>
      <c r="E46" s="6" t="str">
        <f t="shared" si="40"/>
        <v/>
      </c>
      <c r="F46" s="6" t="str">
        <f t="shared" si="40"/>
        <v/>
      </c>
      <c r="G46" s="6" t="str">
        <f t="shared" si="40"/>
        <v/>
      </c>
      <c r="H46" s="6" t="str">
        <f t="shared" si="40"/>
        <v/>
      </c>
      <c r="I46" s="6" t="str">
        <f t="shared" si="40"/>
        <v/>
      </c>
      <c r="J46" s="6" t="str">
        <f t="shared" si="40"/>
        <v/>
      </c>
      <c r="K46" s="6" t="str">
        <f t="shared" si="40"/>
        <v/>
      </c>
      <c r="L46" s="6" t="str">
        <f t="shared" si="40"/>
        <v/>
      </c>
      <c r="M46" s="6" t="str">
        <f t="shared" si="40"/>
        <v/>
      </c>
      <c r="N46" s="6" t="str">
        <f t="shared" si="40"/>
        <v/>
      </c>
      <c r="O46" s="6" t="str">
        <f t="shared" si="41"/>
        <v/>
      </c>
      <c r="P46" s="6" t="str">
        <f t="shared" si="41"/>
        <v/>
      </c>
      <c r="Q46" s="6" t="str">
        <f t="shared" si="41"/>
        <v/>
      </c>
      <c r="R46" s="6" t="str">
        <f t="shared" si="41"/>
        <v/>
      </c>
      <c r="S46" s="6" t="str">
        <f t="shared" si="41"/>
        <v/>
      </c>
      <c r="T46" s="6" t="str">
        <f t="shared" si="41"/>
        <v/>
      </c>
      <c r="U46" s="6" t="str">
        <f t="shared" si="41"/>
        <v/>
      </c>
      <c r="V46" s="6" t="str">
        <f t="shared" si="41"/>
        <v/>
      </c>
      <c r="W46" s="6" t="str">
        <f t="shared" si="41"/>
        <v/>
      </c>
      <c r="X46" s="6" t="str">
        <f t="shared" si="41"/>
        <v/>
      </c>
      <c r="Y46" s="6" t="str">
        <f t="shared" si="42"/>
        <v/>
      </c>
      <c r="Z46" s="6" t="str">
        <f t="shared" si="42"/>
        <v/>
      </c>
      <c r="AA46" s="6" t="str">
        <f t="shared" si="42"/>
        <v/>
      </c>
      <c r="AB46" s="6" t="str">
        <f t="shared" si="42"/>
        <v/>
      </c>
      <c r="AC46" s="6" t="str">
        <f t="shared" si="42"/>
        <v/>
      </c>
      <c r="AD46" s="6" t="str">
        <f t="shared" si="42"/>
        <v/>
      </c>
      <c r="AE46" s="6" t="str">
        <f t="shared" si="42"/>
        <v/>
      </c>
      <c r="AF46" s="6" t="str">
        <f t="shared" si="42"/>
        <v/>
      </c>
      <c r="AG46" s="6" t="str">
        <f t="shared" si="42"/>
        <v/>
      </c>
      <c r="AH46" s="6" t="str">
        <f t="shared" si="42"/>
        <v/>
      </c>
      <c r="AI46" s="6" t="str">
        <f t="shared" si="43"/>
        <v/>
      </c>
      <c r="AJ46" s="6" t="str">
        <f t="shared" si="43"/>
        <v/>
      </c>
      <c r="AK46" s="6" t="str">
        <f t="shared" si="43"/>
        <v/>
      </c>
      <c r="AL46" s="6" t="str">
        <f t="shared" si="43"/>
        <v/>
      </c>
      <c r="AM46" s="6" t="str">
        <f t="shared" si="43"/>
        <v/>
      </c>
      <c r="AN46" s="6" t="str">
        <f t="shared" si="43"/>
        <v/>
      </c>
      <c r="AO46" s="6" t="str">
        <f t="shared" si="43"/>
        <v/>
      </c>
      <c r="AP46" s="6" t="str">
        <f t="shared" si="43"/>
        <v/>
      </c>
      <c r="AQ46" s="6" t="str">
        <f t="shared" si="43"/>
        <v/>
      </c>
      <c r="AR46" s="6" t="str">
        <f t="shared" si="43"/>
        <v/>
      </c>
      <c r="AS46" s="6" t="str">
        <f t="shared" si="44"/>
        <v/>
      </c>
      <c r="AT46" s="6" t="str">
        <f t="shared" si="44"/>
        <v/>
      </c>
      <c r="AU46" s="6" t="str">
        <f t="shared" si="44"/>
        <v/>
      </c>
      <c r="AV46" s="6" t="str">
        <f t="shared" si="44"/>
        <v/>
      </c>
      <c r="AW46" s="6" t="str">
        <f t="shared" si="44"/>
        <v/>
      </c>
      <c r="AX46" s="6" t="str">
        <f t="shared" si="44"/>
        <v/>
      </c>
      <c r="AY46" s="6" t="str">
        <f t="shared" si="44"/>
        <v/>
      </c>
      <c r="AZ46" s="6" t="str">
        <f t="shared" si="44"/>
        <v/>
      </c>
      <c r="BA46" s="6" t="str">
        <f t="shared" si="44"/>
        <v/>
      </c>
      <c r="BB46" s="6" t="str">
        <f t="shared" si="44"/>
        <v/>
      </c>
      <c r="BC46" s="6" t="str">
        <f t="shared" si="45"/>
        <v/>
      </c>
      <c r="BD46" s="6" t="str">
        <f t="shared" si="45"/>
        <v/>
      </c>
      <c r="BE46" s="6" t="str">
        <f t="shared" si="45"/>
        <v/>
      </c>
      <c r="BF46" s="6" t="str">
        <f t="shared" si="45"/>
        <v/>
      </c>
      <c r="BG46" s="6" t="str">
        <f t="shared" si="45"/>
        <v/>
      </c>
      <c r="BH46" s="6" t="str">
        <f t="shared" si="45"/>
        <v/>
      </c>
      <c r="BI46" s="6" t="str">
        <f t="shared" si="45"/>
        <v/>
      </c>
      <c r="BJ46" s="6" t="str">
        <f t="shared" si="45"/>
        <v/>
      </c>
      <c r="BK46" s="6" t="str">
        <f t="shared" si="45"/>
        <v/>
      </c>
      <c r="BL46" s="6" t="str">
        <f t="shared" si="45"/>
        <v/>
      </c>
      <c r="BM46" s="6" t="str">
        <f t="shared" si="46"/>
        <v/>
      </c>
      <c r="BN46" s="6" t="str">
        <f t="shared" si="46"/>
        <v/>
      </c>
      <c r="BO46" s="6" t="str">
        <f t="shared" si="46"/>
        <v/>
      </c>
      <c r="BP46" s="6" t="str">
        <f t="shared" si="46"/>
        <v/>
      </c>
      <c r="BQ46" s="6" t="str">
        <f t="shared" si="46"/>
        <v/>
      </c>
      <c r="BR46" s="6" t="str">
        <f t="shared" si="46"/>
        <v/>
      </c>
      <c r="BS46" s="6" t="str">
        <f t="shared" si="46"/>
        <v/>
      </c>
      <c r="BT46" s="6" t="str">
        <f t="shared" si="46"/>
        <v/>
      </c>
      <c r="BU46" s="6" t="str">
        <f t="shared" si="46"/>
        <v/>
      </c>
      <c r="BV46" s="6" t="str">
        <f t="shared" si="46"/>
        <v/>
      </c>
      <c r="BW46" s="6" t="str">
        <f t="shared" si="47"/>
        <v/>
      </c>
      <c r="BX46" s="6" t="str">
        <f t="shared" si="47"/>
        <v/>
      </c>
      <c r="BY46" s="6" t="str">
        <f t="shared" si="47"/>
        <v/>
      </c>
      <c r="BZ46" s="6" t="str">
        <f t="shared" si="47"/>
        <v/>
      </c>
      <c r="CA46" s="6" t="str">
        <f t="shared" si="47"/>
        <v/>
      </c>
      <c r="CB46" s="6" t="str">
        <f t="shared" si="47"/>
        <v/>
      </c>
      <c r="CC46" s="6" t="str">
        <f t="shared" si="47"/>
        <v/>
      </c>
      <c r="CD46" s="6" t="str">
        <f t="shared" si="47"/>
        <v/>
      </c>
      <c r="CE46" s="6" t="str">
        <f t="shared" si="47"/>
        <v/>
      </c>
      <c r="CF46" s="6" t="str">
        <f t="shared" si="47"/>
        <v/>
      </c>
      <c r="CG46" s="6" t="str">
        <f t="shared" si="48"/>
        <v/>
      </c>
      <c r="CH46" s="6" t="str">
        <f t="shared" si="48"/>
        <v/>
      </c>
      <c r="CI46" s="6" t="str">
        <f t="shared" si="48"/>
        <v/>
      </c>
      <c r="CJ46" s="6" t="str">
        <f t="shared" si="48"/>
        <v/>
      </c>
      <c r="CK46" s="6" t="str">
        <f t="shared" si="48"/>
        <v/>
      </c>
      <c r="CL46" s="6" t="str">
        <f t="shared" si="48"/>
        <v/>
      </c>
      <c r="CM46" s="6" t="str">
        <f t="shared" si="48"/>
        <v/>
      </c>
      <c r="CN46" s="6" t="str">
        <f t="shared" si="48"/>
        <v/>
      </c>
      <c r="CO46" s="6" t="str">
        <f t="shared" si="48"/>
        <v/>
      </c>
      <c r="CP46" s="6" t="str">
        <f t="shared" si="48"/>
        <v/>
      </c>
      <c r="CQ46" s="6" t="str">
        <f t="shared" si="49"/>
        <v/>
      </c>
      <c r="CR46" s="6" t="str">
        <f t="shared" si="49"/>
        <v/>
      </c>
      <c r="CS46" s="6" t="str">
        <f t="shared" si="49"/>
        <v/>
      </c>
      <c r="CT46" s="6" t="str">
        <f t="shared" si="49"/>
        <v/>
      </c>
      <c r="CU46" s="6" t="str">
        <f t="shared" si="49"/>
        <v/>
      </c>
      <c r="CV46" s="6" t="str">
        <f t="shared" si="49"/>
        <v/>
      </c>
      <c r="CW46" s="6" t="str">
        <f t="shared" si="49"/>
        <v/>
      </c>
      <c r="CX46" s="6" t="str">
        <f t="shared" si="49"/>
        <v/>
      </c>
      <c r="CY46" s="6" t="str">
        <f t="shared" si="49"/>
        <v/>
      </c>
      <c r="CZ46" s="6" t="str">
        <f t="shared" si="49"/>
        <v/>
      </c>
      <c r="DA46" s="6" t="str">
        <f t="shared" si="49"/>
        <v/>
      </c>
      <c r="DB46" s="6" t="str">
        <f t="shared" si="49"/>
        <v/>
      </c>
      <c r="DC46" s="6" t="str">
        <f t="shared" si="49"/>
        <v/>
      </c>
      <c r="DD46" s="6" t="str">
        <f t="shared" si="49"/>
        <v/>
      </c>
    </row>
    <row r="47" spans="1:108" ht="28" customHeight="1" x14ac:dyDescent="0.35">
      <c r="A47" s="24" t="str">
        <f>Schedule!B47</f>
        <v>Optional Kubernetes operations</v>
      </c>
      <c r="B47" s="4" t="str">
        <f>Schedule!C47</f>
        <v>Core</v>
      </c>
      <c r="C47" s="3" t="str">
        <f>IF(Schedule!P47="","",Schedule!P47)</f>
        <v/>
      </c>
      <c r="D47" s="3" t="str">
        <f>IF(Schedule!Q47="","",Schedule!Q47)</f>
        <v/>
      </c>
      <c r="E47" s="6" t="str">
        <f t="shared" si="40"/>
        <v/>
      </c>
      <c r="F47" s="6" t="str">
        <f t="shared" si="40"/>
        <v/>
      </c>
      <c r="G47" s="6" t="str">
        <f t="shared" si="40"/>
        <v/>
      </c>
      <c r="H47" s="6" t="str">
        <f t="shared" si="40"/>
        <v/>
      </c>
      <c r="I47" s="6" t="str">
        <f t="shared" si="40"/>
        <v/>
      </c>
      <c r="J47" s="6" t="str">
        <f t="shared" si="40"/>
        <v/>
      </c>
      <c r="K47" s="6" t="str">
        <f t="shared" si="40"/>
        <v/>
      </c>
      <c r="L47" s="6" t="str">
        <f t="shared" si="40"/>
        <v/>
      </c>
      <c r="M47" s="6" t="str">
        <f t="shared" si="40"/>
        <v/>
      </c>
      <c r="N47" s="6" t="str">
        <f t="shared" si="40"/>
        <v/>
      </c>
      <c r="O47" s="6" t="str">
        <f t="shared" si="41"/>
        <v/>
      </c>
      <c r="P47" s="6" t="str">
        <f t="shared" si="41"/>
        <v/>
      </c>
      <c r="Q47" s="6" t="str">
        <f t="shared" si="41"/>
        <v/>
      </c>
      <c r="R47" s="6" t="str">
        <f t="shared" si="41"/>
        <v/>
      </c>
      <c r="S47" s="6" t="str">
        <f t="shared" si="41"/>
        <v/>
      </c>
      <c r="T47" s="6" t="str">
        <f t="shared" si="41"/>
        <v/>
      </c>
      <c r="U47" s="6" t="str">
        <f t="shared" si="41"/>
        <v/>
      </c>
      <c r="V47" s="6" t="str">
        <f t="shared" si="41"/>
        <v/>
      </c>
      <c r="W47" s="6" t="str">
        <f t="shared" si="41"/>
        <v/>
      </c>
      <c r="X47" s="6" t="str">
        <f t="shared" si="41"/>
        <v/>
      </c>
      <c r="Y47" s="6" t="str">
        <f t="shared" si="42"/>
        <v/>
      </c>
      <c r="Z47" s="6" t="str">
        <f t="shared" si="42"/>
        <v/>
      </c>
      <c r="AA47" s="6" t="str">
        <f t="shared" si="42"/>
        <v/>
      </c>
      <c r="AB47" s="6" t="str">
        <f t="shared" si="42"/>
        <v/>
      </c>
      <c r="AC47" s="6" t="str">
        <f t="shared" si="42"/>
        <v/>
      </c>
      <c r="AD47" s="6" t="str">
        <f t="shared" si="42"/>
        <v/>
      </c>
      <c r="AE47" s="6" t="str">
        <f t="shared" si="42"/>
        <v/>
      </c>
      <c r="AF47" s="6" t="str">
        <f t="shared" si="42"/>
        <v/>
      </c>
      <c r="AG47" s="6" t="str">
        <f t="shared" si="42"/>
        <v/>
      </c>
      <c r="AH47" s="6" t="str">
        <f t="shared" si="42"/>
        <v/>
      </c>
      <c r="AI47" s="6" t="str">
        <f t="shared" si="43"/>
        <v/>
      </c>
      <c r="AJ47" s="6" t="str">
        <f t="shared" si="43"/>
        <v/>
      </c>
      <c r="AK47" s="6" t="str">
        <f t="shared" si="43"/>
        <v/>
      </c>
      <c r="AL47" s="6" t="str">
        <f t="shared" si="43"/>
        <v/>
      </c>
      <c r="AM47" s="6" t="str">
        <f t="shared" si="43"/>
        <v/>
      </c>
      <c r="AN47" s="6" t="str">
        <f t="shared" si="43"/>
        <v/>
      </c>
      <c r="AO47" s="6" t="str">
        <f t="shared" si="43"/>
        <v/>
      </c>
      <c r="AP47" s="6" t="str">
        <f t="shared" si="43"/>
        <v/>
      </c>
      <c r="AQ47" s="6" t="str">
        <f t="shared" si="43"/>
        <v/>
      </c>
      <c r="AR47" s="6" t="str">
        <f t="shared" si="43"/>
        <v/>
      </c>
      <c r="AS47" s="6" t="str">
        <f t="shared" si="44"/>
        <v/>
      </c>
      <c r="AT47" s="6" t="str">
        <f t="shared" si="44"/>
        <v/>
      </c>
      <c r="AU47" s="6" t="str">
        <f t="shared" si="44"/>
        <v/>
      </c>
      <c r="AV47" s="6" t="str">
        <f t="shared" si="44"/>
        <v/>
      </c>
      <c r="AW47" s="6" t="str">
        <f t="shared" si="44"/>
        <v/>
      </c>
      <c r="AX47" s="6" t="str">
        <f t="shared" si="44"/>
        <v/>
      </c>
      <c r="AY47" s="6" t="str">
        <f t="shared" si="44"/>
        <v/>
      </c>
      <c r="AZ47" s="6" t="str">
        <f t="shared" si="44"/>
        <v/>
      </c>
      <c r="BA47" s="6" t="str">
        <f t="shared" si="44"/>
        <v/>
      </c>
      <c r="BB47" s="6" t="str">
        <f t="shared" si="44"/>
        <v/>
      </c>
      <c r="BC47" s="6" t="str">
        <f t="shared" si="45"/>
        <v/>
      </c>
      <c r="BD47" s="6" t="str">
        <f t="shared" si="45"/>
        <v/>
      </c>
      <c r="BE47" s="6" t="str">
        <f t="shared" si="45"/>
        <v/>
      </c>
      <c r="BF47" s="6" t="str">
        <f t="shared" si="45"/>
        <v/>
      </c>
      <c r="BG47" s="6" t="str">
        <f t="shared" si="45"/>
        <v/>
      </c>
      <c r="BH47" s="6" t="str">
        <f t="shared" si="45"/>
        <v/>
      </c>
      <c r="BI47" s="6" t="str">
        <f t="shared" si="45"/>
        <v/>
      </c>
      <c r="BJ47" s="6" t="str">
        <f t="shared" si="45"/>
        <v/>
      </c>
      <c r="BK47" s="6" t="str">
        <f t="shared" si="45"/>
        <v/>
      </c>
      <c r="BL47" s="6" t="str">
        <f t="shared" si="45"/>
        <v/>
      </c>
      <c r="BM47" s="6" t="str">
        <f t="shared" si="46"/>
        <v/>
      </c>
      <c r="BN47" s="6" t="str">
        <f t="shared" si="46"/>
        <v/>
      </c>
      <c r="BO47" s="6" t="str">
        <f t="shared" si="46"/>
        <v/>
      </c>
      <c r="BP47" s="6" t="str">
        <f t="shared" si="46"/>
        <v/>
      </c>
      <c r="BQ47" s="6" t="str">
        <f t="shared" si="46"/>
        <v/>
      </c>
      <c r="BR47" s="6" t="str">
        <f t="shared" si="46"/>
        <v/>
      </c>
      <c r="BS47" s="6" t="str">
        <f t="shared" si="46"/>
        <v/>
      </c>
      <c r="BT47" s="6" t="str">
        <f t="shared" si="46"/>
        <v/>
      </c>
      <c r="BU47" s="6" t="str">
        <f t="shared" si="46"/>
        <v/>
      </c>
      <c r="BV47" s="6" t="str">
        <f t="shared" si="46"/>
        <v/>
      </c>
      <c r="BW47" s="6" t="str">
        <f t="shared" si="47"/>
        <v/>
      </c>
      <c r="BX47" s="6" t="str">
        <f t="shared" si="47"/>
        <v/>
      </c>
      <c r="BY47" s="6" t="str">
        <f t="shared" si="47"/>
        <v/>
      </c>
      <c r="BZ47" s="6" t="str">
        <f t="shared" si="47"/>
        <v/>
      </c>
      <c r="CA47" s="6" t="str">
        <f t="shared" si="47"/>
        <v/>
      </c>
      <c r="CB47" s="6" t="str">
        <f t="shared" si="47"/>
        <v/>
      </c>
      <c r="CC47" s="6" t="str">
        <f t="shared" si="47"/>
        <v/>
      </c>
      <c r="CD47" s="6" t="str">
        <f t="shared" si="47"/>
        <v/>
      </c>
      <c r="CE47" s="6" t="str">
        <f t="shared" si="47"/>
        <v/>
      </c>
      <c r="CF47" s="6" t="str">
        <f t="shared" si="47"/>
        <v/>
      </c>
      <c r="CG47" s="6" t="str">
        <f t="shared" si="48"/>
        <v/>
      </c>
      <c r="CH47" s="6" t="str">
        <f t="shared" si="48"/>
        <v/>
      </c>
      <c r="CI47" s="6" t="str">
        <f t="shared" si="48"/>
        <v/>
      </c>
      <c r="CJ47" s="6" t="str">
        <f t="shared" si="48"/>
        <v/>
      </c>
      <c r="CK47" s="6" t="str">
        <f t="shared" si="48"/>
        <v/>
      </c>
      <c r="CL47" s="6" t="str">
        <f t="shared" si="48"/>
        <v/>
      </c>
      <c r="CM47" s="6" t="str">
        <f t="shared" si="48"/>
        <v/>
      </c>
      <c r="CN47" s="6" t="str">
        <f t="shared" si="48"/>
        <v/>
      </c>
      <c r="CO47" s="6" t="str">
        <f t="shared" si="48"/>
        <v/>
      </c>
      <c r="CP47" s="6" t="str">
        <f t="shared" si="48"/>
        <v/>
      </c>
      <c r="CQ47" s="6" t="str">
        <f t="shared" si="49"/>
        <v/>
      </c>
      <c r="CR47" s="6" t="str">
        <f t="shared" si="49"/>
        <v/>
      </c>
      <c r="CS47" s="6" t="str">
        <f t="shared" si="49"/>
        <v/>
      </c>
      <c r="CT47" s="6" t="str">
        <f t="shared" si="49"/>
        <v/>
      </c>
      <c r="CU47" s="6" t="str">
        <f t="shared" si="49"/>
        <v/>
      </c>
      <c r="CV47" s="6" t="str">
        <f t="shared" si="49"/>
        <v/>
      </c>
      <c r="CW47" s="6" t="str">
        <f t="shared" si="49"/>
        <v/>
      </c>
      <c r="CX47" s="6" t="str">
        <f t="shared" si="49"/>
        <v/>
      </c>
      <c r="CY47" s="6" t="str">
        <f t="shared" si="49"/>
        <v/>
      </c>
      <c r="CZ47" s="6" t="str">
        <f t="shared" si="49"/>
        <v/>
      </c>
      <c r="DA47" s="6" t="str">
        <f t="shared" si="49"/>
        <v/>
      </c>
      <c r="DB47" s="6" t="str">
        <f t="shared" si="49"/>
        <v/>
      </c>
      <c r="DC47" s="6" t="str">
        <f t="shared" si="49"/>
        <v/>
      </c>
      <c r="DD47" s="6" t="str">
        <f t="shared" si="49"/>
        <v/>
      </c>
    </row>
    <row r="48" spans="1:108" ht="28" customHeight="1" x14ac:dyDescent="0.35">
      <c r="A48" s="24" t="str">
        <f>Schedule!B48</f>
        <v>Optional alternative stores APIs and runtimes</v>
      </c>
      <c r="B48" s="4" t="str">
        <f>Schedule!C48</f>
        <v>Core</v>
      </c>
      <c r="C48" s="3" t="str">
        <f>IF(Schedule!P48="","",Schedule!P48)</f>
        <v/>
      </c>
      <c r="D48" s="3" t="str">
        <f>IF(Schedule!Q48="","",Schedule!Q48)</f>
        <v/>
      </c>
      <c r="E48" s="6" t="str">
        <f t="shared" si="40"/>
        <v/>
      </c>
      <c r="F48" s="6" t="str">
        <f t="shared" si="40"/>
        <v/>
      </c>
      <c r="G48" s="6" t="str">
        <f t="shared" si="40"/>
        <v/>
      </c>
      <c r="H48" s="6" t="str">
        <f t="shared" si="40"/>
        <v/>
      </c>
      <c r="I48" s="6" t="str">
        <f t="shared" si="40"/>
        <v/>
      </c>
      <c r="J48" s="6" t="str">
        <f t="shared" si="40"/>
        <v/>
      </c>
      <c r="K48" s="6" t="str">
        <f t="shared" si="40"/>
        <v/>
      </c>
      <c r="L48" s="6" t="str">
        <f t="shared" si="40"/>
        <v/>
      </c>
      <c r="M48" s="6" t="str">
        <f t="shared" si="40"/>
        <v/>
      </c>
      <c r="N48" s="6" t="str">
        <f t="shared" si="40"/>
        <v/>
      </c>
      <c r="O48" s="6" t="str">
        <f t="shared" si="41"/>
        <v/>
      </c>
      <c r="P48" s="6" t="str">
        <f t="shared" si="41"/>
        <v/>
      </c>
      <c r="Q48" s="6" t="str">
        <f t="shared" si="41"/>
        <v/>
      </c>
      <c r="R48" s="6" t="str">
        <f t="shared" si="41"/>
        <v/>
      </c>
      <c r="S48" s="6" t="str">
        <f t="shared" si="41"/>
        <v/>
      </c>
      <c r="T48" s="6" t="str">
        <f t="shared" si="41"/>
        <v/>
      </c>
      <c r="U48" s="6" t="str">
        <f t="shared" si="41"/>
        <v/>
      </c>
      <c r="V48" s="6" t="str">
        <f t="shared" si="41"/>
        <v/>
      </c>
      <c r="W48" s="6" t="str">
        <f t="shared" si="41"/>
        <v/>
      </c>
      <c r="X48" s="6" t="str">
        <f t="shared" si="41"/>
        <v/>
      </c>
      <c r="Y48" s="6" t="str">
        <f t="shared" si="42"/>
        <v/>
      </c>
      <c r="Z48" s="6" t="str">
        <f t="shared" si="42"/>
        <v/>
      </c>
      <c r="AA48" s="6" t="str">
        <f t="shared" si="42"/>
        <v/>
      </c>
      <c r="AB48" s="6" t="str">
        <f t="shared" si="42"/>
        <v/>
      </c>
      <c r="AC48" s="6" t="str">
        <f t="shared" si="42"/>
        <v/>
      </c>
      <c r="AD48" s="6" t="str">
        <f t="shared" si="42"/>
        <v/>
      </c>
      <c r="AE48" s="6" t="str">
        <f t="shared" si="42"/>
        <v/>
      </c>
      <c r="AF48" s="6" t="str">
        <f t="shared" si="42"/>
        <v/>
      </c>
      <c r="AG48" s="6" t="str">
        <f t="shared" si="42"/>
        <v/>
      </c>
      <c r="AH48" s="6" t="str">
        <f t="shared" si="42"/>
        <v/>
      </c>
      <c r="AI48" s="6" t="str">
        <f t="shared" si="43"/>
        <v/>
      </c>
      <c r="AJ48" s="6" t="str">
        <f t="shared" si="43"/>
        <v/>
      </c>
      <c r="AK48" s="6" t="str">
        <f t="shared" si="43"/>
        <v/>
      </c>
      <c r="AL48" s="6" t="str">
        <f t="shared" si="43"/>
        <v/>
      </c>
      <c r="AM48" s="6" t="str">
        <f t="shared" si="43"/>
        <v/>
      </c>
      <c r="AN48" s="6" t="str">
        <f t="shared" si="43"/>
        <v/>
      </c>
      <c r="AO48" s="6" t="str">
        <f t="shared" si="43"/>
        <v/>
      </c>
      <c r="AP48" s="6" t="str">
        <f t="shared" si="43"/>
        <v/>
      </c>
      <c r="AQ48" s="6" t="str">
        <f t="shared" si="43"/>
        <v/>
      </c>
      <c r="AR48" s="6" t="str">
        <f t="shared" si="43"/>
        <v/>
      </c>
      <c r="AS48" s="6" t="str">
        <f t="shared" si="44"/>
        <v/>
      </c>
      <c r="AT48" s="6" t="str">
        <f t="shared" si="44"/>
        <v/>
      </c>
      <c r="AU48" s="6" t="str">
        <f t="shared" si="44"/>
        <v/>
      </c>
      <c r="AV48" s="6" t="str">
        <f t="shared" si="44"/>
        <v/>
      </c>
      <c r="AW48" s="6" t="str">
        <f t="shared" si="44"/>
        <v/>
      </c>
      <c r="AX48" s="6" t="str">
        <f t="shared" si="44"/>
        <v/>
      </c>
      <c r="AY48" s="6" t="str">
        <f t="shared" si="44"/>
        <v/>
      </c>
      <c r="AZ48" s="6" t="str">
        <f t="shared" si="44"/>
        <v/>
      </c>
      <c r="BA48" s="6" t="str">
        <f t="shared" si="44"/>
        <v/>
      </c>
      <c r="BB48" s="6" t="str">
        <f t="shared" si="44"/>
        <v/>
      </c>
      <c r="BC48" s="6" t="str">
        <f t="shared" si="45"/>
        <v/>
      </c>
      <c r="BD48" s="6" t="str">
        <f t="shared" si="45"/>
        <v/>
      </c>
      <c r="BE48" s="6" t="str">
        <f t="shared" si="45"/>
        <v/>
      </c>
      <c r="BF48" s="6" t="str">
        <f t="shared" si="45"/>
        <v/>
      </c>
      <c r="BG48" s="6" t="str">
        <f t="shared" si="45"/>
        <v/>
      </c>
      <c r="BH48" s="6" t="str">
        <f t="shared" si="45"/>
        <v/>
      </c>
      <c r="BI48" s="6" t="str">
        <f t="shared" si="45"/>
        <v/>
      </c>
      <c r="BJ48" s="6" t="str">
        <f t="shared" si="45"/>
        <v/>
      </c>
      <c r="BK48" s="6" t="str">
        <f t="shared" si="45"/>
        <v/>
      </c>
      <c r="BL48" s="6" t="str">
        <f t="shared" si="45"/>
        <v/>
      </c>
      <c r="BM48" s="6" t="str">
        <f t="shared" si="46"/>
        <v/>
      </c>
      <c r="BN48" s="6" t="str">
        <f t="shared" si="46"/>
        <v/>
      </c>
      <c r="BO48" s="6" t="str">
        <f t="shared" si="46"/>
        <v/>
      </c>
      <c r="BP48" s="6" t="str">
        <f t="shared" si="46"/>
        <v/>
      </c>
      <c r="BQ48" s="6" t="str">
        <f t="shared" si="46"/>
        <v/>
      </c>
      <c r="BR48" s="6" t="str">
        <f t="shared" si="46"/>
        <v/>
      </c>
      <c r="BS48" s="6" t="str">
        <f t="shared" si="46"/>
        <v/>
      </c>
      <c r="BT48" s="6" t="str">
        <f t="shared" si="46"/>
        <v/>
      </c>
      <c r="BU48" s="6" t="str">
        <f t="shared" si="46"/>
        <v/>
      </c>
      <c r="BV48" s="6" t="str">
        <f t="shared" si="46"/>
        <v/>
      </c>
      <c r="BW48" s="6" t="str">
        <f t="shared" si="47"/>
        <v/>
      </c>
      <c r="BX48" s="6" t="str">
        <f t="shared" si="47"/>
        <v/>
      </c>
      <c r="BY48" s="6" t="str">
        <f t="shared" si="47"/>
        <v/>
      </c>
      <c r="BZ48" s="6" t="str">
        <f t="shared" si="47"/>
        <v/>
      </c>
      <c r="CA48" s="6" t="str">
        <f t="shared" si="47"/>
        <v/>
      </c>
      <c r="CB48" s="6" t="str">
        <f t="shared" si="47"/>
        <v/>
      </c>
      <c r="CC48" s="6" t="str">
        <f t="shared" si="47"/>
        <v/>
      </c>
      <c r="CD48" s="6" t="str">
        <f t="shared" si="47"/>
        <v/>
      </c>
      <c r="CE48" s="6" t="str">
        <f t="shared" si="47"/>
        <v/>
      </c>
      <c r="CF48" s="6" t="str">
        <f t="shared" si="47"/>
        <v/>
      </c>
      <c r="CG48" s="6" t="str">
        <f t="shared" si="48"/>
        <v/>
      </c>
      <c r="CH48" s="6" t="str">
        <f t="shared" si="48"/>
        <v/>
      </c>
      <c r="CI48" s="6" t="str">
        <f t="shared" si="48"/>
        <v/>
      </c>
      <c r="CJ48" s="6" t="str">
        <f t="shared" si="48"/>
        <v/>
      </c>
      <c r="CK48" s="6" t="str">
        <f t="shared" si="48"/>
        <v/>
      </c>
      <c r="CL48" s="6" t="str">
        <f t="shared" si="48"/>
        <v/>
      </c>
      <c r="CM48" s="6" t="str">
        <f t="shared" si="48"/>
        <v/>
      </c>
      <c r="CN48" s="6" t="str">
        <f t="shared" si="48"/>
        <v/>
      </c>
      <c r="CO48" s="6" t="str">
        <f t="shared" si="48"/>
        <v/>
      </c>
      <c r="CP48" s="6" t="str">
        <f t="shared" si="48"/>
        <v/>
      </c>
      <c r="CQ48" s="6" t="str">
        <f t="shared" si="49"/>
        <v/>
      </c>
      <c r="CR48" s="6" t="str">
        <f t="shared" si="49"/>
        <v/>
      </c>
      <c r="CS48" s="6" t="str">
        <f t="shared" si="49"/>
        <v/>
      </c>
      <c r="CT48" s="6" t="str">
        <f t="shared" si="49"/>
        <v/>
      </c>
      <c r="CU48" s="6" t="str">
        <f t="shared" si="49"/>
        <v/>
      </c>
      <c r="CV48" s="6" t="str">
        <f t="shared" si="49"/>
        <v/>
      </c>
      <c r="CW48" s="6" t="str">
        <f t="shared" si="49"/>
        <v/>
      </c>
      <c r="CX48" s="6" t="str">
        <f t="shared" si="49"/>
        <v/>
      </c>
      <c r="CY48" s="6" t="str">
        <f t="shared" si="49"/>
        <v/>
      </c>
      <c r="CZ48" s="6" t="str">
        <f t="shared" si="49"/>
        <v/>
      </c>
      <c r="DA48" s="6" t="str">
        <f t="shared" si="49"/>
        <v/>
      </c>
      <c r="DB48" s="6" t="str">
        <f t="shared" si="49"/>
        <v/>
      </c>
      <c r="DC48" s="6" t="str">
        <f t="shared" si="49"/>
        <v/>
      </c>
      <c r="DD48" s="6" t="str">
        <f t="shared" si="49"/>
        <v/>
      </c>
    </row>
    <row r="49" spans="1:108" ht="28" customHeight="1" x14ac:dyDescent="0.35">
      <c r="A49" s="24" t="str">
        <f>Schedule!B49</f>
        <v>Optional coding-agent product comparison</v>
      </c>
      <c r="B49" s="4" t="str">
        <f>Schedule!C49</f>
        <v>Core</v>
      </c>
      <c r="C49" s="3" t="str">
        <f>IF(Schedule!P49="","",Schedule!P49)</f>
        <v/>
      </c>
      <c r="D49" s="3" t="str">
        <f>IF(Schedule!Q49="","",Schedule!Q49)</f>
        <v/>
      </c>
      <c r="E49" s="6" t="str">
        <f t="shared" si="40"/>
        <v/>
      </c>
      <c r="F49" s="6" t="str">
        <f t="shared" si="40"/>
        <v/>
      </c>
      <c r="G49" s="6" t="str">
        <f t="shared" si="40"/>
        <v/>
      </c>
      <c r="H49" s="6" t="str">
        <f t="shared" si="40"/>
        <v/>
      </c>
      <c r="I49" s="6" t="str">
        <f t="shared" si="40"/>
        <v/>
      </c>
      <c r="J49" s="6" t="str">
        <f t="shared" si="40"/>
        <v/>
      </c>
      <c r="K49" s="6" t="str">
        <f t="shared" si="40"/>
        <v/>
      </c>
      <c r="L49" s="6" t="str">
        <f t="shared" si="40"/>
        <v/>
      </c>
      <c r="M49" s="6" t="str">
        <f t="shared" si="40"/>
        <v/>
      </c>
      <c r="N49" s="6" t="str">
        <f t="shared" si="40"/>
        <v/>
      </c>
      <c r="O49" s="6" t="str">
        <f t="shared" si="41"/>
        <v/>
      </c>
      <c r="P49" s="6" t="str">
        <f t="shared" si="41"/>
        <v/>
      </c>
      <c r="Q49" s="6" t="str">
        <f t="shared" si="41"/>
        <v/>
      </c>
      <c r="R49" s="6" t="str">
        <f t="shared" si="41"/>
        <v/>
      </c>
      <c r="S49" s="6" t="str">
        <f t="shared" si="41"/>
        <v/>
      </c>
      <c r="T49" s="6" t="str">
        <f t="shared" si="41"/>
        <v/>
      </c>
      <c r="U49" s="6" t="str">
        <f t="shared" si="41"/>
        <v/>
      </c>
      <c r="V49" s="6" t="str">
        <f t="shared" si="41"/>
        <v/>
      </c>
      <c r="W49" s="6" t="str">
        <f t="shared" si="41"/>
        <v/>
      </c>
      <c r="X49" s="6" t="str">
        <f t="shared" si="41"/>
        <v/>
      </c>
      <c r="Y49" s="6" t="str">
        <f t="shared" si="42"/>
        <v/>
      </c>
      <c r="Z49" s="6" t="str">
        <f t="shared" si="42"/>
        <v/>
      </c>
      <c r="AA49" s="6" t="str">
        <f t="shared" si="42"/>
        <v/>
      </c>
      <c r="AB49" s="6" t="str">
        <f t="shared" si="42"/>
        <v/>
      </c>
      <c r="AC49" s="6" t="str">
        <f t="shared" si="42"/>
        <v/>
      </c>
      <c r="AD49" s="6" t="str">
        <f t="shared" si="42"/>
        <v/>
      </c>
      <c r="AE49" s="6" t="str">
        <f t="shared" si="42"/>
        <v/>
      </c>
      <c r="AF49" s="6" t="str">
        <f t="shared" si="42"/>
        <v/>
      </c>
      <c r="AG49" s="6" t="str">
        <f t="shared" si="42"/>
        <v/>
      </c>
      <c r="AH49" s="6" t="str">
        <f t="shared" si="42"/>
        <v/>
      </c>
      <c r="AI49" s="6" t="str">
        <f t="shared" si="43"/>
        <v/>
      </c>
      <c r="AJ49" s="6" t="str">
        <f t="shared" si="43"/>
        <v/>
      </c>
      <c r="AK49" s="6" t="str">
        <f t="shared" si="43"/>
        <v/>
      </c>
      <c r="AL49" s="6" t="str">
        <f t="shared" si="43"/>
        <v/>
      </c>
      <c r="AM49" s="6" t="str">
        <f t="shared" si="43"/>
        <v/>
      </c>
      <c r="AN49" s="6" t="str">
        <f t="shared" si="43"/>
        <v/>
      </c>
      <c r="AO49" s="6" t="str">
        <f t="shared" si="43"/>
        <v/>
      </c>
      <c r="AP49" s="6" t="str">
        <f t="shared" si="43"/>
        <v/>
      </c>
      <c r="AQ49" s="6" t="str">
        <f t="shared" si="43"/>
        <v/>
      </c>
      <c r="AR49" s="6" t="str">
        <f t="shared" si="43"/>
        <v/>
      </c>
      <c r="AS49" s="6" t="str">
        <f t="shared" si="44"/>
        <v/>
      </c>
      <c r="AT49" s="6" t="str">
        <f t="shared" si="44"/>
        <v/>
      </c>
      <c r="AU49" s="6" t="str">
        <f t="shared" si="44"/>
        <v/>
      </c>
      <c r="AV49" s="6" t="str">
        <f t="shared" si="44"/>
        <v/>
      </c>
      <c r="AW49" s="6" t="str">
        <f t="shared" si="44"/>
        <v/>
      </c>
      <c r="AX49" s="6" t="str">
        <f t="shared" si="44"/>
        <v/>
      </c>
      <c r="AY49" s="6" t="str">
        <f t="shared" si="44"/>
        <v/>
      </c>
      <c r="AZ49" s="6" t="str">
        <f t="shared" si="44"/>
        <v/>
      </c>
      <c r="BA49" s="6" t="str">
        <f t="shared" si="44"/>
        <v/>
      </c>
      <c r="BB49" s="6" t="str">
        <f t="shared" si="44"/>
        <v/>
      </c>
      <c r="BC49" s="6" t="str">
        <f t="shared" si="45"/>
        <v/>
      </c>
      <c r="BD49" s="6" t="str">
        <f t="shared" si="45"/>
        <v/>
      </c>
      <c r="BE49" s="6" t="str">
        <f t="shared" si="45"/>
        <v/>
      </c>
      <c r="BF49" s="6" t="str">
        <f t="shared" si="45"/>
        <v/>
      </c>
      <c r="BG49" s="6" t="str">
        <f t="shared" si="45"/>
        <v/>
      </c>
      <c r="BH49" s="6" t="str">
        <f t="shared" si="45"/>
        <v/>
      </c>
      <c r="BI49" s="6" t="str">
        <f t="shared" si="45"/>
        <v/>
      </c>
      <c r="BJ49" s="6" t="str">
        <f t="shared" si="45"/>
        <v/>
      </c>
      <c r="BK49" s="6" t="str">
        <f t="shared" si="45"/>
        <v/>
      </c>
      <c r="BL49" s="6" t="str">
        <f t="shared" si="45"/>
        <v/>
      </c>
      <c r="BM49" s="6" t="str">
        <f t="shared" si="46"/>
        <v/>
      </c>
      <c r="BN49" s="6" t="str">
        <f t="shared" si="46"/>
        <v/>
      </c>
      <c r="BO49" s="6" t="str">
        <f t="shared" si="46"/>
        <v/>
      </c>
      <c r="BP49" s="6" t="str">
        <f t="shared" si="46"/>
        <v/>
      </c>
      <c r="BQ49" s="6" t="str">
        <f t="shared" si="46"/>
        <v/>
      </c>
      <c r="BR49" s="6" t="str">
        <f t="shared" si="46"/>
        <v/>
      </c>
      <c r="BS49" s="6" t="str">
        <f t="shared" si="46"/>
        <v/>
      </c>
      <c r="BT49" s="6" t="str">
        <f t="shared" si="46"/>
        <v/>
      </c>
      <c r="BU49" s="6" t="str">
        <f t="shared" si="46"/>
        <v/>
      </c>
      <c r="BV49" s="6" t="str">
        <f t="shared" si="46"/>
        <v/>
      </c>
      <c r="BW49" s="6" t="str">
        <f t="shared" si="47"/>
        <v/>
      </c>
      <c r="BX49" s="6" t="str">
        <f t="shared" si="47"/>
        <v/>
      </c>
      <c r="BY49" s="6" t="str">
        <f t="shared" si="47"/>
        <v/>
      </c>
      <c r="BZ49" s="6" t="str">
        <f t="shared" si="47"/>
        <v/>
      </c>
      <c r="CA49" s="6" t="str">
        <f t="shared" si="47"/>
        <v/>
      </c>
      <c r="CB49" s="6" t="str">
        <f t="shared" si="47"/>
        <v/>
      </c>
      <c r="CC49" s="6" t="str">
        <f t="shared" si="47"/>
        <v/>
      </c>
      <c r="CD49" s="6" t="str">
        <f t="shared" si="47"/>
        <v/>
      </c>
      <c r="CE49" s="6" t="str">
        <f t="shared" si="47"/>
        <v/>
      </c>
      <c r="CF49" s="6" t="str">
        <f t="shared" si="47"/>
        <v/>
      </c>
      <c r="CG49" s="6" t="str">
        <f t="shared" si="48"/>
        <v/>
      </c>
      <c r="CH49" s="6" t="str">
        <f t="shared" si="48"/>
        <v/>
      </c>
      <c r="CI49" s="6" t="str">
        <f t="shared" si="48"/>
        <v/>
      </c>
      <c r="CJ49" s="6" t="str">
        <f t="shared" si="48"/>
        <v/>
      </c>
      <c r="CK49" s="6" t="str">
        <f t="shared" si="48"/>
        <v/>
      </c>
      <c r="CL49" s="6" t="str">
        <f t="shared" si="48"/>
        <v/>
      </c>
      <c r="CM49" s="6" t="str">
        <f t="shared" si="48"/>
        <v/>
      </c>
      <c r="CN49" s="6" t="str">
        <f t="shared" si="48"/>
        <v/>
      </c>
      <c r="CO49" s="6" t="str">
        <f t="shared" si="48"/>
        <v/>
      </c>
      <c r="CP49" s="6" t="str">
        <f t="shared" si="48"/>
        <v/>
      </c>
      <c r="CQ49" s="6" t="str">
        <f t="shared" si="49"/>
        <v/>
      </c>
      <c r="CR49" s="6" t="str">
        <f t="shared" si="49"/>
        <v/>
      </c>
      <c r="CS49" s="6" t="str">
        <f t="shared" si="49"/>
        <v/>
      </c>
      <c r="CT49" s="6" t="str">
        <f t="shared" si="49"/>
        <v/>
      </c>
      <c r="CU49" s="6" t="str">
        <f t="shared" si="49"/>
        <v/>
      </c>
      <c r="CV49" s="6" t="str">
        <f t="shared" si="49"/>
        <v/>
      </c>
      <c r="CW49" s="6" t="str">
        <f t="shared" si="49"/>
        <v/>
      </c>
      <c r="CX49" s="6" t="str">
        <f t="shared" si="49"/>
        <v/>
      </c>
      <c r="CY49" s="6" t="str">
        <f t="shared" si="49"/>
        <v/>
      </c>
      <c r="CZ49" s="6" t="str">
        <f t="shared" si="49"/>
        <v/>
      </c>
      <c r="DA49" s="6" t="str">
        <f t="shared" si="49"/>
        <v/>
      </c>
      <c r="DB49" s="6" t="str">
        <f t="shared" si="49"/>
        <v/>
      </c>
      <c r="DC49" s="6" t="str">
        <f t="shared" si="49"/>
        <v/>
      </c>
      <c r="DD49" s="6" t="str">
        <f t="shared" si="49"/>
        <v/>
      </c>
    </row>
  </sheetData>
  <sheetProtection sheet="1" objects="1" scenarios="1" formatColumns="0" formatRows="0" autoFilter="0"/>
  <mergeCells count="1">
    <mergeCell ref="DE1:DE2"/>
  </mergeCells>
  <conditionalFormatting sqref="A2:D49">
    <cfRule type="expression" dxfId="7" priority="2" stopIfTrue="1">
      <formula>MOD(ROW(),2)=0</formula>
    </cfRule>
  </conditionalFormatting>
  <conditionalFormatting sqref="E1:DD1">
    <cfRule type="expression" dxfId="6" priority="6" stopIfTrue="1">
      <formula>AND(E$1&lt;=TODAY(),E$1+6&gt;=TODAY())</formula>
    </cfRule>
  </conditionalFormatting>
  <conditionalFormatting sqref="E2:DD49">
    <cfRule type="expression" dxfId="5" priority="3" stopIfTrue="1">
      <formula>AND(E2=1,$B2="Core")</formula>
    </cfRule>
    <cfRule type="expression" dxfId="4" priority="4" stopIfTrue="1">
      <formula>AND(E2=1,$B2="Practice")</formula>
    </cfRule>
    <cfRule type="expression" dxfId="3" priority="5" stopIfTrue="1">
      <formula>AND(E2=1,$B2="Delivery")</formula>
    </cfRule>
  </conditionalFormatting>
  <hyperlinks>
    <hyperlink ref="DE1:DE2" location="'Overview'!A1" tooltip="Return to the executive overview." display="Overview" xr:uid="{44421926-D61E-464A-BC19-69EB081A29DB}"/>
  </hyperlinks>
  <pageMargins left="0.3" right="0.3" top="0.4" bottom="0.4" header="0.3" footer="0.3"/>
  <pageSetup paperSize="9" scale="53" fitToWidth="4" fitToHeight="0" orientation="landscape" r:id="rId1"/>
  <headerFooter>
    <oddFooter>&amp;LFDE Study Planner | &amp;A&amp;R&amp;P /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630F-4AFF-4022-B48E-EC3B2772B957}">
  <sheetPr>
    <tabColor rgb="FF18735C"/>
    <pageSetUpPr fitToPage="1"/>
  </sheetPr>
  <dimension ref="A1:I95"/>
  <sheetViews>
    <sheetView showGridLines="0" zoomScale="95" zoomScaleNormal="95" workbookViewId="0">
      <pane ySplit="1" topLeftCell="A92" activePane="bottomLeft" state="frozenSplit"/>
      <selection pane="bottomLeft"/>
    </sheetView>
  </sheetViews>
  <sheetFormatPr defaultRowHeight="14.5" x14ac:dyDescent="0.35"/>
  <cols>
    <col min="1" max="1" width="31.6328125" customWidth="1"/>
    <col min="2" max="2" width="30.6328125" customWidth="1"/>
    <col min="3" max="3" width="12.6328125" customWidth="1"/>
    <col min="4" max="4" width="39.6328125" customWidth="1"/>
    <col min="5" max="6" width="16.6328125" customWidth="1"/>
    <col min="7" max="7" width="76.6328125" customWidth="1"/>
    <col min="9" max="9" width="18.6328125" customWidth="1"/>
  </cols>
  <sheetData>
    <row r="1" spans="1:9" ht="40" customHeight="1" x14ac:dyDescent="0.35">
      <c r="A1" s="5" t="s">
        <v>256</v>
      </c>
      <c r="B1" s="5" t="s">
        <v>257</v>
      </c>
      <c r="C1" s="5" t="s">
        <v>258</v>
      </c>
      <c r="D1" s="5" t="s">
        <v>259</v>
      </c>
      <c r="E1" s="5" t="s">
        <v>36</v>
      </c>
      <c r="F1" s="5" t="s">
        <v>45</v>
      </c>
      <c r="G1" s="5" t="s">
        <v>260</v>
      </c>
      <c r="I1" s="44" t="s">
        <v>533</v>
      </c>
    </row>
    <row r="2" spans="1:9" ht="49" customHeight="1" x14ac:dyDescent="0.35">
      <c r="A2" s="4" t="s">
        <v>261</v>
      </c>
      <c r="B2" s="4" t="s">
        <v>262</v>
      </c>
      <c r="C2" s="4" t="s">
        <v>53</v>
      </c>
      <c r="D2" s="4" t="s">
        <v>54</v>
      </c>
      <c r="E2" s="4">
        <f>Schedule!D2</f>
        <v>1</v>
      </c>
      <c r="F2" s="4" t="str">
        <f>Schedule!M2</f>
        <v>Planned</v>
      </c>
      <c r="G2" s="4" t="s">
        <v>263</v>
      </c>
      <c r="I2" s="45"/>
    </row>
    <row r="3" spans="1:9" ht="49" customHeight="1" x14ac:dyDescent="0.35">
      <c r="A3" s="4" t="s">
        <v>264</v>
      </c>
      <c r="B3" s="4" t="s">
        <v>262</v>
      </c>
      <c r="C3" s="4" t="s">
        <v>53</v>
      </c>
      <c r="D3" s="4" t="s">
        <v>54</v>
      </c>
      <c r="E3" s="4">
        <f>Schedule!D2</f>
        <v>1</v>
      </c>
      <c r="F3" s="4" t="str">
        <f>Schedule!M2</f>
        <v>Planned</v>
      </c>
      <c r="G3" s="4" t="s">
        <v>265</v>
      </c>
    </row>
    <row r="4" spans="1:9" ht="49" customHeight="1" x14ac:dyDescent="0.35">
      <c r="A4" s="4" t="s">
        <v>266</v>
      </c>
      <c r="B4" s="4" t="s">
        <v>262</v>
      </c>
      <c r="C4" s="4" t="s">
        <v>53</v>
      </c>
      <c r="D4" s="4" t="s">
        <v>54</v>
      </c>
      <c r="E4" s="4">
        <f>Schedule!D2</f>
        <v>1</v>
      </c>
      <c r="F4" s="4" t="str">
        <f>Schedule!M2</f>
        <v>Planned</v>
      </c>
      <c r="G4" s="4" t="s">
        <v>267</v>
      </c>
    </row>
    <row r="5" spans="1:9" ht="49" customHeight="1" x14ac:dyDescent="0.35">
      <c r="A5" s="4" t="s">
        <v>268</v>
      </c>
      <c r="B5" s="4" t="s">
        <v>262</v>
      </c>
      <c r="C5" s="4" t="s">
        <v>53</v>
      </c>
      <c r="D5" s="4" t="s">
        <v>54</v>
      </c>
      <c r="E5" s="4">
        <f>Schedule!D2</f>
        <v>1</v>
      </c>
      <c r="F5" s="4" t="str">
        <f>Schedule!M2</f>
        <v>Planned</v>
      </c>
      <c r="G5" s="4" t="s">
        <v>269</v>
      </c>
    </row>
    <row r="6" spans="1:9" ht="49" customHeight="1" x14ac:dyDescent="0.35">
      <c r="A6" s="4" t="s">
        <v>270</v>
      </c>
      <c r="B6" s="4" t="s">
        <v>262</v>
      </c>
      <c r="C6" s="4" t="s">
        <v>53</v>
      </c>
      <c r="D6" s="4" t="s">
        <v>54</v>
      </c>
      <c r="E6" s="4">
        <f>Schedule!D2</f>
        <v>1</v>
      </c>
      <c r="F6" s="4" t="str">
        <f>Schedule!M2</f>
        <v>Planned</v>
      </c>
      <c r="G6" s="4" t="s">
        <v>271</v>
      </c>
    </row>
    <row r="7" spans="1:9" ht="49" customHeight="1" x14ac:dyDescent="0.35">
      <c r="A7" s="4" t="s">
        <v>272</v>
      </c>
      <c r="B7" s="4" t="s">
        <v>262</v>
      </c>
      <c r="C7" s="4" t="s">
        <v>123</v>
      </c>
      <c r="D7" s="4" t="s">
        <v>124</v>
      </c>
      <c r="E7" s="4">
        <f>Schedule!D21</f>
        <v>1</v>
      </c>
      <c r="F7" s="4" t="str">
        <f>Schedule!M21</f>
        <v>Planned</v>
      </c>
      <c r="G7" s="4" t="s">
        <v>273</v>
      </c>
    </row>
    <row r="8" spans="1:9" ht="49" customHeight="1" x14ac:dyDescent="0.35">
      <c r="A8" s="4" t="s">
        <v>274</v>
      </c>
      <c r="B8" s="4" t="s">
        <v>262</v>
      </c>
      <c r="C8" s="4" t="s">
        <v>202</v>
      </c>
      <c r="D8" s="4" t="s">
        <v>203</v>
      </c>
      <c r="E8" s="4">
        <f>Schedule!D42</f>
        <v>1</v>
      </c>
      <c r="F8" s="4" t="str">
        <f>Schedule!M42</f>
        <v>Planned</v>
      </c>
      <c r="G8" s="4" t="s">
        <v>275</v>
      </c>
    </row>
    <row r="9" spans="1:9" ht="49" customHeight="1" x14ac:dyDescent="0.35">
      <c r="A9" s="4" t="s">
        <v>276</v>
      </c>
      <c r="B9" s="4" t="s">
        <v>262</v>
      </c>
      <c r="C9" s="4" t="s">
        <v>198</v>
      </c>
      <c r="D9" s="4" t="s">
        <v>199</v>
      </c>
      <c r="E9" s="4">
        <f>Schedule!D41</f>
        <v>1</v>
      </c>
      <c r="F9" s="4" t="str">
        <f>Schedule!M41</f>
        <v>Planned</v>
      </c>
      <c r="G9" s="4" t="s">
        <v>277</v>
      </c>
    </row>
    <row r="10" spans="1:9" ht="49" customHeight="1" x14ac:dyDescent="0.35">
      <c r="A10" s="4" t="s">
        <v>278</v>
      </c>
      <c r="B10" s="4" t="s">
        <v>262</v>
      </c>
      <c r="C10" s="4" t="s">
        <v>53</v>
      </c>
      <c r="D10" s="4" t="s">
        <v>54</v>
      </c>
      <c r="E10" s="4">
        <f>Schedule!D2</f>
        <v>1</v>
      </c>
      <c r="F10" s="4" t="str">
        <f>Schedule!M2</f>
        <v>Planned</v>
      </c>
      <c r="G10" s="4" t="s">
        <v>279</v>
      </c>
    </row>
    <row r="11" spans="1:9" ht="49" customHeight="1" x14ac:dyDescent="0.35">
      <c r="A11" s="4" t="s">
        <v>280</v>
      </c>
      <c r="B11" s="4" t="s">
        <v>262</v>
      </c>
      <c r="C11" s="4" t="s">
        <v>53</v>
      </c>
      <c r="D11" s="4" t="s">
        <v>54</v>
      </c>
      <c r="E11" s="4">
        <f>Schedule!D2</f>
        <v>1</v>
      </c>
      <c r="F11" s="4" t="str">
        <f>Schedule!M2</f>
        <v>Planned</v>
      </c>
      <c r="G11" s="4" t="s">
        <v>281</v>
      </c>
    </row>
    <row r="12" spans="1:9" ht="49" customHeight="1" x14ac:dyDescent="0.35">
      <c r="A12" s="4" t="s">
        <v>282</v>
      </c>
      <c r="B12" s="4" t="s">
        <v>283</v>
      </c>
      <c r="C12" s="4" t="s">
        <v>58</v>
      </c>
      <c r="D12" s="4" t="s">
        <v>59</v>
      </c>
      <c r="E12" s="4">
        <f>Schedule!D3</f>
        <v>1</v>
      </c>
      <c r="F12" s="4" t="str">
        <f>Schedule!M3</f>
        <v>Planned</v>
      </c>
      <c r="G12" s="4" t="s">
        <v>284</v>
      </c>
    </row>
    <row r="13" spans="1:9" ht="49" customHeight="1" x14ac:dyDescent="0.35">
      <c r="A13" s="4" t="s">
        <v>285</v>
      </c>
      <c r="B13" s="4" t="s">
        <v>283</v>
      </c>
      <c r="C13" s="4" t="s">
        <v>58</v>
      </c>
      <c r="D13" s="4" t="s">
        <v>59</v>
      </c>
      <c r="E13" s="4">
        <f>Schedule!D3</f>
        <v>1</v>
      </c>
      <c r="F13" s="4" t="str">
        <f>Schedule!M3</f>
        <v>Planned</v>
      </c>
      <c r="G13" s="4" t="s">
        <v>286</v>
      </c>
    </row>
    <row r="14" spans="1:9" ht="49" customHeight="1" x14ac:dyDescent="0.35">
      <c r="A14" s="4" t="s">
        <v>287</v>
      </c>
      <c r="B14" s="4" t="s">
        <v>283</v>
      </c>
      <c r="C14" s="4" t="s">
        <v>78</v>
      </c>
      <c r="D14" s="4" t="s">
        <v>79</v>
      </c>
      <c r="E14" s="4">
        <f>Schedule!D8</f>
        <v>1</v>
      </c>
      <c r="F14" s="4" t="str">
        <f>Schedule!M8</f>
        <v>Planned</v>
      </c>
      <c r="G14" s="4" t="s">
        <v>288</v>
      </c>
    </row>
    <row r="15" spans="1:9" ht="49" customHeight="1" x14ac:dyDescent="0.35">
      <c r="A15" s="4" t="s">
        <v>289</v>
      </c>
      <c r="B15" s="4" t="s">
        <v>283</v>
      </c>
      <c r="C15" s="4" t="s">
        <v>208</v>
      </c>
      <c r="D15" s="4" t="s">
        <v>209</v>
      </c>
      <c r="E15" s="4">
        <f>Schedule!D44</f>
        <v>0</v>
      </c>
      <c r="F15" s="4" t="str">
        <f>Schedule!M44</f>
        <v>Skipped</v>
      </c>
      <c r="G15" s="4" t="s">
        <v>290</v>
      </c>
    </row>
    <row r="16" spans="1:9" ht="49" customHeight="1" x14ac:dyDescent="0.35">
      <c r="A16" s="4" t="s">
        <v>291</v>
      </c>
      <c r="B16" s="4" t="s">
        <v>283</v>
      </c>
      <c r="C16" s="4" t="s">
        <v>208</v>
      </c>
      <c r="D16" s="4" t="s">
        <v>209</v>
      </c>
      <c r="E16" s="4">
        <f>Schedule!D44</f>
        <v>0</v>
      </c>
      <c r="F16" s="4" t="str">
        <f>Schedule!M44</f>
        <v>Skipped</v>
      </c>
      <c r="G16" s="4" t="s">
        <v>292</v>
      </c>
    </row>
    <row r="17" spans="1:7" ht="49" customHeight="1" x14ac:dyDescent="0.35">
      <c r="A17" s="4" t="s">
        <v>293</v>
      </c>
      <c r="B17" s="4" t="s">
        <v>283</v>
      </c>
      <c r="C17" s="4" t="s">
        <v>208</v>
      </c>
      <c r="D17" s="4" t="s">
        <v>209</v>
      </c>
      <c r="E17" s="4">
        <f>Schedule!D44</f>
        <v>0</v>
      </c>
      <c r="F17" s="4" t="str">
        <f>Schedule!M44</f>
        <v>Skipped</v>
      </c>
      <c r="G17" s="4" t="s">
        <v>294</v>
      </c>
    </row>
    <row r="18" spans="1:7" ht="49" customHeight="1" x14ac:dyDescent="0.35">
      <c r="A18" s="4" t="s">
        <v>295</v>
      </c>
      <c r="B18" s="4" t="s">
        <v>283</v>
      </c>
      <c r="C18" s="4" t="s">
        <v>208</v>
      </c>
      <c r="D18" s="4" t="s">
        <v>209</v>
      </c>
      <c r="E18" s="4">
        <f>Schedule!D44</f>
        <v>0</v>
      </c>
      <c r="F18" s="4" t="str">
        <f>Schedule!M44</f>
        <v>Skipped</v>
      </c>
      <c r="G18" s="4" t="s">
        <v>296</v>
      </c>
    </row>
    <row r="19" spans="1:7" ht="49" customHeight="1" x14ac:dyDescent="0.35">
      <c r="A19" s="4" t="s">
        <v>297</v>
      </c>
      <c r="B19" s="4" t="s">
        <v>283</v>
      </c>
      <c r="C19" s="4" t="s">
        <v>150</v>
      </c>
      <c r="D19" s="4" t="s">
        <v>151</v>
      </c>
      <c r="E19" s="4">
        <f>Schedule!D28</f>
        <v>1</v>
      </c>
      <c r="F19" s="4" t="str">
        <f>Schedule!M28</f>
        <v>Planned</v>
      </c>
      <c r="G19" s="4" t="s">
        <v>298</v>
      </c>
    </row>
    <row r="20" spans="1:7" ht="49" customHeight="1" x14ac:dyDescent="0.35">
      <c r="A20" s="4" t="s">
        <v>299</v>
      </c>
      <c r="B20" s="4" t="s">
        <v>283</v>
      </c>
      <c r="C20" s="4" t="s">
        <v>62</v>
      </c>
      <c r="D20" s="4" t="s">
        <v>63</v>
      </c>
      <c r="E20" s="4">
        <f>Schedule!D4</f>
        <v>1</v>
      </c>
      <c r="F20" s="4" t="str">
        <f>Schedule!M4</f>
        <v>Planned</v>
      </c>
      <c r="G20" s="4" t="s">
        <v>300</v>
      </c>
    </row>
    <row r="21" spans="1:7" ht="49" customHeight="1" x14ac:dyDescent="0.35">
      <c r="A21" s="4" t="s">
        <v>301</v>
      </c>
      <c r="B21" s="4" t="s">
        <v>283</v>
      </c>
      <c r="C21" s="4" t="s">
        <v>62</v>
      </c>
      <c r="D21" s="4" t="s">
        <v>63</v>
      </c>
      <c r="E21" s="4">
        <f>Schedule!D4</f>
        <v>1</v>
      </c>
      <c r="F21" s="4" t="str">
        <f>Schedule!M4</f>
        <v>Planned</v>
      </c>
      <c r="G21" s="4" t="s">
        <v>302</v>
      </c>
    </row>
    <row r="22" spans="1:7" ht="49" customHeight="1" x14ac:dyDescent="0.35">
      <c r="A22" s="4" t="s">
        <v>303</v>
      </c>
      <c r="B22" s="4" t="s">
        <v>304</v>
      </c>
      <c r="C22" s="4" t="s">
        <v>78</v>
      </c>
      <c r="D22" s="4" t="s">
        <v>79</v>
      </c>
      <c r="E22" s="4">
        <f>Schedule!D8</f>
        <v>1</v>
      </c>
      <c r="F22" s="4" t="str">
        <f>Schedule!M8</f>
        <v>Planned</v>
      </c>
      <c r="G22" s="4" t="s">
        <v>305</v>
      </c>
    </row>
    <row r="23" spans="1:7" ht="49" customHeight="1" x14ac:dyDescent="0.35">
      <c r="A23" s="4" t="s">
        <v>306</v>
      </c>
      <c r="B23" s="4" t="s">
        <v>304</v>
      </c>
      <c r="C23" s="4" t="s">
        <v>78</v>
      </c>
      <c r="D23" s="4" t="s">
        <v>79</v>
      </c>
      <c r="E23" s="4">
        <f>Schedule!D8</f>
        <v>1</v>
      </c>
      <c r="F23" s="4" t="str">
        <f>Schedule!M8</f>
        <v>Planned</v>
      </c>
      <c r="G23" s="4" t="s">
        <v>307</v>
      </c>
    </row>
    <row r="24" spans="1:7" ht="49" customHeight="1" x14ac:dyDescent="0.35">
      <c r="A24" s="4" t="s">
        <v>308</v>
      </c>
      <c r="B24" s="4" t="s">
        <v>304</v>
      </c>
      <c r="C24" s="4" t="s">
        <v>78</v>
      </c>
      <c r="D24" s="4" t="s">
        <v>79</v>
      </c>
      <c r="E24" s="4">
        <f>Schedule!D8</f>
        <v>1</v>
      </c>
      <c r="F24" s="4" t="str">
        <f>Schedule!M8</f>
        <v>Planned</v>
      </c>
      <c r="G24" s="4" t="s">
        <v>309</v>
      </c>
    </row>
    <row r="25" spans="1:7" ht="49" customHeight="1" x14ac:dyDescent="0.35">
      <c r="A25" s="4" t="s">
        <v>310</v>
      </c>
      <c r="B25" s="4" t="s">
        <v>304</v>
      </c>
      <c r="C25" s="4" t="s">
        <v>78</v>
      </c>
      <c r="D25" s="4" t="s">
        <v>79</v>
      </c>
      <c r="E25" s="4">
        <f>Schedule!D8</f>
        <v>1</v>
      </c>
      <c r="F25" s="4" t="str">
        <f>Schedule!M8</f>
        <v>Planned</v>
      </c>
      <c r="G25" s="4" t="s">
        <v>311</v>
      </c>
    </row>
    <row r="26" spans="1:7" ht="49" customHeight="1" x14ac:dyDescent="0.35">
      <c r="A26" s="4" t="s">
        <v>312</v>
      </c>
      <c r="B26" s="4" t="s">
        <v>304</v>
      </c>
      <c r="C26" s="4" t="s">
        <v>78</v>
      </c>
      <c r="D26" s="4" t="s">
        <v>79</v>
      </c>
      <c r="E26" s="4">
        <f>Schedule!D8</f>
        <v>1</v>
      </c>
      <c r="F26" s="4" t="str">
        <f>Schedule!M8</f>
        <v>Planned</v>
      </c>
      <c r="G26" s="4" t="s">
        <v>313</v>
      </c>
    </row>
    <row r="27" spans="1:7" ht="49" customHeight="1" x14ac:dyDescent="0.35">
      <c r="A27" s="4" t="s">
        <v>314</v>
      </c>
      <c r="B27" s="4" t="s">
        <v>304</v>
      </c>
      <c r="C27" s="4" t="s">
        <v>70</v>
      </c>
      <c r="D27" s="4" t="s">
        <v>71</v>
      </c>
      <c r="E27" s="4">
        <f>Schedule!D6</f>
        <v>1</v>
      </c>
      <c r="F27" s="4" t="str">
        <f>Schedule!M6</f>
        <v>Planned</v>
      </c>
      <c r="G27" s="4" t="s">
        <v>315</v>
      </c>
    </row>
    <row r="28" spans="1:7" ht="49" customHeight="1" x14ac:dyDescent="0.35">
      <c r="A28" s="4" t="s">
        <v>316</v>
      </c>
      <c r="B28" s="4" t="s">
        <v>304</v>
      </c>
      <c r="C28" s="4" t="s">
        <v>223</v>
      </c>
      <c r="D28" s="4" t="s">
        <v>224</v>
      </c>
      <c r="E28" s="4">
        <f>Schedule!D48</f>
        <v>0</v>
      </c>
      <c r="F28" s="4" t="str">
        <f>Schedule!M48</f>
        <v>Skipped</v>
      </c>
      <c r="G28" s="4" t="s">
        <v>317</v>
      </c>
    </row>
    <row r="29" spans="1:7" ht="49" customHeight="1" x14ac:dyDescent="0.35">
      <c r="A29" s="4" t="s">
        <v>318</v>
      </c>
      <c r="B29" s="4" t="s">
        <v>304</v>
      </c>
      <c r="C29" s="4" t="s">
        <v>74</v>
      </c>
      <c r="D29" s="4" t="s">
        <v>75</v>
      </c>
      <c r="E29" s="4">
        <f>Schedule!D7</f>
        <v>1</v>
      </c>
      <c r="F29" s="4" t="str">
        <f>Schedule!M7</f>
        <v>Planned</v>
      </c>
      <c r="G29" s="4" t="s">
        <v>319</v>
      </c>
    </row>
    <row r="30" spans="1:7" ht="49" customHeight="1" x14ac:dyDescent="0.35">
      <c r="A30" s="4" t="s">
        <v>320</v>
      </c>
      <c r="B30" s="4" t="s">
        <v>304</v>
      </c>
      <c r="C30" s="4" t="s">
        <v>74</v>
      </c>
      <c r="D30" s="4" t="s">
        <v>75</v>
      </c>
      <c r="E30" s="4">
        <f>Schedule!D7</f>
        <v>1</v>
      </c>
      <c r="F30" s="4" t="str">
        <f>Schedule!M7</f>
        <v>Planned</v>
      </c>
      <c r="G30" s="4" t="s">
        <v>321</v>
      </c>
    </row>
    <row r="31" spans="1:7" ht="49" customHeight="1" x14ac:dyDescent="0.35">
      <c r="A31" s="4" t="s">
        <v>322</v>
      </c>
      <c r="B31" s="4" t="s">
        <v>304</v>
      </c>
      <c r="C31" s="4" t="s">
        <v>223</v>
      </c>
      <c r="D31" s="4" t="s">
        <v>224</v>
      </c>
      <c r="E31" s="4">
        <f>Schedule!D48</f>
        <v>0</v>
      </c>
      <c r="F31" s="4" t="str">
        <f>Schedule!M48</f>
        <v>Skipped</v>
      </c>
      <c r="G31" s="4" t="s">
        <v>323</v>
      </c>
    </row>
    <row r="32" spans="1:7" ht="49" customHeight="1" x14ac:dyDescent="0.35">
      <c r="A32" s="4" t="s">
        <v>324</v>
      </c>
      <c r="B32" s="4" t="s">
        <v>304</v>
      </c>
      <c r="C32" s="4" t="s">
        <v>70</v>
      </c>
      <c r="D32" s="4" t="s">
        <v>71</v>
      </c>
      <c r="E32" s="4">
        <f>Schedule!D6</f>
        <v>1</v>
      </c>
      <c r="F32" s="4" t="str">
        <f>Schedule!M6</f>
        <v>Planned</v>
      </c>
      <c r="G32" s="4" t="s">
        <v>325</v>
      </c>
    </row>
    <row r="33" spans="1:7" ht="49" customHeight="1" x14ac:dyDescent="0.35">
      <c r="A33" s="4" t="s">
        <v>326</v>
      </c>
      <c r="B33" s="4" t="s">
        <v>304</v>
      </c>
      <c r="C33" s="4" t="s">
        <v>223</v>
      </c>
      <c r="D33" s="4" t="s">
        <v>224</v>
      </c>
      <c r="E33" s="4">
        <f>Schedule!D48</f>
        <v>0</v>
      </c>
      <c r="F33" s="4" t="str">
        <f>Schedule!M48</f>
        <v>Skipped</v>
      </c>
      <c r="G33" s="4" t="s">
        <v>327</v>
      </c>
    </row>
    <row r="34" spans="1:7" ht="49" customHeight="1" x14ac:dyDescent="0.35">
      <c r="A34" s="4" t="s">
        <v>328</v>
      </c>
      <c r="B34" s="4" t="s">
        <v>304</v>
      </c>
      <c r="C34" s="4" t="s">
        <v>82</v>
      </c>
      <c r="D34" s="4" t="s">
        <v>83</v>
      </c>
      <c r="E34" s="4">
        <f>Schedule!D9</f>
        <v>1</v>
      </c>
      <c r="F34" s="4" t="str">
        <f>Schedule!M9</f>
        <v>Planned</v>
      </c>
      <c r="G34" s="4" t="s">
        <v>329</v>
      </c>
    </row>
    <row r="35" spans="1:7" ht="49" customHeight="1" x14ac:dyDescent="0.35">
      <c r="A35" s="4" t="s">
        <v>330</v>
      </c>
      <c r="B35" s="4" t="s">
        <v>304</v>
      </c>
      <c r="C35" s="4" t="s">
        <v>74</v>
      </c>
      <c r="D35" s="4" t="s">
        <v>75</v>
      </c>
      <c r="E35" s="4">
        <f>Schedule!D7</f>
        <v>1</v>
      </c>
      <c r="F35" s="4" t="str">
        <f>Schedule!M7</f>
        <v>Planned</v>
      </c>
      <c r="G35" s="4" t="s">
        <v>331</v>
      </c>
    </row>
    <row r="36" spans="1:7" ht="49" customHeight="1" x14ac:dyDescent="0.35">
      <c r="A36" s="4" t="s">
        <v>332</v>
      </c>
      <c r="B36" s="4" t="s">
        <v>304</v>
      </c>
      <c r="C36" s="4" t="s">
        <v>82</v>
      </c>
      <c r="D36" s="4" t="s">
        <v>83</v>
      </c>
      <c r="E36" s="4">
        <f>Schedule!D9</f>
        <v>1</v>
      </c>
      <c r="F36" s="4" t="str">
        <f>Schedule!M9</f>
        <v>Planned</v>
      </c>
      <c r="G36" s="4" t="s">
        <v>333</v>
      </c>
    </row>
    <row r="37" spans="1:7" ht="49" customHeight="1" x14ac:dyDescent="0.35">
      <c r="A37" s="4" t="s">
        <v>334</v>
      </c>
      <c r="B37" s="4" t="s">
        <v>304</v>
      </c>
      <c r="C37" s="4" t="s">
        <v>82</v>
      </c>
      <c r="D37" s="4" t="s">
        <v>83</v>
      </c>
      <c r="E37" s="4">
        <f>Schedule!D9</f>
        <v>1</v>
      </c>
      <c r="F37" s="4" t="str">
        <f>Schedule!M9</f>
        <v>Planned</v>
      </c>
      <c r="G37" s="4" t="s">
        <v>335</v>
      </c>
    </row>
    <row r="38" spans="1:7" ht="49" customHeight="1" x14ac:dyDescent="0.35">
      <c r="A38" s="4" t="s">
        <v>336</v>
      </c>
      <c r="B38" s="4" t="s">
        <v>304</v>
      </c>
      <c r="C38" s="4" t="s">
        <v>216</v>
      </c>
      <c r="D38" s="4" t="s">
        <v>217</v>
      </c>
      <c r="E38" s="4">
        <f>Schedule!D46</f>
        <v>0</v>
      </c>
      <c r="F38" s="4" t="str">
        <f>Schedule!M46</f>
        <v>Skipped</v>
      </c>
      <c r="G38" s="4" t="s">
        <v>337</v>
      </c>
    </row>
    <row r="39" spans="1:7" ht="49" customHeight="1" x14ac:dyDescent="0.35">
      <c r="A39" s="4" t="s">
        <v>338</v>
      </c>
      <c r="B39" s="4" t="s">
        <v>304</v>
      </c>
      <c r="C39" s="4" t="s">
        <v>216</v>
      </c>
      <c r="D39" s="4" t="s">
        <v>217</v>
      </c>
      <c r="E39" s="4">
        <f>Schedule!D46</f>
        <v>0</v>
      </c>
      <c r="F39" s="4" t="str">
        <f>Schedule!M46</f>
        <v>Skipped</v>
      </c>
      <c r="G39" s="4" t="s">
        <v>339</v>
      </c>
    </row>
    <row r="40" spans="1:7" ht="49" customHeight="1" x14ac:dyDescent="0.35">
      <c r="A40" s="4" t="s">
        <v>340</v>
      </c>
      <c r="B40" s="4" t="s">
        <v>341</v>
      </c>
      <c r="C40" s="4" t="s">
        <v>104</v>
      </c>
      <c r="D40" s="4" t="s">
        <v>105</v>
      </c>
      <c r="E40" s="4">
        <f>Schedule!D16</f>
        <v>1</v>
      </c>
      <c r="F40" s="4" t="str">
        <f>Schedule!M16</f>
        <v>Planned</v>
      </c>
      <c r="G40" s="4" t="s">
        <v>342</v>
      </c>
    </row>
    <row r="41" spans="1:7" ht="49" customHeight="1" x14ac:dyDescent="0.35">
      <c r="A41" s="4" t="s">
        <v>343</v>
      </c>
      <c r="B41" s="4" t="s">
        <v>341</v>
      </c>
      <c r="C41" s="4" t="s">
        <v>104</v>
      </c>
      <c r="D41" s="4" t="s">
        <v>105</v>
      </c>
      <c r="E41" s="4">
        <f>Schedule!D16</f>
        <v>1</v>
      </c>
      <c r="F41" s="4" t="str">
        <f>Schedule!M16</f>
        <v>Planned</v>
      </c>
      <c r="G41" s="4" t="s">
        <v>344</v>
      </c>
    </row>
    <row r="42" spans="1:7" ht="49" customHeight="1" x14ac:dyDescent="0.35">
      <c r="A42" s="4" t="s">
        <v>345</v>
      </c>
      <c r="B42" s="4" t="s">
        <v>341</v>
      </c>
      <c r="C42" s="4" t="s">
        <v>108</v>
      </c>
      <c r="D42" s="4" t="s">
        <v>109</v>
      </c>
      <c r="E42" s="4">
        <f>Schedule!D17</f>
        <v>1</v>
      </c>
      <c r="F42" s="4" t="str">
        <f>Schedule!M17</f>
        <v>Planned</v>
      </c>
      <c r="G42" s="4" t="s">
        <v>346</v>
      </c>
    </row>
    <row r="43" spans="1:7" ht="49" customHeight="1" x14ac:dyDescent="0.35">
      <c r="A43" s="4" t="s">
        <v>347</v>
      </c>
      <c r="B43" s="4" t="s">
        <v>341</v>
      </c>
      <c r="C43" s="4" t="s">
        <v>108</v>
      </c>
      <c r="D43" s="4" t="s">
        <v>109</v>
      </c>
      <c r="E43" s="4">
        <f>Schedule!D17</f>
        <v>1</v>
      </c>
      <c r="F43" s="4" t="str">
        <f>Schedule!M17</f>
        <v>Planned</v>
      </c>
      <c r="G43" s="4" t="s">
        <v>348</v>
      </c>
    </row>
    <row r="44" spans="1:7" ht="49" customHeight="1" x14ac:dyDescent="0.35">
      <c r="A44" s="4" t="s">
        <v>349</v>
      </c>
      <c r="B44" s="4" t="s">
        <v>341</v>
      </c>
      <c r="C44" s="4" t="s">
        <v>112</v>
      </c>
      <c r="D44" s="4" t="s">
        <v>113</v>
      </c>
      <c r="E44" s="4">
        <f>Schedule!D18</f>
        <v>1</v>
      </c>
      <c r="F44" s="4" t="str">
        <f>Schedule!M18</f>
        <v>Planned</v>
      </c>
      <c r="G44" s="4" t="s">
        <v>350</v>
      </c>
    </row>
    <row r="45" spans="1:7" ht="49" customHeight="1" x14ac:dyDescent="0.35">
      <c r="A45" s="4" t="s">
        <v>351</v>
      </c>
      <c r="B45" s="4" t="s">
        <v>341</v>
      </c>
      <c r="C45" s="4" t="s">
        <v>112</v>
      </c>
      <c r="D45" s="4" t="s">
        <v>113</v>
      </c>
      <c r="E45" s="4">
        <f>Schedule!D18</f>
        <v>1</v>
      </c>
      <c r="F45" s="4" t="str">
        <f>Schedule!M18</f>
        <v>Planned</v>
      </c>
      <c r="G45" s="4" t="s">
        <v>352</v>
      </c>
    </row>
    <row r="46" spans="1:7" ht="49" customHeight="1" x14ac:dyDescent="0.35">
      <c r="A46" s="4" t="s">
        <v>353</v>
      </c>
      <c r="B46" s="4" t="s">
        <v>341</v>
      </c>
      <c r="C46" s="4" t="s">
        <v>104</v>
      </c>
      <c r="D46" s="4" t="s">
        <v>105</v>
      </c>
      <c r="E46" s="4">
        <f>Schedule!D16</f>
        <v>1</v>
      </c>
      <c r="F46" s="4" t="str">
        <f>Schedule!M16</f>
        <v>Planned</v>
      </c>
      <c r="G46" s="4" t="s">
        <v>354</v>
      </c>
    </row>
    <row r="47" spans="1:7" ht="49" customHeight="1" x14ac:dyDescent="0.35">
      <c r="A47" s="4" t="s">
        <v>355</v>
      </c>
      <c r="B47" s="4" t="s">
        <v>341</v>
      </c>
      <c r="C47" s="4" t="s">
        <v>108</v>
      </c>
      <c r="D47" s="4" t="s">
        <v>109</v>
      </c>
      <c r="E47" s="4">
        <f>Schedule!D17</f>
        <v>1</v>
      </c>
      <c r="F47" s="4" t="str">
        <f>Schedule!M17</f>
        <v>Planned</v>
      </c>
      <c r="G47" s="4" t="s">
        <v>356</v>
      </c>
    </row>
    <row r="48" spans="1:7" ht="49" customHeight="1" x14ac:dyDescent="0.35">
      <c r="A48" s="4" t="s">
        <v>357</v>
      </c>
      <c r="B48" s="4" t="s">
        <v>358</v>
      </c>
      <c r="C48" s="4" t="s">
        <v>127</v>
      </c>
      <c r="D48" s="4" t="s">
        <v>128</v>
      </c>
      <c r="E48" s="4">
        <f>Schedule!D22</f>
        <v>1</v>
      </c>
      <c r="F48" s="4" t="str">
        <f>Schedule!M22</f>
        <v>Planned</v>
      </c>
      <c r="G48" s="4" t="s">
        <v>359</v>
      </c>
    </row>
    <row r="49" spans="1:7" ht="49" customHeight="1" x14ac:dyDescent="0.35">
      <c r="A49" s="4" t="s">
        <v>360</v>
      </c>
      <c r="B49" s="4" t="s">
        <v>358</v>
      </c>
      <c r="C49" s="4" t="s">
        <v>127</v>
      </c>
      <c r="D49" s="4" t="s">
        <v>128</v>
      </c>
      <c r="E49" s="4">
        <f>Schedule!D22</f>
        <v>1</v>
      </c>
      <c r="F49" s="4" t="str">
        <f>Schedule!M22</f>
        <v>Planned</v>
      </c>
      <c r="G49" s="4" t="s">
        <v>361</v>
      </c>
    </row>
    <row r="50" spans="1:7" ht="49" customHeight="1" x14ac:dyDescent="0.35">
      <c r="A50" s="4" t="s">
        <v>362</v>
      </c>
      <c r="B50" s="4" t="s">
        <v>358</v>
      </c>
      <c r="C50" s="4" t="s">
        <v>123</v>
      </c>
      <c r="D50" s="4" t="s">
        <v>124</v>
      </c>
      <c r="E50" s="4">
        <f>Schedule!D21</f>
        <v>1</v>
      </c>
      <c r="F50" s="4" t="str">
        <f>Schedule!M21</f>
        <v>Planned</v>
      </c>
      <c r="G50" s="4" t="s">
        <v>363</v>
      </c>
    </row>
    <row r="51" spans="1:7" ht="49" customHeight="1" x14ac:dyDescent="0.35">
      <c r="A51" s="4" t="s">
        <v>364</v>
      </c>
      <c r="B51" s="4" t="s">
        <v>358</v>
      </c>
      <c r="C51" s="4" t="s">
        <v>123</v>
      </c>
      <c r="D51" s="4" t="s">
        <v>124</v>
      </c>
      <c r="E51" s="4">
        <f>Schedule!D21</f>
        <v>1</v>
      </c>
      <c r="F51" s="4" t="str">
        <f>Schedule!M21</f>
        <v>Planned</v>
      </c>
      <c r="G51" s="4" t="s">
        <v>365</v>
      </c>
    </row>
    <row r="52" spans="1:7" ht="49" customHeight="1" x14ac:dyDescent="0.35">
      <c r="A52" s="4" t="s">
        <v>366</v>
      </c>
      <c r="B52" s="4" t="s">
        <v>358</v>
      </c>
      <c r="C52" s="4" t="s">
        <v>123</v>
      </c>
      <c r="D52" s="4" t="s">
        <v>124</v>
      </c>
      <c r="E52" s="4">
        <f>Schedule!D21</f>
        <v>1</v>
      </c>
      <c r="F52" s="4" t="str">
        <f>Schedule!M21</f>
        <v>Planned</v>
      </c>
      <c r="G52" s="4" t="s">
        <v>367</v>
      </c>
    </row>
    <row r="53" spans="1:7" ht="49" customHeight="1" x14ac:dyDescent="0.35">
      <c r="A53" s="4" t="s">
        <v>368</v>
      </c>
      <c r="B53" s="4" t="s">
        <v>358</v>
      </c>
      <c r="C53" s="4" t="s">
        <v>127</v>
      </c>
      <c r="D53" s="4" t="s">
        <v>128</v>
      </c>
      <c r="E53" s="4">
        <f>Schedule!D22</f>
        <v>1</v>
      </c>
      <c r="F53" s="4" t="str">
        <f>Schedule!M22</f>
        <v>Planned</v>
      </c>
      <c r="G53" s="4" t="s">
        <v>369</v>
      </c>
    </row>
    <row r="54" spans="1:7" ht="49" customHeight="1" x14ac:dyDescent="0.35">
      <c r="A54" s="4" t="s">
        <v>370</v>
      </c>
      <c r="B54" s="4" t="s">
        <v>358</v>
      </c>
      <c r="C54" s="4" t="s">
        <v>130</v>
      </c>
      <c r="D54" s="4" t="s">
        <v>131</v>
      </c>
      <c r="E54" s="4">
        <f>Schedule!D23</f>
        <v>1</v>
      </c>
      <c r="F54" s="4" t="str">
        <f>Schedule!M23</f>
        <v>Planned</v>
      </c>
      <c r="G54" s="4" t="s">
        <v>371</v>
      </c>
    </row>
    <row r="55" spans="1:7" ht="49" customHeight="1" x14ac:dyDescent="0.35">
      <c r="A55" s="4" t="s">
        <v>372</v>
      </c>
      <c r="B55" s="4" t="s">
        <v>358</v>
      </c>
      <c r="C55" s="4" t="s">
        <v>226</v>
      </c>
      <c r="D55" s="4" t="s">
        <v>227</v>
      </c>
      <c r="E55" s="4">
        <f>Schedule!D49</f>
        <v>0</v>
      </c>
      <c r="F55" s="4" t="str">
        <f>Schedule!M49</f>
        <v>Skipped</v>
      </c>
      <c r="G55" s="4" t="s">
        <v>373</v>
      </c>
    </row>
    <row r="56" spans="1:7" ht="49" customHeight="1" x14ac:dyDescent="0.35">
      <c r="A56" s="4" t="s">
        <v>374</v>
      </c>
      <c r="B56" s="4" t="s">
        <v>358</v>
      </c>
      <c r="C56" s="4" t="s">
        <v>226</v>
      </c>
      <c r="D56" s="4" t="s">
        <v>227</v>
      </c>
      <c r="E56" s="4">
        <f>Schedule!D49</f>
        <v>0</v>
      </c>
      <c r="F56" s="4" t="str">
        <f>Schedule!M49</f>
        <v>Skipped</v>
      </c>
      <c r="G56" s="4" t="s">
        <v>375</v>
      </c>
    </row>
    <row r="57" spans="1:7" ht="49" customHeight="1" x14ac:dyDescent="0.35">
      <c r="A57" s="4" t="s">
        <v>376</v>
      </c>
      <c r="B57" s="4" t="s">
        <v>358</v>
      </c>
      <c r="C57" s="4" t="s">
        <v>226</v>
      </c>
      <c r="D57" s="4" t="s">
        <v>227</v>
      </c>
      <c r="E57" s="4">
        <f>Schedule!D49</f>
        <v>0</v>
      </c>
      <c r="F57" s="4" t="str">
        <f>Schedule!M49</f>
        <v>Skipped</v>
      </c>
      <c r="G57" s="4" t="s">
        <v>377</v>
      </c>
    </row>
    <row r="58" spans="1:7" ht="49" customHeight="1" x14ac:dyDescent="0.35">
      <c r="A58" s="4" t="s">
        <v>378</v>
      </c>
      <c r="B58" s="4" t="s">
        <v>358</v>
      </c>
      <c r="C58" s="4" t="s">
        <v>226</v>
      </c>
      <c r="D58" s="4" t="s">
        <v>227</v>
      </c>
      <c r="E58" s="4">
        <f>Schedule!D49</f>
        <v>0</v>
      </c>
      <c r="F58" s="4" t="str">
        <f>Schedule!M49</f>
        <v>Skipped</v>
      </c>
      <c r="G58" s="4" t="s">
        <v>379</v>
      </c>
    </row>
    <row r="59" spans="1:7" ht="49" customHeight="1" x14ac:dyDescent="0.35">
      <c r="A59" s="4" t="s">
        <v>380</v>
      </c>
      <c r="B59" s="4" t="s">
        <v>358</v>
      </c>
      <c r="C59" s="4" t="s">
        <v>226</v>
      </c>
      <c r="D59" s="4" t="s">
        <v>227</v>
      </c>
      <c r="E59" s="4">
        <f>Schedule!D49</f>
        <v>0</v>
      </c>
      <c r="F59" s="4" t="str">
        <f>Schedule!M49</f>
        <v>Skipped</v>
      </c>
      <c r="G59" s="4" t="s">
        <v>381</v>
      </c>
    </row>
    <row r="60" spans="1:7" ht="49" customHeight="1" x14ac:dyDescent="0.35">
      <c r="A60" s="4" t="s">
        <v>382</v>
      </c>
      <c r="B60" s="4" t="s">
        <v>358</v>
      </c>
      <c r="C60" s="4" t="s">
        <v>226</v>
      </c>
      <c r="D60" s="4" t="s">
        <v>227</v>
      </c>
      <c r="E60" s="4">
        <f>Schedule!D49</f>
        <v>0</v>
      </c>
      <c r="F60" s="4" t="str">
        <f>Schedule!M49</f>
        <v>Skipped</v>
      </c>
      <c r="G60" s="4" t="s">
        <v>383</v>
      </c>
    </row>
    <row r="61" spans="1:7" ht="49" customHeight="1" x14ac:dyDescent="0.35">
      <c r="A61" s="4" t="s">
        <v>384</v>
      </c>
      <c r="B61" s="4" t="s">
        <v>385</v>
      </c>
      <c r="C61" s="4" t="s">
        <v>123</v>
      </c>
      <c r="D61" s="4" t="s">
        <v>124</v>
      </c>
      <c r="E61" s="4">
        <f>Schedule!D21</f>
        <v>1</v>
      </c>
      <c r="F61" s="4" t="str">
        <f>Schedule!M21</f>
        <v>Planned</v>
      </c>
      <c r="G61" s="4" t="s">
        <v>386</v>
      </c>
    </row>
    <row r="62" spans="1:7" ht="49" customHeight="1" x14ac:dyDescent="0.35">
      <c r="A62" s="4" t="s">
        <v>387</v>
      </c>
      <c r="B62" s="4" t="s">
        <v>385</v>
      </c>
      <c r="C62" s="4" t="s">
        <v>123</v>
      </c>
      <c r="D62" s="4" t="s">
        <v>124</v>
      </c>
      <c r="E62" s="4">
        <f>Schedule!D21</f>
        <v>1</v>
      </c>
      <c r="F62" s="4" t="str">
        <f>Schedule!M21</f>
        <v>Planned</v>
      </c>
      <c r="G62" s="4" t="s">
        <v>388</v>
      </c>
    </row>
    <row r="63" spans="1:7" ht="49" customHeight="1" x14ac:dyDescent="0.35">
      <c r="A63" s="4" t="s">
        <v>389</v>
      </c>
      <c r="B63" s="4" t="s">
        <v>385</v>
      </c>
      <c r="C63" s="4" t="s">
        <v>134</v>
      </c>
      <c r="D63" s="4" t="s">
        <v>135</v>
      </c>
      <c r="E63" s="4">
        <f>Schedule!D24</f>
        <v>1</v>
      </c>
      <c r="F63" s="4" t="str">
        <f>Schedule!M24</f>
        <v>Planned</v>
      </c>
      <c r="G63" s="4" t="s">
        <v>390</v>
      </c>
    </row>
    <row r="64" spans="1:7" ht="49" customHeight="1" x14ac:dyDescent="0.35">
      <c r="A64" s="4" t="s">
        <v>391</v>
      </c>
      <c r="B64" s="4" t="s">
        <v>385</v>
      </c>
      <c r="C64" s="4" t="s">
        <v>134</v>
      </c>
      <c r="D64" s="4" t="s">
        <v>135</v>
      </c>
      <c r="E64" s="4">
        <f>Schedule!D24</f>
        <v>1</v>
      </c>
      <c r="F64" s="4" t="str">
        <f>Schedule!M24</f>
        <v>Planned</v>
      </c>
      <c r="G64" s="4" t="s">
        <v>392</v>
      </c>
    </row>
    <row r="65" spans="1:7" ht="49" customHeight="1" x14ac:dyDescent="0.35">
      <c r="A65" s="4" t="s">
        <v>393</v>
      </c>
      <c r="B65" s="4" t="s">
        <v>385</v>
      </c>
      <c r="C65" s="4" t="s">
        <v>212</v>
      </c>
      <c r="D65" s="4" t="s">
        <v>213</v>
      </c>
      <c r="E65" s="4">
        <f>Schedule!D45</f>
        <v>0</v>
      </c>
      <c r="F65" s="4" t="str">
        <f>Schedule!M45</f>
        <v>Skipped</v>
      </c>
      <c r="G65" s="4" t="s">
        <v>394</v>
      </c>
    </row>
    <row r="66" spans="1:7" ht="49" customHeight="1" x14ac:dyDescent="0.35">
      <c r="A66" s="4" t="s">
        <v>395</v>
      </c>
      <c r="B66" s="4" t="s">
        <v>385</v>
      </c>
      <c r="C66" s="4" t="s">
        <v>212</v>
      </c>
      <c r="D66" s="4" t="s">
        <v>213</v>
      </c>
      <c r="E66" s="4">
        <f>Schedule!D45</f>
        <v>0</v>
      </c>
      <c r="F66" s="4" t="str">
        <f>Schedule!M45</f>
        <v>Skipped</v>
      </c>
      <c r="G66" s="4" t="s">
        <v>396</v>
      </c>
    </row>
    <row r="67" spans="1:7" ht="49" customHeight="1" x14ac:dyDescent="0.35">
      <c r="A67" s="4" t="s">
        <v>397</v>
      </c>
      <c r="B67" s="4" t="s">
        <v>385</v>
      </c>
      <c r="C67" s="4" t="s">
        <v>138</v>
      </c>
      <c r="D67" s="4" t="s">
        <v>139</v>
      </c>
      <c r="E67" s="4">
        <f>Schedule!D25</f>
        <v>1</v>
      </c>
      <c r="F67" s="4" t="str">
        <f>Schedule!M25</f>
        <v>Planned</v>
      </c>
      <c r="G67" s="4" t="s">
        <v>398</v>
      </c>
    </row>
    <row r="68" spans="1:7" ht="49" customHeight="1" x14ac:dyDescent="0.35">
      <c r="A68" s="4" t="s">
        <v>399</v>
      </c>
      <c r="B68" s="4" t="s">
        <v>385</v>
      </c>
      <c r="C68" s="4" t="s">
        <v>134</v>
      </c>
      <c r="D68" s="4" t="s">
        <v>135</v>
      </c>
      <c r="E68" s="4">
        <f>Schedule!D24</f>
        <v>1</v>
      </c>
      <c r="F68" s="4" t="str">
        <f>Schedule!M24</f>
        <v>Planned</v>
      </c>
      <c r="G68" s="4" t="s">
        <v>400</v>
      </c>
    </row>
    <row r="69" spans="1:7" ht="49" customHeight="1" x14ac:dyDescent="0.35">
      <c r="A69" s="4" t="s">
        <v>401</v>
      </c>
      <c r="B69" s="4" t="s">
        <v>385</v>
      </c>
      <c r="C69" s="4" t="s">
        <v>134</v>
      </c>
      <c r="D69" s="4" t="s">
        <v>135</v>
      </c>
      <c r="E69" s="4">
        <f>Schedule!D24</f>
        <v>1</v>
      </c>
      <c r="F69" s="4" t="str">
        <f>Schedule!M24</f>
        <v>Planned</v>
      </c>
      <c r="G69" s="4" t="s">
        <v>402</v>
      </c>
    </row>
    <row r="70" spans="1:7" ht="49" customHeight="1" x14ac:dyDescent="0.35">
      <c r="A70" s="4" t="s">
        <v>403</v>
      </c>
      <c r="B70" s="4" t="s">
        <v>385</v>
      </c>
      <c r="C70" s="4" t="s">
        <v>219</v>
      </c>
      <c r="D70" s="4" t="s">
        <v>220</v>
      </c>
      <c r="E70" s="4">
        <f>Schedule!D47</f>
        <v>0</v>
      </c>
      <c r="F70" s="4" t="str">
        <f>Schedule!M47</f>
        <v>Skipped</v>
      </c>
      <c r="G70" s="4" t="s">
        <v>404</v>
      </c>
    </row>
    <row r="71" spans="1:7" ht="49" customHeight="1" x14ac:dyDescent="0.35">
      <c r="A71" s="4" t="s">
        <v>405</v>
      </c>
      <c r="B71" s="4" t="s">
        <v>385</v>
      </c>
      <c r="C71" s="4" t="s">
        <v>138</v>
      </c>
      <c r="D71" s="4" t="s">
        <v>139</v>
      </c>
      <c r="E71" s="4">
        <f>Schedule!D25</f>
        <v>1</v>
      </c>
      <c r="F71" s="4" t="str">
        <f>Schedule!M25</f>
        <v>Planned</v>
      </c>
      <c r="G71" s="4" t="s">
        <v>406</v>
      </c>
    </row>
    <row r="72" spans="1:7" ht="49" customHeight="1" x14ac:dyDescent="0.35">
      <c r="A72" s="4" t="s">
        <v>407</v>
      </c>
      <c r="B72" s="4" t="s">
        <v>408</v>
      </c>
      <c r="C72" s="4" t="s">
        <v>142</v>
      </c>
      <c r="D72" s="4" t="s">
        <v>143</v>
      </c>
      <c r="E72" s="4">
        <f>Schedule!D26</f>
        <v>1</v>
      </c>
      <c r="F72" s="4" t="str">
        <f>Schedule!M26</f>
        <v>Planned</v>
      </c>
      <c r="G72" s="4" t="s">
        <v>409</v>
      </c>
    </row>
    <row r="73" spans="1:7" ht="49" customHeight="1" x14ac:dyDescent="0.35">
      <c r="A73" s="4" t="s">
        <v>410</v>
      </c>
      <c r="B73" s="4" t="s">
        <v>408</v>
      </c>
      <c r="C73" s="4" t="s">
        <v>115</v>
      </c>
      <c r="D73" s="4" t="s">
        <v>116</v>
      </c>
      <c r="E73" s="4">
        <f>Schedule!D19</f>
        <v>1</v>
      </c>
      <c r="F73" s="4" t="str">
        <f>Schedule!M19</f>
        <v>Planned</v>
      </c>
      <c r="G73" s="4" t="s">
        <v>411</v>
      </c>
    </row>
    <row r="74" spans="1:7" ht="49" customHeight="1" x14ac:dyDescent="0.35">
      <c r="A74" s="4" t="s">
        <v>412</v>
      </c>
      <c r="B74" s="4" t="s">
        <v>408</v>
      </c>
      <c r="C74" s="4" t="s">
        <v>127</v>
      </c>
      <c r="D74" s="4" t="s">
        <v>128</v>
      </c>
      <c r="E74" s="4">
        <f>Schedule!D22</f>
        <v>1</v>
      </c>
      <c r="F74" s="4" t="str">
        <f>Schedule!M22</f>
        <v>Planned</v>
      </c>
      <c r="G74" s="4" t="s">
        <v>413</v>
      </c>
    </row>
    <row r="75" spans="1:7" ht="49" customHeight="1" x14ac:dyDescent="0.35">
      <c r="A75" s="4" t="s">
        <v>414</v>
      </c>
      <c r="B75" s="4" t="s">
        <v>408</v>
      </c>
      <c r="C75" s="4" t="s">
        <v>142</v>
      </c>
      <c r="D75" s="4" t="s">
        <v>143</v>
      </c>
      <c r="E75" s="4">
        <f>Schedule!D26</f>
        <v>1</v>
      </c>
      <c r="F75" s="4" t="str">
        <f>Schedule!M26</f>
        <v>Planned</v>
      </c>
      <c r="G75" s="4" t="s">
        <v>415</v>
      </c>
    </row>
    <row r="76" spans="1:7" ht="49" customHeight="1" x14ac:dyDescent="0.35">
      <c r="A76" s="4" t="s">
        <v>416</v>
      </c>
      <c r="B76" s="4" t="s">
        <v>408</v>
      </c>
      <c r="C76" s="4" t="s">
        <v>146</v>
      </c>
      <c r="D76" s="4" t="s">
        <v>147</v>
      </c>
      <c r="E76" s="4">
        <f>Schedule!D27</f>
        <v>1</v>
      </c>
      <c r="F76" s="4" t="str">
        <f>Schedule!M27</f>
        <v>Planned</v>
      </c>
      <c r="G76" s="4" t="s">
        <v>417</v>
      </c>
    </row>
    <row r="77" spans="1:7" ht="49" customHeight="1" x14ac:dyDescent="0.35">
      <c r="A77" s="4" t="s">
        <v>418</v>
      </c>
      <c r="B77" s="4" t="s">
        <v>408</v>
      </c>
      <c r="C77" s="4" t="s">
        <v>119</v>
      </c>
      <c r="D77" s="4" t="s">
        <v>120</v>
      </c>
      <c r="E77" s="4">
        <f>Schedule!D20</f>
        <v>1</v>
      </c>
      <c r="F77" s="4" t="str">
        <f>Schedule!M20</f>
        <v>Planned</v>
      </c>
      <c r="G77" s="4" t="s">
        <v>419</v>
      </c>
    </row>
    <row r="78" spans="1:7" ht="49" customHeight="1" x14ac:dyDescent="0.35">
      <c r="A78" s="4" t="s">
        <v>420</v>
      </c>
      <c r="B78" s="4" t="s">
        <v>408</v>
      </c>
      <c r="C78" s="4" t="s">
        <v>119</v>
      </c>
      <c r="D78" s="4" t="s">
        <v>120</v>
      </c>
      <c r="E78" s="4">
        <f>Schedule!D20</f>
        <v>1</v>
      </c>
      <c r="F78" s="4" t="str">
        <f>Schedule!M20</f>
        <v>Planned</v>
      </c>
      <c r="G78" s="4" t="s">
        <v>421</v>
      </c>
    </row>
    <row r="79" spans="1:7" ht="49" customHeight="1" x14ac:dyDescent="0.35">
      <c r="A79" s="4" t="s">
        <v>422</v>
      </c>
      <c r="B79" s="4" t="s">
        <v>408</v>
      </c>
      <c r="C79" s="4" t="s">
        <v>119</v>
      </c>
      <c r="D79" s="4" t="s">
        <v>120</v>
      </c>
      <c r="E79" s="4">
        <f>Schedule!D20</f>
        <v>1</v>
      </c>
      <c r="F79" s="4" t="str">
        <f>Schedule!M20</f>
        <v>Planned</v>
      </c>
      <c r="G79" s="4" t="s">
        <v>423</v>
      </c>
    </row>
    <row r="80" spans="1:7" ht="49" customHeight="1" x14ac:dyDescent="0.35">
      <c r="A80" s="4" t="s">
        <v>424</v>
      </c>
      <c r="B80" s="4" t="s">
        <v>408</v>
      </c>
      <c r="C80" s="4" t="s">
        <v>119</v>
      </c>
      <c r="D80" s="4" t="s">
        <v>120</v>
      </c>
      <c r="E80" s="4">
        <f>Schedule!D20</f>
        <v>1</v>
      </c>
      <c r="F80" s="4" t="str">
        <f>Schedule!M20</f>
        <v>Planned</v>
      </c>
      <c r="G80" s="4" t="s">
        <v>425</v>
      </c>
    </row>
    <row r="81" spans="1:7" ht="49" customHeight="1" x14ac:dyDescent="0.35">
      <c r="A81" s="4" t="s">
        <v>426</v>
      </c>
      <c r="B81" s="4" t="s">
        <v>408</v>
      </c>
      <c r="C81" s="4" t="s">
        <v>181</v>
      </c>
      <c r="D81" s="4" t="s">
        <v>182</v>
      </c>
      <c r="E81" s="4">
        <f>Schedule!D36</f>
        <v>1</v>
      </c>
      <c r="F81" s="4" t="str">
        <f>Schedule!M36</f>
        <v>Planned</v>
      </c>
      <c r="G81" s="4" t="s">
        <v>427</v>
      </c>
    </row>
    <row r="82" spans="1:7" ht="49" customHeight="1" x14ac:dyDescent="0.35">
      <c r="A82" s="4" t="s">
        <v>428</v>
      </c>
      <c r="B82" s="4" t="s">
        <v>408</v>
      </c>
      <c r="C82" s="4" t="s">
        <v>181</v>
      </c>
      <c r="D82" s="4" t="s">
        <v>182</v>
      </c>
      <c r="E82" s="4">
        <f>Schedule!D36</f>
        <v>1</v>
      </c>
      <c r="F82" s="4" t="str">
        <f>Schedule!M36</f>
        <v>Planned</v>
      </c>
      <c r="G82" s="4" t="s">
        <v>429</v>
      </c>
    </row>
    <row r="83" spans="1:7" ht="49" customHeight="1" x14ac:dyDescent="0.35">
      <c r="A83" s="4" t="s">
        <v>430</v>
      </c>
      <c r="B83" s="4" t="s">
        <v>431</v>
      </c>
      <c r="C83" s="4" t="s">
        <v>173</v>
      </c>
      <c r="D83" s="4" t="s">
        <v>174</v>
      </c>
      <c r="E83" s="4">
        <f>Schedule!D34</f>
        <v>1</v>
      </c>
      <c r="F83" s="4" t="str">
        <f>Schedule!M34</f>
        <v>Planned</v>
      </c>
      <c r="G83" s="4" t="s">
        <v>432</v>
      </c>
    </row>
    <row r="84" spans="1:7" ht="49" customHeight="1" x14ac:dyDescent="0.35">
      <c r="A84" s="4" t="s">
        <v>433</v>
      </c>
      <c r="B84" s="4" t="s">
        <v>431</v>
      </c>
      <c r="C84" s="4" t="s">
        <v>178</v>
      </c>
      <c r="D84" s="4" t="s">
        <v>179</v>
      </c>
      <c r="E84" s="4">
        <f>Schedule!D35</f>
        <v>1</v>
      </c>
      <c r="F84" s="4" t="str">
        <f>Schedule!M35</f>
        <v>Planned</v>
      </c>
      <c r="G84" s="4" t="s">
        <v>434</v>
      </c>
    </row>
    <row r="85" spans="1:7" ht="49" customHeight="1" x14ac:dyDescent="0.35">
      <c r="A85" s="4" t="s">
        <v>435</v>
      </c>
      <c r="B85" s="4" t="s">
        <v>431</v>
      </c>
      <c r="C85" s="4" t="s">
        <v>178</v>
      </c>
      <c r="D85" s="4" t="s">
        <v>179</v>
      </c>
      <c r="E85" s="4">
        <f>Schedule!D35</f>
        <v>1</v>
      </c>
      <c r="F85" s="4" t="str">
        <f>Schedule!M35</f>
        <v>Planned</v>
      </c>
      <c r="G85" s="4" t="s">
        <v>436</v>
      </c>
    </row>
    <row r="86" spans="1:7" ht="49" customHeight="1" x14ac:dyDescent="0.35">
      <c r="A86" s="4" t="s">
        <v>437</v>
      </c>
      <c r="B86" s="4" t="s">
        <v>431</v>
      </c>
      <c r="C86" s="4" t="s">
        <v>178</v>
      </c>
      <c r="D86" s="4" t="s">
        <v>179</v>
      </c>
      <c r="E86" s="4">
        <f>Schedule!D35</f>
        <v>1</v>
      </c>
      <c r="F86" s="4" t="str">
        <f>Schedule!M35</f>
        <v>Planned</v>
      </c>
      <c r="G86" s="4" t="s">
        <v>438</v>
      </c>
    </row>
    <row r="87" spans="1:7" ht="49" customHeight="1" x14ac:dyDescent="0.35">
      <c r="A87" s="4" t="s">
        <v>439</v>
      </c>
      <c r="B87" s="4" t="s">
        <v>431</v>
      </c>
      <c r="C87" s="4" t="s">
        <v>202</v>
      </c>
      <c r="D87" s="4" t="s">
        <v>203</v>
      </c>
      <c r="E87" s="4">
        <f>Schedule!D42</f>
        <v>1</v>
      </c>
      <c r="F87" s="4" t="str">
        <f>Schedule!M42</f>
        <v>Planned</v>
      </c>
      <c r="G87" s="4" t="s">
        <v>440</v>
      </c>
    </row>
    <row r="88" spans="1:7" ht="49" customHeight="1" x14ac:dyDescent="0.35">
      <c r="A88" s="4" t="s">
        <v>441</v>
      </c>
      <c r="B88" s="4" t="s">
        <v>431</v>
      </c>
      <c r="C88" s="4" t="s">
        <v>202</v>
      </c>
      <c r="D88" s="4" t="s">
        <v>203</v>
      </c>
      <c r="E88" s="4">
        <f>Schedule!D42</f>
        <v>1</v>
      </c>
      <c r="F88" s="4" t="str">
        <f>Schedule!M42</f>
        <v>Planned</v>
      </c>
      <c r="G88" s="4" t="s">
        <v>442</v>
      </c>
    </row>
    <row r="89" spans="1:7" ht="49" customHeight="1" x14ac:dyDescent="0.35">
      <c r="A89" s="4" t="s">
        <v>443</v>
      </c>
      <c r="B89" s="4" t="s">
        <v>431</v>
      </c>
      <c r="C89" s="4" t="s">
        <v>205</v>
      </c>
      <c r="D89" s="4" t="s">
        <v>206</v>
      </c>
      <c r="E89" s="4">
        <f>Schedule!D43</f>
        <v>1</v>
      </c>
      <c r="F89" s="4" t="str">
        <f>Schedule!M43</f>
        <v>Planned</v>
      </c>
      <c r="G89" s="4" t="s">
        <v>444</v>
      </c>
    </row>
    <row r="90" spans="1:7" ht="49" customHeight="1" x14ac:dyDescent="0.35">
      <c r="A90" s="4" t="s">
        <v>445</v>
      </c>
      <c r="B90" s="4" t="s">
        <v>446</v>
      </c>
      <c r="C90" s="4" t="s">
        <v>173</v>
      </c>
      <c r="D90" s="4" t="s">
        <v>174</v>
      </c>
      <c r="E90" s="4">
        <f>Schedule!D34</f>
        <v>1</v>
      </c>
      <c r="F90" s="4" t="str">
        <f>Schedule!M34</f>
        <v>Planned</v>
      </c>
      <c r="G90" s="4" t="s">
        <v>447</v>
      </c>
    </row>
    <row r="91" spans="1:7" ht="49" customHeight="1" x14ac:dyDescent="0.35">
      <c r="A91" s="4" t="s">
        <v>448</v>
      </c>
      <c r="B91" s="4" t="s">
        <v>446</v>
      </c>
      <c r="C91" s="4" t="s">
        <v>173</v>
      </c>
      <c r="D91" s="4" t="s">
        <v>174</v>
      </c>
      <c r="E91" s="4">
        <f>Schedule!D34</f>
        <v>1</v>
      </c>
      <c r="F91" s="4" t="str">
        <f>Schedule!M34</f>
        <v>Planned</v>
      </c>
      <c r="G91" s="4" t="s">
        <v>449</v>
      </c>
    </row>
    <row r="92" spans="1:7" ht="49" customHeight="1" x14ac:dyDescent="0.35">
      <c r="A92" s="4" t="s">
        <v>450</v>
      </c>
      <c r="B92" s="4" t="s">
        <v>446</v>
      </c>
      <c r="C92" s="4" t="s">
        <v>205</v>
      </c>
      <c r="D92" s="4" t="s">
        <v>206</v>
      </c>
      <c r="E92" s="4">
        <f>Schedule!D43</f>
        <v>1</v>
      </c>
      <c r="F92" s="4" t="str">
        <f>Schedule!M43</f>
        <v>Planned</v>
      </c>
      <c r="G92" s="4" t="s">
        <v>451</v>
      </c>
    </row>
    <row r="93" spans="1:7" ht="49" customHeight="1" x14ac:dyDescent="0.35">
      <c r="A93" s="4" t="s">
        <v>452</v>
      </c>
      <c r="B93" s="4" t="s">
        <v>446</v>
      </c>
      <c r="C93" s="4" t="s">
        <v>178</v>
      </c>
      <c r="D93" s="4" t="s">
        <v>179</v>
      </c>
      <c r="E93" s="4">
        <f>Schedule!D35</f>
        <v>1</v>
      </c>
      <c r="F93" s="4" t="str">
        <f>Schedule!M35</f>
        <v>Planned</v>
      </c>
      <c r="G93" s="4" t="s">
        <v>453</v>
      </c>
    </row>
    <row r="94" spans="1:7" ht="49" customHeight="1" x14ac:dyDescent="0.35">
      <c r="A94" s="4" t="s">
        <v>454</v>
      </c>
      <c r="B94" s="4" t="s">
        <v>446</v>
      </c>
      <c r="C94" s="4" t="s">
        <v>205</v>
      </c>
      <c r="D94" s="4" t="s">
        <v>206</v>
      </c>
      <c r="E94" s="4">
        <f>Schedule!D43</f>
        <v>1</v>
      </c>
      <c r="F94" s="4" t="str">
        <f>Schedule!M43</f>
        <v>Planned</v>
      </c>
      <c r="G94" s="4" t="s">
        <v>455</v>
      </c>
    </row>
    <row r="95" spans="1:7" ht="49" customHeight="1" x14ac:dyDescent="0.35">
      <c r="A95" s="4" t="s">
        <v>456</v>
      </c>
      <c r="B95" s="4" t="s">
        <v>446</v>
      </c>
      <c r="C95" s="4" t="s">
        <v>205</v>
      </c>
      <c r="D95" s="4" t="s">
        <v>206</v>
      </c>
      <c r="E95" s="4">
        <f>Schedule!D43</f>
        <v>1</v>
      </c>
      <c r="F95" s="4" t="str">
        <f>Schedule!M43</f>
        <v>Planned</v>
      </c>
      <c r="G95" s="4" t="s">
        <v>457</v>
      </c>
    </row>
  </sheetData>
  <sheetProtection sheet="1" objects="1" scenarios="1" formatColumns="0" formatRows="0" autoFilter="0"/>
  <autoFilter ref="A1:G95" xr:uid="{B1CA630F-4AFF-4022-B48E-EC3B2772B957}"/>
  <mergeCells count="1">
    <mergeCell ref="I1:I2"/>
  </mergeCells>
  <conditionalFormatting sqref="A2:G95">
    <cfRule type="expression" dxfId="2" priority="1" stopIfTrue="1">
      <formula>MOD(ROW(),2)=0</formula>
    </cfRule>
  </conditionalFormatting>
  <hyperlinks>
    <hyperlink ref="I1:I2" location="'Overview'!A1" tooltip="Return to the executive overview." display="Overview" xr:uid="{05F970B0-C98E-4B51-A818-CA2176CAA251}"/>
  </hyperlinks>
  <pageMargins left="0.3" right="0.3" top="0.4" bottom="0.4" header="0.3" footer="0.3"/>
  <pageSetup paperSize="9" scale="63" fitToHeight="0" orientation="landscape" r:id="rId1"/>
  <headerFooter>
    <oddFooter>&amp;LFDE Study Planner | &amp;A&amp;R&amp;P /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076C9-C7A2-4789-8A2B-2799F5A5657D}">
  <sheetPr>
    <tabColor rgb="FFC28A28"/>
    <pageSetUpPr fitToPage="1"/>
  </sheetPr>
  <dimension ref="A1:D101"/>
  <sheetViews>
    <sheetView showGridLines="0" zoomScale="95" zoomScaleNormal="95" workbookViewId="0">
      <pane ySplit="1" topLeftCell="A2" activePane="bottomLeft" state="frozenSplit"/>
      <selection pane="bottomLeft"/>
    </sheetView>
  </sheetViews>
  <sheetFormatPr defaultRowHeight="14.5" x14ac:dyDescent="0.35"/>
  <cols>
    <col min="1" max="1" width="25.6328125" customWidth="1"/>
    <col min="2" max="2" width="65.6328125" customWidth="1"/>
    <col min="4" max="4" width="18.6328125" customWidth="1"/>
  </cols>
  <sheetData>
    <row r="1" spans="1:4" ht="40" customHeight="1" x14ac:dyDescent="0.35">
      <c r="A1" s="5" t="s">
        <v>31</v>
      </c>
      <c r="B1" s="5" t="s">
        <v>32</v>
      </c>
      <c r="D1" s="44" t="s">
        <v>533</v>
      </c>
    </row>
    <row r="2" spans="1:4" x14ac:dyDescent="0.35">
      <c r="A2" s="9"/>
      <c r="B2" s="10"/>
      <c r="D2" s="45"/>
    </row>
    <row r="3" spans="1:4" x14ac:dyDescent="0.35">
      <c r="A3" s="9"/>
      <c r="B3" s="10"/>
    </row>
    <row r="4" spans="1:4" x14ac:dyDescent="0.35">
      <c r="A4" s="9"/>
      <c r="B4" s="10"/>
    </row>
    <row r="5" spans="1:4" x14ac:dyDescent="0.35">
      <c r="A5" s="9"/>
      <c r="B5" s="10"/>
    </row>
    <row r="6" spans="1:4" x14ac:dyDescent="0.35">
      <c r="A6" s="9"/>
      <c r="B6" s="10"/>
    </row>
    <row r="7" spans="1:4" x14ac:dyDescent="0.35">
      <c r="A7" s="9"/>
      <c r="B7" s="10"/>
    </row>
    <row r="8" spans="1:4" x14ac:dyDescent="0.35">
      <c r="A8" s="9"/>
      <c r="B8" s="10"/>
    </row>
    <row r="9" spans="1:4" x14ac:dyDescent="0.35">
      <c r="A9" s="9"/>
      <c r="B9" s="10"/>
    </row>
    <row r="10" spans="1:4" x14ac:dyDescent="0.35">
      <c r="A10" s="9"/>
      <c r="B10" s="10"/>
    </row>
    <row r="11" spans="1:4" x14ac:dyDescent="0.35">
      <c r="A11" s="9"/>
      <c r="B11" s="10"/>
    </row>
    <row r="12" spans="1:4" x14ac:dyDescent="0.35">
      <c r="A12" s="9"/>
      <c r="B12" s="10"/>
    </row>
    <row r="13" spans="1:4" x14ac:dyDescent="0.35">
      <c r="A13" s="9"/>
      <c r="B13" s="10"/>
    </row>
    <row r="14" spans="1:4" x14ac:dyDescent="0.35">
      <c r="A14" s="9"/>
      <c r="B14" s="10"/>
    </row>
    <row r="15" spans="1:4" x14ac:dyDescent="0.35">
      <c r="A15" s="9"/>
      <c r="B15" s="10"/>
    </row>
    <row r="16" spans="1:4" x14ac:dyDescent="0.35">
      <c r="A16" s="9"/>
      <c r="B16" s="10"/>
    </row>
    <row r="17" spans="1:2" x14ac:dyDescent="0.35">
      <c r="A17" s="9"/>
      <c r="B17" s="10"/>
    </row>
    <row r="18" spans="1:2" x14ac:dyDescent="0.35">
      <c r="A18" s="9"/>
      <c r="B18" s="10"/>
    </row>
    <row r="19" spans="1:2" x14ac:dyDescent="0.35">
      <c r="A19" s="9"/>
      <c r="B19" s="10"/>
    </row>
    <row r="20" spans="1:2" x14ac:dyDescent="0.35">
      <c r="A20" s="9"/>
      <c r="B20" s="10"/>
    </row>
    <row r="21" spans="1:2" x14ac:dyDescent="0.35">
      <c r="A21" s="9"/>
      <c r="B21" s="10"/>
    </row>
    <row r="22" spans="1:2" x14ac:dyDescent="0.35">
      <c r="A22" s="9"/>
      <c r="B22" s="10"/>
    </row>
    <row r="23" spans="1:2" x14ac:dyDescent="0.35">
      <c r="A23" s="9"/>
      <c r="B23" s="10"/>
    </row>
    <row r="24" spans="1:2" x14ac:dyDescent="0.35">
      <c r="A24" s="9"/>
      <c r="B24" s="10"/>
    </row>
    <row r="25" spans="1:2" x14ac:dyDescent="0.35">
      <c r="A25" s="9"/>
      <c r="B25" s="10"/>
    </row>
    <row r="26" spans="1:2" x14ac:dyDescent="0.35">
      <c r="A26" s="9"/>
      <c r="B26" s="10"/>
    </row>
    <row r="27" spans="1:2" x14ac:dyDescent="0.35">
      <c r="A27" s="9"/>
      <c r="B27" s="10"/>
    </row>
    <row r="28" spans="1:2" x14ac:dyDescent="0.35">
      <c r="A28" s="9"/>
      <c r="B28" s="10"/>
    </row>
    <row r="29" spans="1:2" x14ac:dyDescent="0.35">
      <c r="A29" s="9"/>
      <c r="B29" s="10"/>
    </row>
    <row r="30" spans="1:2" x14ac:dyDescent="0.35">
      <c r="A30" s="9"/>
      <c r="B30" s="10"/>
    </row>
    <row r="31" spans="1:2" x14ac:dyDescent="0.35">
      <c r="A31" s="9"/>
      <c r="B31" s="10"/>
    </row>
    <row r="32" spans="1:2" x14ac:dyDescent="0.35">
      <c r="A32" s="9"/>
      <c r="B32" s="10"/>
    </row>
    <row r="33" spans="1:2" x14ac:dyDescent="0.35">
      <c r="A33" s="9"/>
      <c r="B33" s="10"/>
    </row>
    <row r="34" spans="1:2" x14ac:dyDescent="0.35">
      <c r="A34" s="9"/>
      <c r="B34" s="10"/>
    </row>
    <row r="35" spans="1:2" x14ac:dyDescent="0.35">
      <c r="A35" s="9"/>
      <c r="B35" s="10"/>
    </row>
    <row r="36" spans="1:2" x14ac:dyDescent="0.35">
      <c r="A36" s="9"/>
      <c r="B36" s="10"/>
    </row>
    <row r="37" spans="1:2" x14ac:dyDescent="0.35">
      <c r="A37" s="9"/>
      <c r="B37" s="10"/>
    </row>
    <row r="38" spans="1:2" x14ac:dyDescent="0.35">
      <c r="A38" s="9"/>
      <c r="B38" s="10"/>
    </row>
    <row r="39" spans="1:2" x14ac:dyDescent="0.35">
      <c r="A39" s="9"/>
      <c r="B39" s="10"/>
    </row>
    <row r="40" spans="1:2" x14ac:dyDescent="0.35">
      <c r="A40" s="9"/>
      <c r="B40" s="10"/>
    </row>
    <row r="41" spans="1:2" x14ac:dyDescent="0.35">
      <c r="A41" s="9"/>
      <c r="B41" s="10"/>
    </row>
    <row r="42" spans="1:2" x14ac:dyDescent="0.35">
      <c r="A42" s="9"/>
      <c r="B42" s="10"/>
    </row>
    <row r="43" spans="1:2" x14ac:dyDescent="0.35">
      <c r="A43" s="9"/>
      <c r="B43" s="10"/>
    </row>
    <row r="44" spans="1:2" x14ac:dyDescent="0.35">
      <c r="A44" s="9"/>
      <c r="B44" s="10"/>
    </row>
    <row r="45" spans="1:2" x14ac:dyDescent="0.35">
      <c r="A45" s="9"/>
      <c r="B45" s="10"/>
    </row>
    <row r="46" spans="1:2" x14ac:dyDescent="0.35">
      <c r="A46" s="9"/>
      <c r="B46" s="10"/>
    </row>
    <row r="47" spans="1:2" x14ac:dyDescent="0.35">
      <c r="A47" s="9"/>
      <c r="B47" s="10"/>
    </row>
    <row r="48" spans="1:2" x14ac:dyDescent="0.35">
      <c r="A48" s="9"/>
      <c r="B48" s="10"/>
    </row>
    <row r="49" spans="1:2" x14ac:dyDescent="0.35">
      <c r="A49" s="9"/>
      <c r="B49" s="10"/>
    </row>
    <row r="50" spans="1:2" x14ac:dyDescent="0.35">
      <c r="A50" s="9"/>
      <c r="B50" s="10"/>
    </row>
    <row r="51" spans="1:2" x14ac:dyDescent="0.35">
      <c r="A51" s="9"/>
      <c r="B51" s="10"/>
    </row>
    <row r="52" spans="1:2" x14ac:dyDescent="0.35">
      <c r="A52" s="9"/>
      <c r="B52" s="10"/>
    </row>
    <row r="53" spans="1:2" x14ac:dyDescent="0.35">
      <c r="A53" s="9"/>
      <c r="B53" s="10"/>
    </row>
    <row r="54" spans="1:2" x14ac:dyDescent="0.35">
      <c r="A54" s="9"/>
      <c r="B54" s="10"/>
    </row>
    <row r="55" spans="1:2" x14ac:dyDescent="0.35">
      <c r="A55" s="9"/>
      <c r="B55" s="10"/>
    </row>
    <row r="56" spans="1:2" x14ac:dyDescent="0.35">
      <c r="A56" s="9"/>
      <c r="B56" s="10"/>
    </row>
    <row r="57" spans="1:2" x14ac:dyDescent="0.35">
      <c r="A57" s="9"/>
      <c r="B57" s="10"/>
    </row>
    <row r="58" spans="1:2" x14ac:dyDescent="0.35">
      <c r="A58" s="9"/>
      <c r="B58" s="10"/>
    </row>
    <row r="59" spans="1:2" x14ac:dyDescent="0.35">
      <c r="A59" s="9"/>
      <c r="B59" s="10"/>
    </row>
    <row r="60" spans="1:2" x14ac:dyDescent="0.35">
      <c r="A60" s="9"/>
      <c r="B60" s="10"/>
    </row>
    <row r="61" spans="1:2" x14ac:dyDescent="0.35">
      <c r="A61" s="9"/>
      <c r="B61" s="10"/>
    </row>
    <row r="62" spans="1:2" x14ac:dyDescent="0.35">
      <c r="A62" s="9"/>
      <c r="B62" s="10"/>
    </row>
    <row r="63" spans="1:2" x14ac:dyDescent="0.35">
      <c r="A63" s="9"/>
      <c r="B63" s="10"/>
    </row>
    <row r="64" spans="1:2" x14ac:dyDescent="0.35">
      <c r="A64" s="9"/>
      <c r="B64" s="10"/>
    </row>
    <row r="65" spans="1:2" x14ac:dyDescent="0.35">
      <c r="A65" s="9"/>
      <c r="B65" s="10"/>
    </row>
    <row r="66" spans="1:2" x14ac:dyDescent="0.35">
      <c r="A66" s="9"/>
      <c r="B66" s="10"/>
    </row>
    <row r="67" spans="1:2" x14ac:dyDescent="0.35">
      <c r="A67" s="9"/>
      <c r="B67" s="10"/>
    </row>
    <row r="68" spans="1:2" x14ac:dyDescent="0.35">
      <c r="A68" s="9"/>
      <c r="B68" s="10"/>
    </row>
    <row r="69" spans="1:2" x14ac:dyDescent="0.35">
      <c r="A69" s="9"/>
      <c r="B69" s="10"/>
    </row>
    <row r="70" spans="1:2" x14ac:dyDescent="0.35">
      <c r="A70" s="9"/>
      <c r="B70" s="10"/>
    </row>
    <row r="71" spans="1:2" x14ac:dyDescent="0.35">
      <c r="A71" s="9"/>
      <c r="B71" s="10"/>
    </row>
    <row r="72" spans="1:2" x14ac:dyDescent="0.35">
      <c r="A72" s="9"/>
      <c r="B72" s="10"/>
    </row>
    <row r="73" spans="1:2" x14ac:dyDescent="0.35">
      <c r="A73" s="9"/>
      <c r="B73" s="10"/>
    </row>
    <row r="74" spans="1:2" x14ac:dyDescent="0.35">
      <c r="A74" s="9"/>
      <c r="B74" s="10"/>
    </row>
    <row r="75" spans="1:2" x14ac:dyDescent="0.35">
      <c r="A75" s="9"/>
      <c r="B75" s="10"/>
    </row>
    <row r="76" spans="1:2" x14ac:dyDescent="0.35">
      <c r="A76" s="9"/>
      <c r="B76" s="10"/>
    </row>
    <row r="77" spans="1:2" x14ac:dyDescent="0.35">
      <c r="A77" s="9"/>
      <c r="B77" s="10"/>
    </row>
    <row r="78" spans="1:2" x14ac:dyDescent="0.35">
      <c r="A78" s="9"/>
      <c r="B78" s="10"/>
    </row>
    <row r="79" spans="1:2" x14ac:dyDescent="0.35">
      <c r="A79" s="9"/>
      <c r="B79" s="10"/>
    </row>
    <row r="80" spans="1:2" x14ac:dyDescent="0.35">
      <c r="A80" s="9"/>
      <c r="B80" s="10"/>
    </row>
    <row r="81" spans="1:2" x14ac:dyDescent="0.35">
      <c r="A81" s="9"/>
      <c r="B81" s="10"/>
    </row>
    <row r="82" spans="1:2" x14ac:dyDescent="0.35">
      <c r="A82" s="9"/>
      <c r="B82" s="10"/>
    </row>
    <row r="83" spans="1:2" x14ac:dyDescent="0.35">
      <c r="A83" s="9"/>
      <c r="B83" s="10"/>
    </row>
    <row r="84" spans="1:2" x14ac:dyDescent="0.35">
      <c r="A84" s="9"/>
      <c r="B84" s="10"/>
    </row>
    <row r="85" spans="1:2" x14ac:dyDescent="0.35">
      <c r="A85" s="9"/>
      <c r="B85" s="10"/>
    </row>
    <row r="86" spans="1:2" x14ac:dyDescent="0.35">
      <c r="A86" s="9"/>
      <c r="B86" s="10"/>
    </row>
    <row r="87" spans="1:2" x14ac:dyDescent="0.35">
      <c r="A87" s="9"/>
      <c r="B87" s="10"/>
    </row>
    <row r="88" spans="1:2" x14ac:dyDescent="0.35">
      <c r="A88" s="9"/>
      <c r="B88" s="10"/>
    </row>
    <row r="89" spans="1:2" x14ac:dyDescent="0.35">
      <c r="A89" s="9"/>
      <c r="B89" s="10"/>
    </row>
    <row r="90" spans="1:2" x14ac:dyDescent="0.35">
      <c r="A90" s="9"/>
      <c r="B90" s="10"/>
    </row>
    <row r="91" spans="1:2" x14ac:dyDescent="0.35">
      <c r="A91" s="9"/>
      <c r="B91" s="10"/>
    </row>
    <row r="92" spans="1:2" x14ac:dyDescent="0.35">
      <c r="A92" s="9"/>
      <c r="B92" s="10"/>
    </row>
    <row r="93" spans="1:2" x14ac:dyDescent="0.35">
      <c r="A93" s="9"/>
      <c r="B93" s="10"/>
    </row>
    <row r="94" spans="1:2" x14ac:dyDescent="0.35">
      <c r="A94" s="9"/>
      <c r="B94" s="10"/>
    </row>
    <row r="95" spans="1:2" x14ac:dyDescent="0.35">
      <c r="A95" s="9"/>
      <c r="B95" s="10"/>
    </row>
    <row r="96" spans="1:2" x14ac:dyDescent="0.35">
      <c r="A96" s="9"/>
      <c r="B96" s="10"/>
    </row>
    <row r="97" spans="1:2" x14ac:dyDescent="0.35">
      <c r="A97" s="9"/>
      <c r="B97" s="10"/>
    </row>
    <row r="98" spans="1:2" x14ac:dyDescent="0.35">
      <c r="A98" s="9"/>
      <c r="B98" s="10"/>
    </row>
    <row r="99" spans="1:2" x14ac:dyDescent="0.35">
      <c r="A99" s="9"/>
      <c r="B99" s="10"/>
    </row>
    <row r="100" spans="1:2" x14ac:dyDescent="0.35">
      <c r="A100" s="9"/>
      <c r="B100" s="10"/>
    </row>
    <row r="101" spans="1:2" x14ac:dyDescent="0.35">
      <c r="A101" s="25"/>
      <c r="B101" s="26"/>
    </row>
  </sheetData>
  <sheetProtection sheet="1" objects="1" scenarios="1" formatColumns="0" formatRows="0" autoFilter="0"/>
  <mergeCells count="1">
    <mergeCell ref="D1:D2"/>
  </mergeCells>
  <hyperlinks>
    <hyperlink ref="D1:D2" location="'Overview'!A1" tooltip="Return to the executive overview." display="Overview" xr:uid="{25AA2EA4-883D-4060-A3B8-FC5D35C350D0}"/>
  </hyperlinks>
  <pageMargins left="0.3" right="0.3" top="0.4" bottom="0.4" header="0.3" footer="0.3"/>
  <pageSetup paperSize="9" fitToHeight="0" orientation="landscape" r:id="rId1"/>
  <headerFooter>
    <oddFooter>&amp;LFDE Study Planner | &amp;A&amp;R&amp;P /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28EC-7F5C-43A1-9C46-6E39F29396BD}">
  <sheetPr>
    <tabColor rgb="FFC28A28"/>
    <pageSetUpPr fitToPage="1"/>
  </sheetPr>
  <dimension ref="A1:K201"/>
  <sheetViews>
    <sheetView showGridLines="0" zoomScale="95" zoomScaleNormal="95" workbookViewId="0">
      <pane ySplit="1" topLeftCell="A2" activePane="bottomLeft" state="frozenSplit"/>
      <selection pane="bottomLeft"/>
    </sheetView>
  </sheetViews>
  <sheetFormatPr defaultRowHeight="14.5" x14ac:dyDescent="0.35"/>
  <cols>
    <col min="1" max="3" width="22.6328125" customWidth="1"/>
    <col min="4" max="4" width="45.6328125" customWidth="1"/>
    <col min="5" max="8" width="22.6328125" customWidth="1"/>
    <col min="9" max="9" width="75.6328125" customWidth="1"/>
    <col min="11" max="11" width="18.6328125" customWidth="1"/>
  </cols>
  <sheetData>
    <row r="1" spans="1:11" ht="40" customHeight="1" x14ac:dyDescent="0.35">
      <c r="A1" s="5" t="s">
        <v>458</v>
      </c>
      <c r="B1" s="5" t="s">
        <v>459</v>
      </c>
      <c r="C1" s="5" t="s">
        <v>460</v>
      </c>
      <c r="D1" s="5" t="s">
        <v>461</v>
      </c>
      <c r="E1" s="5" t="s">
        <v>462</v>
      </c>
      <c r="F1" s="5" t="s">
        <v>463</v>
      </c>
      <c r="G1" s="5" t="s">
        <v>464</v>
      </c>
      <c r="H1" s="5" t="s">
        <v>465</v>
      </c>
      <c r="I1" s="5" t="s">
        <v>466</v>
      </c>
      <c r="K1" s="44" t="s">
        <v>533</v>
      </c>
    </row>
    <row r="2" spans="1:11" ht="32" customHeight="1" x14ac:dyDescent="0.35">
      <c r="A2" s="9"/>
      <c r="B2" s="10"/>
      <c r="C2" s="10"/>
      <c r="D2" s="10"/>
      <c r="E2" s="10"/>
      <c r="F2" s="10"/>
      <c r="G2" s="10"/>
      <c r="H2" s="3" t="str">
        <f t="shared" ref="H2:H33" si="0">IF(ISNUMBER(A2),A2+7,"")</f>
        <v/>
      </c>
      <c r="I2" s="10"/>
      <c r="K2" s="45"/>
    </row>
    <row r="3" spans="1:11" ht="32" customHeight="1" x14ac:dyDescent="0.35">
      <c r="A3" s="9"/>
      <c r="B3" s="10"/>
      <c r="C3" s="10"/>
      <c r="D3" s="10"/>
      <c r="E3" s="10"/>
      <c r="F3" s="10"/>
      <c r="G3" s="10"/>
      <c r="H3" s="3" t="str">
        <f t="shared" si="0"/>
        <v/>
      </c>
      <c r="I3" s="10"/>
    </row>
    <row r="4" spans="1:11" ht="32" customHeight="1" x14ac:dyDescent="0.35">
      <c r="A4" s="9"/>
      <c r="B4" s="10"/>
      <c r="C4" s="10"/>
      <c r="D4" s="10"/>
      <c r="E4" s="10"/>
      <c r="F4" s="10"/>
      <c r="G4" s="10"/>
      <c r="H4" s="3" t="str">
        <f t="shared" si="0"/>
        <v/>
      </c>
      <c r="I4" s="10"/>
    </row>
    <row r="5" spans="1:11" ht="32" customHeight="1" x14ac:dyDescent="0.35">
      <c r="A5" s="9"/>
      <c r="B5" s="10"/>
      <c r="C5" s="10"/>
      <c r="D5" s="10"/>
      <c r="E5" s="10"/>
      <c r="F5" s="10"/>
      <c r="G5" s="10"/>
      <c r="H5" s="3" t="str">
        <f t="shared" si="0"/>
        <v/>
      </c>
      <c r="I5" s="10"/>
    </row>
    <row r="6" spans="1:11" ht="32" customHeight="1" x14ac:dyDescent="0.35">
      <c r="A6" s="9"/>
      <c r="B6" s="10"/>
      <c r="C6" s="10"/>
      <c r="D6" s="10"/>
      <c r="E6" s="10"/>
      <c r="F6" s="10"/>
      <c r="G6" s="10"/>
      <c r="H6" s="3" t="str">
        <f t="shared" si="0"/>
        <v/>
      </c>
      <c r="I6" s="10"/>
    </row>
    <row r="7" spans="1:11" ht="32" customHeight="1" x14ac:dyDescent="0.35">
      <c r="A7" s="9"/>
      <c r="B7" s="10"/>
      <c r="C7" s="10"/>
      <c r="D7" s="10"/>
      <c r="E7" s="10"/>
      <c r="F7" s="10"/>
      <c r="G7" s="10"/>
      <c r="H7" s="3" t="str">
        <f t="shared" si="0"/>
        <v/>
      </c>
      <c r="I7" s="10"/>
    </row>
    <row r="8" spans="1:11" ht="32" customHeight="1" x14ac:dyDescent="0.35">
      <c r="A8" s="9"/>
      <c r="B8" s="10"/>
      <c r="C8" s="10"/>
      <c r="D8" s="10"/>
      <c r="E8" s="10"/>
      <c r="F8" s="10"/>
      <c r="G8" s="10"/>
      <c r="H8" s="3" t="str">
        <f t="shared" si="0"/>
        <v/>
      </c>
      <c r="I8" s="10"/>
    </row>
    <row r="9" spans="1:11" ht="32" customHeight="1" x14ac:dyDescent="0.35">
      <c r="A9" s="9"/>
      <c r="B9" s="10"/>
      <c r="C9" s="10"/>
      <c r="D9" s="10"/>
      <c r="E9" s="10"/>
      <c r="F9" s="10"/>
      <c r="G9" s="10"/>
      <c r="H9" s="3" t="str">
        <f t="shared" si="0"/>
        <v/>
      </c>
      <c r="I9" s="10"/>
    </row>
    <row r="10" spans="1:11" ht="32" customHeight="1" x14ac:dyDescent="0.35">
      <c r="A10" s="9"/>
      <c r="B10" s="10"/>
      <c r="C10" s="10"/>
      <c r="D10" s="10"/>
      <c r="E10" s="10"/>
      <c r="F10" s="10"/>
      <c r="G10" s="10"/>
      <c r="H10" s="3" t="str">
        <f t="shared" si="0"/>
        <v/>
      </c>
      <c r="I10" s="10"/>
    </row>
    <row r="11" spans="1:11" ht="32" customHeight="1" x14ac:dyDescent="0.35">
      <c r="A11" s="9"/>
      <c r="B11" s="10"/>
      <c r="C11" s="10"/>
      <c r="D11" s="10"/>
      <c r="E11" s="10"/>
      <c r="F11" s="10"/>
      <c r="G11" s="10"/>
      <c r="H11" s="3" t="str">
        <f t="shared" si="0"/>
        <v/>
      </c>
      <c r="I11" s="10"/>
    </row>
    <row r="12" spans="1:11" ht="32" customHeight="1" x14ac:dyDescent="0.35">
      <c r="A12" s="9"/>
      <c r="B12" s="10"/>
      <c r="C12" s="10"/>
      <c r="D12" s="10"/>
      <c r="E12" s="10"/>
      <c r="F12" s="10"/>
      <c r="G12" s="10"/>
      <c r="H12" s="3" t="str">
        <f t="shared" si="0"/>
        <v/>
      </c>
      <c r="I12" s="10"/>
    </row>
    <row r="13" spans="1:11" ht="32" customHeight="1" x14ac:dyDescent="0.35">
      <c r="A13" s="9"/>
      <c r="B13" s="10"/>
      <c r="C13" s="10"/>
      <c r="D13" s="10"/>
      <c r="E13" s="10"/>
      <c r="F13" s="10"/>
      <c r="G13" s="10"/>
      <c r="H13" s="3" t="str">
        <f t="shared" si="0"/>
        <v/>
      </c>
      <c r="I13" s="10"/>
    </row>
    <row r="14" spans="1:11" ht="32" customHeight="1" x14ac:dyDescent="0.35">
      <c r="A14" s="9"/>
      <c r="B14" s="10"/>
      <c r="C14" s="10"/>
      <c r="D14" s="10"/>
      <c r="E14" s="10"/>
      <c r="F14" s="10"/>
      <c r="G14" s="10"/>
      <c r="H14" s="3" t="str">
        <f t="shared" si="0"/>
        <v/>
      </c>
      <c r="I14" s="10"/>
    </row>
    <row r="15" spans="1:11" ht="32" customHeight="1" x14ac:dyDescent="0.35">
      <c r="A15" s="9"/>
      <c r="B15" s="10"/>
      <c r="C15" s="10"/>
      <c r="D15" s="10"/>
      <c r="E15" s="10"/>
      <c r="F15" s="10"/>
      <c r="G15" s="10"/>
      <c r="H15" s="3" t="str">
        <f t="shared" si="0"/>
        <v/>
      </c>
      <c r="I15" s="10"/>
    </row>
    <row r="16" spans="1:11" ht="32" customHeight="1" x14ac:dyDescent="0.35">
      <c r="A16" s="9"/>
      <c r="B16" s="10"/>
      <c r="C16" s="10"/>
      <c r="D16" s="10"/>
      <c r="E16" s="10"/>
      <c r="F16" s="10"/>
      <c r="G16" s="10"/>
      <c r="H16" s="3" t="str">
        <f t="shared" si="0"/>
        <v/>
      </c>
      <c r="I16" s="10"/>
    </row>
    <row r="17" spans="1:9" ht="32" customHeight="1" x14ac:dyDescent="0.35">
      <c r="A17" s="9"/>
      <c r="B17" s="10"/>
      <c r="C17" s="10"/>
      <c r="D17" s="10"/>
      <c r="E17" s="10"/>
      <c r="F17" s="10"/>
      <c r="G17" s="10"/>
      <c r="H17" s="3" t="str">
        <f t="shared" si="0"/>
        <v/>
      </c>
      <c r="I17" s="10"/>
    </row>
    <row r="18" spans="1:9" ht="32" customHeight="1" x14ac:dyDescent="0.35">
      <c r="A18" s="9"/>
      <c r="B18" s="10"/>
      <c r="C18" s="10"/>
      <c r="D18" s="10"/>
      <c r="E18" s="10"/>
      <c r="F18" s="10"/>
      <c r="G18" s="10"/>
      <c r="H18" s="3" t="str">
        <f t="shared" si="0"/>
        <v/>
      </c>
      <c r="I18" s="10"/>
    </row>
    <row r="19" spans="1:9" ht="32" customHeight="1" x14ac:dyDescent="0.35">
      <c r="A19" s="9"/>
      <c r="B19" s="10"/>
      <c r="C19" s="10"/>
      <c r="D19" s="10"/>
      <c r="E19" s="10"/>
      <c r="F19" s="10"/>
      <c r="G19" s="10"/>
      <c r="H19" s="3" t="str">
        <f t="shared" si="0"/>
        <v/>
      </c>
      <c r="I19" s="10"/>
    </row>
    <row r="20" spans="1:9" ht="32" customHeight="1" x14ac:dyDescent="0.35">
      <c r="A20" s="9"/>
      <c r="B20" s="10"/>
      <c r="C20" s="10"/>
      <c r="D20" s="10"/>
      <c r="E20" s="10"/>
      <c r="F20" s="10"/>
      <c r="G20" s="10"/>
      <c r="H20" s="3" t="str">
        <f t="shared" si="0"/>
        <v/>
      </c>
      <c r="I20" s="10"/>
    </row>
    <row r="21" spans="1:9" ht="32" customHeight="1" x14ac:dyDescent="0.35">
      <c r="A21" s="9"/>
      <c r="B21" s="10"/>
      <c r="C21" s="10"/>
      <c r="D21" s="10"/>
      <c r="E21" s="10"/>
      <c r="F21" s="10"/>
      <c r="G21" s="10"/>
      <c r="H21" s="3" t="str">
        <f t="shared" si="0"/>
        <v/>
      </c>
      <c r="I21" s="10"/>
    </row>
    <row r="22" spans="1:9" ht="32" customHeight="1" x14ac:dyDescent="0.35">
      <c r="A22" s="9"/>
      <c r="B22" s="10"/>
      <c r="C22" s="10"/>
      <c r="D22" s="10"/>
      <c r="E22" s="10"/>
      <c r="F22" s="10"/>
      <c r="G22" s="10"/>
      <c r="H22" s="3" t="str">
        <f t="shared" si="0"/>
        <v/>
      </c>
      <c r="I22" s="10"/>
    </row>
    <row r="23" spans="1:9" ht="32" customHeight="1" x14ac:dyDescent="0.35">
      <c r="A23" s="9"/>
      <c r="B23" s="10"/>
      <c r="C23" s="10"/>
      <c r="D23" s="10"/>
      <c r="E23" s="10"/>
      <c r="F23" s="10"/>
      <c r="G23" s="10"/>
      <c r="H23" s="3" t="str">
        <f t="shared" si="0"/>
        <v/>
      </c>
      <c r="I23" s="10"/>
    </row>
    <row r="24" spans="1:9" ht="32" customHeight="1" x14ac:dyDescent="0.35">
      <c r="A24" s="9"/>
      <c r="B24" s="10"/>
      <c r="C24" s="10"/>
      <c r="D24" s="10"/>
      <c r="E24" s="10"/>
      <c r="F24" s="10"/>
      <c r="G24" s="10"/>
      <c r="H24" s="3" t="str">
        <f t="shared" si="0"/>
        <v/>
      </c>
      <c r="I24" s="10"/>
    </row>
    <row r="25" spans="1:9" ht="32" customHeight="1" x14ac:dyDescent="0.35">
      <c r="A25" s="9"/>
      <c r="B25" s="10"/>
      <c r="C25" s="10"/>
      <c r="D25" s="10"/>
      <c r="E25" s="10"/>
      <c r="F25" s="10"/>
      <c r="G25" s="10"/>
      <c r="H25" s="3" t="str">
        <f t="shared" si="0"/>
        <v/>
      </c>
      <c r="I25" s="10"/>
    </row>
    <row r="26" spans="1:9" ht="32" customHeight="1" x14ac:dyDescent="0.35">
      <c r="A26" s="9"/>
      <c r="B26" s="10"/>
      <c r="C26" s="10"/>
      <c r="D26" s="10"/>
      <c r="E26" s="10"/>
      <c r="F26" s="10"/>
      <c r="G26" s="10"/>
      <c r="H26" s="3" t="str">
        <f t="shared" si="0"/>
        <v/>
      </c>
      <c r="I26" s="10"/>
    </row>
    <row r="27" spans="1:9" ht="32" customHeight="1" x14ac:dyDescent="0.35">
      <c r="A27" s="9"/>
      <c r="B27" s="10"/>
      <c r="C27" s="10"/>
      <c r="D27" s="10"/>
      <c r="E27" s="10"/>
      <c r="F27" s="10"/>
      <c r="G27" s="10"/>
      <c r="H27" s="3" t="str">
        <f t="shared" si="0"/>
        <v/>
      </c>
      <c r="I27" s="10"/>
    </row>
    <row r="28" spans="1:9" ht="32" customHeight="1" x14ac:dyDescent="0.35">
      <c r="A28" s="9"/>
      <c r="B28" s="10"/>
      <c r="C28" s="10"/>
      <c r="D28" s="10"/>
      <c r="E28" s="10"/>
      <c r="F28" s="10"/>
      <c r="G28" s="10"/>
      <c r="H28" s="3" t="str">
        <f t="shared" si="0"/>
        <v/>
      </c>
      <c r="I28" s="10"/>
    </row>
    <row r="29" spans="1:9" ht="32" customHeight="1" x14ac:dyDescent="0.35">
      <c r="A29" s="9"/>
      <c r="B29" s="10"/>
      <c r="C29" s="10"/>
      <c r="D29" s="10"/>
      <c r="E29" s="10"/>
      <c r="F29" s="10"/>
      <c r="G29" s="10"/>
      <c r="H29" s="3" t="str">
        <f t="shared" si="0"/>
        <v/>
      </c>
      <c r="I29" s="10"/>
    </row>
    <row r="30" spans="1:9" ht="32" customHeight="1" x14ac:dyDescent="0.35">
      <c r="A30" s="9"/>
      <c r="B30" s="10"/>
      <c r="C30" s="10"/>
      <c r="D30" s="10"/>
      <c r="E30" s="10"/>
      <c r="F30" s="10"/>
      <c r="G30" s="10"/>
      <c r="H30" s="3" t="str">
        <f t="shared" si="0"/>
        <v/>
      </c>
      <c r="I30" s="10"/>
    </row>
    <row r="31" spans="1:9" ht="32" customHeight="1" x14ac:dyDescent="0.35">
      <c r="A31" s="9"/>
      <c r="B31" s="10"/>
      <c r="C31" s="10"/>
      <c r="D31" s="10"/>
      <c r="E31" s="10"/>
      <c r="F31" s="10"/>
      <c r="G31" s="10"/>
      <c r="H31" s="3" t="str">
        <f t="shared" si="0"/>
        <v/>
      </c>
      <c r="I31" s="10"/>
    </row>
    <row r="32" spans="1:9" ht="32" customHeight="1" x14ac:dyDescent="0.35">
      <c r="A32" s="9"/>
      <c r="B32" s="10"/>
      <c r="C32" s="10"/>
      <c r="D32" s="10"/>
      <c r="E32" s="10"/>
      <c r="F32" s="10"/>
      <c r="G32" s="10"/>
      <c r="H32" s="3" t="str">
        <f t="shared" si="0"/>
        <v/>
      </c>
      <c r="I32" s="10"/>
    </row>
    <row r="33" spans="1:9" ht="32" customHeight="1" x14ac:dyDescent="0.35">
      <c r="A33" s="9"/>
      <c r="B33" s="10"/>
      <c r="C33" s="10"/>
      <c r="D33" s="10"/>
      <c r="E33" s="10"/>
      <c r="F33" s="10"/>
      <c r="G33" s="10"/>
      <c r="H33" s="3" t="str">
        <f t="shared" si="0"/>
        <v/>
      </c>
      <c r="I33" s="10"/>
    </row>
    <row r="34" spans="1:9" ht="32" customHeight="1" x14ac:dyDescent="0.35">
      <c r="A34" s="9"/>
      <c r="B34" s="10"/>
      <c r="C34" s="10"/>
      <c r="D34" s="10"/>
      <c r="E34" s="10"/>
      <c r="F34" s="10"/>
      <c r="G34" s="10"/>
      <c r="H34" s="3" t="str">
        <f t="shared" ref="H34:H65" si="1">IF(ISNUMBER(A34),A34+7,"")</f>
        <v/>
      </c>
      <c r="I34" s="10"/>
    </row>
    <row r="35" spans="1:9" ht="32" customHeight="1" x14ac:dyDescent="0.35">
      <c r="A35" s="9"/>
      <c r="B35" s="10"/>
      <c r="C35" s="10"/>
      <c r="D35" s="10"/>
      <c r="E35" s="10"/>
      <c r="F35" s="10"/>
      <c r="G35" s="10"/>
      <c r="H35" s="3" t="str">
        <f t="shared" si="1"/>
        <v/>
      </c>
      <c r="I35" s="10"/>
    </row>
    <row r="36" spans="1:9" ht="32" customHeight="1" x14ac:dyDescent="0.35">
      <c r="A36" s="9"/>
      <c r="B36" s="10"/>
      <c r="C36" s="10"/>
      <c r="D36" s="10"/>
      <c r="E36" s="10"/>
      <c r="F36" s="10"/>
      <c r="G36" s="10"/>
      <c r="H36" s="3" t="str">
        <f t="shared" si="1"/>
        <v/>
      </c>
      <c r="I36" s="10"/>
    </row>
    <row r="37" spans="1:9" ht="32" customHeight="1" x14ac:dyDescent="0.35">
      <c r="A37" s="9"/>
      <c r="B37" s="10"/>
      <c r="C37" s="10"/>
      <c r="D37" s="10"/>
      <c r="E37" s="10"/>
      <c r="F37" s="10"/>
      <c r="G37" s="10"/>
      <c r="H37" s="3" t="str">
        <f t="shared" si="1"/>
        <v/>
      </c>
      <c r="I37" s="10"/>
    </row>
    <row r="38" spans="1:9" ht="32" customHeight="1" x14ac:dyDescent="0.35">
      <c r="A38" s="9"/>
      <c r="B38" s="10"/>
      <c r="C38" s="10"/>
      <c r="D38" s="10"/>
      <c r="E38" s="10"/>
      <c r="F38" s="10"/>
      <c r="G38" s="10"/>
      <c r="H38" s="3" t="str">
        <f t="shared" si="1"/>
        <v/>
      </c>
      <c r="I38" s="10"/>
    </row>
    <row r="39" spans="1:9" ht="32" customHeight="1" x14ac:dyDescent="0.35">
      <c r="A39" s="9"/>
      <c r="B39" s="10"/>
      <c r="C39" s="10"/>
      <c r="D39" s="10"/>
      <c r="E39" s="10"/>
      <c r="F39" s="10"/>
      <c r="G39" s="10"/>
      <c r="H39" s="3" t="str">
        <f t="shared" si="1"/>
        <v/>
      </c>
      <c r="I39" s="10"/>
    </row>
    <row r="40" spans="1:9" ht="32" customHeight="1" x14ac:dyDescent="0.35">
      <c r="A40" s="9"/>
      <c r="B40" s="10"/>
      <c r="C40" s="10"/>
      <c r="D40" s="10"/>
      <c r="E40" s="10"/>
      <c r="F40" s="10"/>
      <c r="G40" s="10"/>
      <c r="H40" s="3" t="str">
        <f t="shared" si="1"/>
        <v/>
      </c>
      <c r="I40" s="10"/>
    </row>
    <row r="41" spans="1:9" ht="32" customHeight="1" x14ac:dyDescent="0.35">
      <c r="A41" s="9"/>
      <c r="B41" s="10"/>
      <c r="C41" s="10"/>
      <c r="D41" s="10"/>
      <c r="E41" s="10"/>
      <c r="F41" s="10"/>
      <c r="G41" s="10"/>
      <c r="H41" s="3" t="str">
        <f t="shared" si="1"/>
        <v/>
      </c>
      <c r="I41" s="10"/>
    </row>
    <row r="42" spans="1:9" ht="32" customHeight="1" x14ac:dyDescent="0.35">
      <c r="A42" s="9"/>
      <c r="B42" s="10"/>
      <c r="C42" s="10"/>
      <c r="D42" s="10"/>
      <c r="E42" s="10"/>
      <c r="F42" s="10"/>
      <c r="G42" s="10"/>
      <c r="H42" s="3" t="str">
        <f t="shared" si="1"/>
        <v/>
      </c>
      <c r="I42" s="10"/>
    </row>
    <row r="43" spans="1:9" ht="32" customHeight="1" x14ac:dyDescent="0.35">
      <c r="A43" s="9"/>
      <c r="B43" s="10"/>
      <c r="C43" s="10"/>
      <c r="D43" s="10"/>
      <c r="E43" s="10"/>
      <c r="F43" s="10"/>
      <c r="G43" s="10"/>
      <c r="H43" s="3" t="str">
        <f t="shared" si="1"/>
        <v/>
      </c>
      <c r="I43" s="10"/>
    </row>
    <row r="44" spans="1:9" ht="32" customHeight="1" x14ac:dyDescent="0.35">
      <c r="A44" s="9"/>
      <c r="B44" s="10"/>
      <c r="C44" s="10"/>
      <c r="D44" s="10"/>
      <c r="E44" s="10"/>
      <c r="F44" s="10"/>
      <c r="G44" s="10"/>
      <c r="H44" s="3" t="str">
        <f t="shared" si="1"/>
        <v/>
      </c>
      <c r="I44" s="10"/>
    </row>
    <row r="45" spans="1:9" ht="32" customHeight="1" x14ac:dyDescent="0.35">
      <c r="A45" s="9"/>
      <c r="B45" s="10"/>
      <c r="C45" s="10"/>
      <c r="D45" s="10"/>
      <c r="E45" s="10"/>
      <c r="F45" s="10"/>
      <c r="G45" s="10"/>
      <c r="H45" s="3" t="str">
        <f t="shared" si="1"/>
        <v/>
      </c>
      <c r="I45" s="10"/>
    </row>
    <row r="46" spans="1:9" ht="32" customHeight="1" x14ac:dyDescent="0.35">
      <c r="A46" s="9"/>
      <c r="B46" s="10"/>
      <c r="C46" s="10"/>
      <c r="D46" s="10"/>
      <c r="E46" s="10"/>
      <c r="F46" s="10"/>
      <c r="G46" s="10"/>
      <c r="H46" s="3" t="str">
        <f t="shared" si="1"/>
        <v/>
      </c>
      <c r="I46" s="10"/>
    </row>
    <row r="47" spans="1:9" ht="32" customHeight="1" x14ac:dyDescent="0.35">
      <c r="A47" s="9"/>
      <c r="B47" s="10"/>
      <c r="C47" s="10"/>
      <c r="D47" s="10"/>
      <c r="E47" s="10"/>
      <c r="F47" s="10"/>
      <c r="G47" s="10"/>
      <c r="H47" s="3" t="str">
        <f t="shared" si="1"/>
        <v/>
      </c>
      <c r="I47" s="10"/>
    </row>
    <row r="48" spans="1:9" ht="32" customHeight="1" x14ac:dyDescent="0.35">
      <c r="A48" s="9"/>
      <c r="B48" s="10"/>
      <c r="C48" s="10"/>
      <c r="D48" s="10"/>
      <c r="E48" s="10"/>
      <c r="F48" s="10"/>
      <c r="G48" s="10"/>
      <c r="H48" s="3" t="str">
        <f t="shared" si="1"/>
        <v/>
      </c>
      <c r="I48" s="10"/>
    </row>
    <row r="49" spans="1:9" ht="32" customHeight="1" x14ac:dyDescent="0.35">
      <c r="A49" s="9"/>
      <c r="B49" s="10"/>
      <c r="C49" s="10"/>
      <c r="D49" s="10"/>
      <c r="E49" s="10"/>
      <c r="F49" s="10"/>
      <c r="G49" s="10"/>
      <c r="H49" s="3" t="str">
        <f t="shared" si="1"/>
        <v/>
      </c>
      <c r="I49" s="10"/>
    </row>
    <row r="50" spans="1:9" ht="32" customHeight="1" x14ac:dyDescent="0.35">
      <c r="A50" s="9"/>
      <c r="B50" s="10"/>
      <c r="C50" s="10"/>
      <c r="D50" s="10"/>
      <c r="E50" s="10"/>
      <c r="F50" s="10"/>
      <c r="G50" s="10"/>
      <c r="H50" s="3" t="str">
        <f t="shared" si="1"/>
        <v/>
      </c>
      <c r="I50" s="10"/>
    </row>
    <row r="51" spans="1:9" ht="32" customHeight="1" x14ac:dyDescent="0.35">
      <c r="A51" s="9"/>
      <c r="B51" s="10"/>
      <c r="C51" s="10"/>
      <c r="D51" s="10"/>
      <c r="E51" s="10"/>
      <c r="F51" s="10"/>
      <c r="G51" s="10"/>
      <c r="H51" s="3" t="str">
        <f t="shared" si="1"/>
        <v/>
      </c>
      <c r="I51" s="10"/>
    </row>
    <row r="52" spans="1:9" ht="32" customHeight="1" x14ac:dyDescent="0.35">
      <c r="A52" s="9"/>
      <c r="B52" s="10"/>
      <c r="C52" s="10"/>
      <c r="D52" s="10"/>
      <c r="E52" s="10"/>
      <c r="F52" s="10"/>
      <c r="G52" s="10"/>
      <c r="H52" s="3" t="str">
        <f t="shared" si="1"/>
        <v/>
      </c>
      <c r="I52" s="10"/>
    </row>
    <row r="53" spans="1:9" ht="32" customHeight="1" x14ac:dyDescent="0.35">
      <c r="A53" s="9"/>
      <c r="B53" s="10"/>
      <c r="C53" s="10"/>
      <c r="D53" s="10"/>
      <c r="E53" s="10"/>
      <c r="F53" s="10"/>
      <c r="G53" s="10"/>
      <c r="H53" s="3" t="str">
        <f t="shared" si="1"/>
        <v/>
      </c>
      <c r="I53" s="10"/>
    </row>
    <row r="54" spans="1:9" ht="32" customHeight="1" x14ac:dyDescent="0.35">
      <c r="A54" s="9"/>
      <c r="B54" s="10"/>
      <c r="C54" s="10"/>
      <c r="D54" s="10"/>
      <c r="E54" s="10"/>
      <c r="F54" s="10"/>
      <c r="G54" s="10"/>
      <c r="H54" s="3" t="str">
        <f t="shared" si="1"/>
        <v/>
      </c>
      <c r="I54" s="10"/>
    </row>
    <row r="55" spans="1:9" ht="32" customHeight="1" x14ac:dyDescent="0.35">
      <c r="A55" s="9"/>
      <c r="B55" s="10"/>
      <c r="C55" s="10"/>
      <c r="D55" s="10"/>
      <c r="E55" s="10"/>
      <c r="F55" s="10"/>
      <c r="G55" s="10"/>
      <c r="H55" s="3" t="str">
        <f t="shared" si="1"/>
        <v/>
      </c>
      <c r="I55" s="10"/>
    </row>
    <row r="56" spans="1:9" ht="32" customHeight="1" x14ac:dyDescent="0.35">
      <c r="A56" s="9"/>
      <c r="B56" s="10"/>
      <c r="C56" s="10"/>
      <c r="D56" s="10"/>
      <c r="E56" s="10"/>
      <c r="F56" s="10"/>
      <c r="G56" s="10"/>
      <c r="H56" s="3" t="str">
        <f t="shared" si="1"/>
        <v/>
      </c>
      <c r="I56" s="10"/>
    </row>
    <row r="57" spans="1:9" ht="32" customHeight="1" x14ac:dyDescent="0.35">
      <c r="A57" s="9"/>
      <c r="B57" s="10"/>
      <c r="C57" s="10"/>
      <c r="D57" s="10"/>
      <c r="E57" s="10"/>
      <c r="F57" s="10"/>
      <c r="G57" s="10"/>
      <c r="H57" s="3" t="str">
        <f t="shared" si="1"/>
        <v/>
      </c>
      <c r="I57" s="10"/>
    </row>
    <row r="58" spans="1:9" ht="32" customHeight="1" x14ac:dyDescent="0.35">
      <c r="A58" s="9"/>
      <c r="B58" s="10"/>
      <c r="C58" s="10"/>
      <c r="D58" s="10"/>
      <c r="E58" s="10"/>
      <c r="F58" s="10"/>
      <c r="G58" s="10"/>
      <c r="H58" s="3" t="str">
        <f t="shared" si="1"/>
        <v/>
      </c>
      <c r="I58" s="10"/>
    </row>
    <row r="59" spans="1:9" ht="32" customHeight="1" x14ac:dyDescent="0.35">
      <c r="A59" s="9"/>
      <c r="B59" s="10"/>
      <c r="C59" s="10"/>
      <c r="D59" s="10"/>
      <c r="E59" s="10"/>
      <c r="F59" s="10"/>
      <c r="G59" s="10"/>
      <c r="H59" s="3" t="str">
        <f t="shared" si="1"/>
        <v/>
      </c>
      <c r="I59" s="10"/>
    </row>
    <row r="60" spans="1:9" ht="32" customHeight="1" x14ac:dyDescent="0.35">
      <c r="A60" s="9"/>
      <c r="B60" s="10"/>
      <c r="C60" s="10"/>
      <c r="D60" s="10"/>
      <c r="E60" s="10"/>
      <c r="F60" s="10"/>
      <c r="G60" s="10"/>
      <c r="H60" s="3" t="str">
        <f t="shared" si="1"/>
        <v/>
      </c>
      <c r="I60" s="10"/>
    </row>
    <row r="61" spans="1:9" ht="32" customHeight="1" x14ac:dyDescent="0.35">
      <c r="A61" s="9"/>
      <c r="B61" s="10"/>
      <c r="C61" s="10"/>
      <c r="D61" s="10"/>
      <c r="E61" s="10"/>
      <c r="F61" s="10"/>
      <c r="G61" s="10"/>
      <c r="H61" s="3" t="str">
        <f t="shared" si="1"/>
        <v/>
      </c>
      <c r="I61" s="10"/>
    </row>
    <row r="62" spans="1:9" ht="32" customHeight="1" x14ac:dyDescent="0.35">
      <c r="A62" s="9"/>
      <c r="B62" s="10"/>
      <c r="C62" s="10"/>
      <c r="D62" s="10"/>
      <c r="E62" s="10"/>
      <c r="F62" s="10"/>
      <c r="G62" s="10"/>
      <c r="H62" s="3" t="str">
        <f t="shared" si="1"/>
        <v/>
      </c>
      <c r="I62" s="10"/>
    </row>
    <row r="63" spans="1:9" ht="32" customHeight="1" x14ac:dyDescent="0.35">
      <c r="A63" s="9"/>
      <c r="B63" s="10"/>
      <c r="C63" s="10"/>
      <c r="D63" s="10"/>
      <c r="E63" s="10"/>
      <c r="F63" s="10"/>
      <c r="G63" s="10"/>
      <c r="H63" s="3" t="str">
        <f t="shared" si="1"/>
        <v/>
      </c>
      <c r="I63" s="10"/>
    </row>
    <row r="64" spans="1:9" ht="32" customHeight="1" x14ac:dyDescent="0.35">
      <c r="A64" s="9"/>
      <c r="B64" s="10"/>
      <c r="C64" s="10"/>
      <c r="D64" s="10"/>
      <c r="E64" s="10"/>
      <c r="F64" s="10"/>
      <c r="G64" s="10"/>
      <c r="H64" s="3" t="str">
        <f t="shared" si="1"/>
        <v/>
      </c>
      <c r="I64" s="10"/>
    </row>
    <row r="65" spans="1:9" ht="32" customHeight="1" x14ac:dyDescent="0.35">
      <c r="A65" s="9"/>
      <c r="B65" s="10"/>
      <c r="C65" s="10"/>
      <c r="D65" s="10"/>
      <c r="E65" s="10"/>
      <c r="F65" s="10"/>
      <c r="G65" s="10"/>
      <c r="H65" s="3" t="str">
        <f t="shared" si="1"/>
        <v/>
      </c>
      <c r="I65" s="10"/>
    </row>
    <row r="66" spans="1:9" ht="32" customHeight="1" x14ac:dyDescent="0.35">
      <c r="A66" s="9"/>
      <c r="B66" s="10"/>
      <c r="C66" s="10"/>
      <c r="D66" s="10"/>
      <c r="E66" s="10"/>
      <c r="F66" s="10"/>
      <c r="G66" s="10"/>
      <c r="H66" s="3" t="str">
        <f t="shared" ref="H66:H97" si="2">IF(ISNUMBER(A66),A66+7,"")</f>
        <v/>
      </c>
      <c r="I66" s="10"/>
    </row>
    <row r="67" spans="1:9" ht="32" customHeight="1" x14ac:dyDescent="0.35">
      <c r="A67" s="9"/>
      <c r="B67" s="10"/>
      <c r="C67" s="10"/>
      <c r="D67" s="10"/>
      <c r="E67" s="10"/>
      <c r="F67" s="10"/>
      <c r="G67" s="10"/>
      <c r="H67" s="3" t="str">
        <f t="shared" si="2"/>
        <v/>
      </c>
      <c r="I67" s="10"/>
    </row>
    <row r="68" spans="1:9" ht="32" customHeight="1" x14ac:dyDescent="0.35">
      <c r="A68" s="9"/>
      <c r="B68" s="10"/>
      <c r="C68" s="10"/>
      <c r="D68" s="10"/>
      <c r="E68" s="10"/>
      <c r="F68" s="10"/>
      <c r="G68" s="10"/>
      <c r="H68" s="3" t="str">
        <f t="shared" si="2"/>
        <v/>
      </c>
      <c r="I68" s="10"/>
    </row>
    <row r="69" spans="1:9" ht="32" customHeight="1" x14ac:dyDescent="0.35">
      <c r="A69" s="9"/>
      <c r="B69" s="10"/>
      <c r="C69" s="10"/>
      <c r="D69" s="10"/>
      <c r="E69" s="10"/>
      <c r="F69" s="10"/>
      <c r="G69" s="10"/>
      <c r="H69" s="3" t="str">
        <f t="shared" si="2"/>
        <v/>
      </c>
      <c r="I69" s="10"/>
    </row>
    <row r="70" spans="1:9" ht="32" customHeight="1" x14ac:dyDescent="0.35">
      <c r="A70" s="9"/>
      <c r="B70" s="10"/>
      <c r="C70" s="10"/>
      <c r="D70" s="10"/>
      <c r="E70" s="10"/>
      <c r="F70" s="10"/>
      <c r="G70" s="10"/>
      <c r="H70" s="3" t="str">
        <f t="shared" si="2"/>
        <v/>
      </c>
      <c r="I70" s="10"/>
    </row>
    <row r="71" spans="1:9" ht="32" customHeight="1" x14ac:dyDescent="0.35">
      <c r="A71" s="9"/>
      <c r="B71" s="10"/>
      <c r="C71" s="10"/>
      <c r="D71" s="10"/>
      <c r="E71" s="10"/>
      <c r="F71" s="10"/>
      <c r="G71" s="10"/>
      <c r="H71" s="3" t="str">
        <f t="shared" si="2"/>
        <v/>
      </c>
      <c r="I71" s="10"/>
    </row>
    <row r="72" spans="1:9" ht="32" customHeight="1" x14ac:dyDescent="0.35">
      <c r="A72" s="9"/>
      <c r="B72" s="10"/>
      <c r="C72" s="10"/>
      <c r="D72" s="10"/>
      <c r="E72" s="10"/>
      <c r="F72" s="10"/>
      <c r="G72" s="10"/>
      <c r="H72" s="3" t="str">
        <f t="shared" si="2"/>
        <v/>
      </c>
      <c r="I72" s="10"/>
    </row>
    <row r="73" spans="1:9" ht="32" customHeight="1" x14ac:dyDescent="0.35">
      <c r="A73" s="9"/>
      <c r="B73" s="10"/>
      <c r="C73" s="10"/>
      <c r="D73" s="10"/>
      <c r="E73" s="10"/>
      <c r="F73" s="10"/>
      <c r="G73" s="10"/>
      <c r="H73" s="3" t="str">
        <f t="shared" si="2"/>
        <v/>
      </c>
      <c r="I73" s="10"/>
    </row>
    <row r="74" spans="1:9" ht="32" customHeight="1" x14ac:dyDescent="0.35">
      <c r="A74" s="9"/>
      <c r="B74" s="10"/>
      <c r="C74" s="10"/>
      <c r="D74" s="10"/>
      <c r="E74" s="10"/>
      <c r="F74" s="10"/>
      <c r="G74" s="10"/>
      <c r="H74" s="3" t="str">
        <f t="shared" si="2"/>
        <v/>
      </c>
      <c r="I74" s="10"/>
    </row>
    <row r="75" spans="1:9" ht="32" customHeight="1" x14ac:dyDescent="0.35">
      <c r="A75" s="9"/>
      <c r="B75" s="10"/>
      <c r="C75" s="10"/>
      <c r="D75" s="10"/>
      <c r="E75" s="10"/>
      <c r="F75" s="10"/>
      <c r="G75" s="10"/>
      <c r="H75" s="3" t="str">
        <f t="shared" si="2"/>
        <v/>
      </c>
      <c r="I75" s="10"/>
    </row>
    <row r="76" spans="1:9" ht="32" customHeight="1" x14ac:dyDescent="0.35">
      <c r="A76" s="9"/>
      <c r="B76" s="10"/>
      <c r="C76" s="10"/>
      <c r="D76" s="10"/>
      <c r="E76" s="10"/>
      <c r="F76" s="10"/>
      <c r="G76" s="10"/>
      <c r="H76" s="3" t="str">
        <f t="shared" si="2"/>
        <v/>
      </c>
      <c r="I76" s="10"/>
    </row>
    <row r="77" spans="1:9" ht="32" customHeight="1" x14ac:dyDescent="0.35">
      <c r="A77" s="9"/>
      <c r="B77" s="10"/>
      <c r="C77" s="10"/>
      <c r="D77" s="10"/>
      <c r="E77" s="10"/>
      <c r="F77" s="10"/>
      <c r="G77" s="10"/>
      <c r="H77" s="3" t="str">
        <f t="shared" si="2"/>
        <v/>
      </c>
      <c r="I77" s="10"/>
    </row>
    <row r="78" spans="1:9" ht="32" customHeight="1" x14ac:dyDescent="0.35">
      <c r="A78" s="9"/>
      <c r="B78" s="10"/>
      <c r="C78" s="10"/>
      <c r="D78" s="10"/>
      <c r="E78" s="10"/>
      <c r="F78" s="10"/>
      <c r="G78" s="10"/>
      <c r="H78" s="3" t="str">
        <f t="shared" si="2"/>
        <v/>
      </c>
      <c r="I78" s="10"/>
    </row>
    <row r="79" spans="1:9" ht="32" customHeight="1" x14ac:dyDescent="0.35">
      <c r="A79" s="9"/>
      <c r="B79" s="10"/>
      <c r="C79" s="10"/>
      <c r="D79" s="10"/>
      <c r="E79" s="10"/>
      <c r="F79" s="10"/>
      <c r="G79" s="10"/>
      <c r="H79" s="3" t="str">
        <f t="shared" si="2"/>
        <v/>
      </c>
      <c r="I79" s="10"/>
    </row>
    <row r="80" spans="1:9" ht="32" customHeight="1" x14ac:dyDescent="0.35">
      <c r="A80" s="9"/>
      <c r="B80" s="10"/>
      <c r="C80" s="10"/>
      <c r="D80" s="10"/>
      <c r="E80" s="10"/>
      <c r="F80" s="10"/>
      <c r="G80" s="10"/>
      <c r="H80" s="3" t="str">
        <f t="shared" si="2"/>
        <v/>
      </c>
      <c r="I80" s="10"/>
    </row>
    <row r="81" spans="1:9" ht="32" customHeight="1" x14ac:dyDescent="0.35">
      <c r="A81" s="9"/>
      <c r="B81" s="10"/>
      <c r="C81" s="10"/>
      <c r="D81" s="10"/>
      <c r="E81" s="10"/>
      <c r="F81" s="10"/>
      <c r="G81" s="10"/>
      <c r="H81" s="3" t="str">
        <f t="shared" si="2"/>
        <v/>
      </c>
      <c r="I81" s="10"/>
    </row>
    <row r="82" spans="1:9" ht="32" customHeight="1" x14ac:dyDescent="0.35">
      <c r="A82" s="9"/>
      <c r="B82" s="10"/>
      <c r="C82" s="10"/>
      <c r="D82" s="10"/>
      <c r="E82" s="10"/>
      <c r="F82" s="10"/>
      <c r="G82" s="10"/>
      <c r="H82" s="3" t="str">
        <f t="shared" si="2"/>
        <v/>
      </c>
      <c r="I82" s="10"/>
    </row>
    <row r="83" spans="1:9" ht="32" customHeight="1" x14ac:dyDescent="0.35">
      <c r="A83" s="9"/>
      <c r="B83" s="10"/>
      <c r="C83" s="10"/>
      <c r="D83" s="10"/>
      <c r="E83" s="10"/>
      <c r="F83" s="10"/>
      <c r="G83" s="10"/>
      <c r="H83" s="3" t="str">
        <f t="shared" si="2"/>
        <v/>
      </c>
      <c r="I83" s="10"/>
    </row>
    <row r="84" spans="1:9" ht="32" customHeight="1" x14ac:dyDescent="0.35">
      <c r="A84" s="9"/>
      <c r="B84" s="10"/>
      <c r="C84" s="10"/>
      <c r="D84" s="10"/>
      <c r="E84" s="10"/>
      <c r="F84" s="10"/>
      <c r="G84" s="10"/>
      <c r="H84" s="3" t="str">
        <f t="shared" si="2"/>
        <v/>
      </c>
      <c r="I84" s="10"/>
    </row>
    <row r="85" spans="1:9" ht="32" customHeight="1" x14ac:dyDescent="0.35">
      <c r="A85" s="9"/>
      <c r="B85" s="10"/>
      <c r="C85" s="10"/>
      <c r="D85" s="10"/>
      <c r="E85" s="10"/>
      <c r="F85" s="10"/>
      <c r="G85" s="10"/>
      <c r="H85" s="3" t="str">
        <f t="shared" si="2"/>
        <v/>
      </c>
      <c r="I85" s="10"/>
    </row>
    <row r="86" spans="1:9" ht="32" customHeight="1" x14ac:dyDescent="0.35">
      <c r="A86" s="9"/>
      <c r="B86" s="10"/>
      <c r="C86" s="10"/>
      <c r="D86" s="10"/>
      <c r="E86" s="10"/>
      <c r="F86" s="10"/>
      <c r="G86" s="10"/>
      <c r="H86" s="3" t="str">
        <f t="shared" si="2"/>
        <v/>
      </c>
      <c r="I86" s="10"/>
    </row>
    <row r="87" spans="1:9" ht="32" customHeight="1" x14ac:dyDescent="0.35">
      <c r="A87" s="9"/>
      <c r="B87" s="10"/>
      <c r="C87" s="10"/>
      <c r="D87" s="10"/>
      <c r="E87" s="10"/>
      <c r="F87" s="10"/>
      <c r="G87" s="10"/>
      <c r="H87" s="3" t="str">
        <f t="shared" si="2"/>
        <v/>
      </c>
      <c r="I87" s="10"/>
    </row>
    <row r="88" spans="1:9" ht="32" customHeight="1" x14ac:dyDescent="0.35">
      <c r="A88" s="9"/>
      <c r="B88" s="10"/>
      <c r="C88" s="10"/>
      <c r="D88" s="10"/>
      <c r="E88" s="10"/>
      <c r="F88" s="10"/>
      <c r="G88" s="10"/>
      <c r="H88" s="3" t="str">
        <f t="shared" si="2"/>
        <v/>
      </c>
      <c r="I88" s="10"/>
    </row>
    <row r="89" spans="1:9" ht="32" customHeight="1" x14ac:dyDescent="0.35">
      <c r="A89" s="9"/>
      <c r="B89" s="10"/>
      <c r="C89" s="10"/>
      <c r="D89" s="10"/>
      <c r="E89" s="10"/>
      <c r="F89" s="10"/>
      <c r="G89" s="10"/>
      <c r="H89" s="3" t="str">
        <f t="shared" si="2"/>
        <v/>
      </c>
      <c r="I89" s="10"/>
    </row>
    <row r="90" spans="1:9" ht="32" customHeight="1" x14ac:dyDescent="0.35">
      <c r="A90" s="9"/>
      <c r="B90" s="10"/>
      <c r="C90" s="10"/>
      <c r="D90" s="10"/>
      <c r="E90" s="10"/>
      <c r="F90" s="10"/>
      <c r="G90" s="10"/>
      <c r="H90" s="3" t="str">
        <f t="shared" si="2"/>
        <v/>
      </c>
      <c r="I90" s="10"/>
    </row>
    <row r="91" spans="1:9" ht="32" customHeight="1" x14ac:dyDescent="0.35">
      <c r="A91" s="9"/>
      <c r="B91" s="10"/>
      <c r="C91" s="10"/>
      <c r="D91" s="10"/>
      <c r="E91" s="10"/>
      <c r="F91" s="10"/>
      <c r="G91" s="10"/>
      <c r="H91" s="3" t="str">
        <f t="shared" si="2"/>
        <v/>
      </c>
      <c r="I91" s="10"/>
    </row>
    <row r="92" spans="1:9" ht="32" customHeight="1" x14ac:dyDescent="0.35">
      <c r="A92" s="9"/>
      <c r="B92" s="10"/>
      <c r="C92" s="10"/>
      <c r="D92" s="10"/>
      <c r="E92" s="10"/>
      <c r="F92" s="10"/>
      <c r="G92" s="10"/>
      <c r="H92" s="3" t="str">
        <f t="shared" si="2"/>
        <v/>
      </c>
      <c r="I92" s="10"/>
    </row>
    <row r="93" spans="1:9" ht="32" customHeight="1" x14ac:dyDescent="0.35">
      <c r="A93" s="9"/>
      <c r="B93" s="10"/>
      <c r="C93" s="10"/>
      <c r="D93" s="10"/>
      <c r="E93" s="10"/>
      <c r="F93" s="10"/>
      <c r="G93" s="10"/>
      <c r="H93" s="3" t="str">
        <f t="shared" si="2"/>
        <v/>
      </c>
      <c r="I93" s="10"/>
    </row>
    <row r="94" spans="1:9" ht="32" customHeight="1" x14ac:dyDescent="0.35">
      <c r="A94" s="9"/>
      <c r="B94" s="10"/>
      <c r="C94" s="10"/>
      <c r="D94" s="10"/>
      <c r="E94" s="10"/>
      <c r="F94" s="10"/>
      <c r="G94" s="10"/>
      <c r="H94" s="3" t="str">
        <f t="shared" si="2"/>
        <v/>
      </c>
      <c r="I94" s="10"/>
    </row>
    <row r="95" spans="1:9" ht="32" customHeight="1" x14ac:dyDescent="0.35">
      <c r="A95" s="9"/>
      <c r="B95" s="10"/>
      <c r="C95" s="10"/>
      <c r="D95" s="10"/>
      <c r="E95" s="10"/>
      <c r="F95" s="10"/>
      <c r="G95" s="10"/>
      <c r="H95" s="3" t="str">
        <f t="shared" si="2"/>
        <v/>
      </c>
      <c r="I95" s="10"/>
    </row>
    <row r="96" spans="1:9" ht="32" customHeight="1" x14ac:dyDescent="0.35">
      <c r="A96" s="9"/>
      <c r="B96" s="10"/>
      <c r="C96" s="10"/>
      <c r="D96" s="10"/>
      <c r="E96" s="10"/>
      <c r="F96" s="10"/>
      <c r="G96" s="10"/>
      <c r="H96" s="3" t="str">
        <f t="shared" si="2"/>
        <v/>
      </c>
      <c r="I96" s="10"/>
    </row>
    <row r="97" spans="1:9" ht="32" customHeight="1" x14ac:dyDescent="0.35">
      <c r="A97" s="9"/>
      <c r="B97" s="10"/>
      <c r="C97" s="10"/>
      <c r="D97" s="10"/>
      <c r="E97" s="10"/>
      <c r="F97" s="10"/>
      <c r="G97" s="10"/>
      <c r="H97" s="3" t="str">
        <f t="shared" si="2"/>
        <v/>
      </c>
      <c r="I97" s="10"/>
    </row>
    <row r="98" spans="1:9" ht="32" customHeight="1" x14ac:dyDescent="0.35">
      <c r="A98" s="9"/>
      <c r="B98" s="10"/>
      <c r="C98" s="10"/>
      <c r="D98" s="10"/>
      <c r="E98" s="10"/>
      <c r="F98" s="10"/>
      <c r="G98" s="10"/>
      <c r="H98" s="3" t="str">
        <f t="shared" ref="H98:H129" si="3">IF(ISNUMBER(A98),A98+7,"")</f>
        <v/>
      </c>
      <c r="I98" s="10"/>
    </row>
    <row r="99" spans="1:9" ht="32" customHeight="1" x14ac:dyDescent="0.35">
      <c r="A99" s="9"/>
      <c r="B99" s="10"/>
      <c r="C99" s="10"/>
      <c r="D99" s="10"/>
      <c r="E99" s="10"/>
      <c r="F99" s="10"/>
      <c r="G99" s="10"/>
      <c r="H99" s="3" t="str">
        <f t="shared" si="3"/>
        <v/>
      </c>
      <c r="I99" s="10"/>
    </row>
    <row r="100" spans="1:9" ht="32" customHeight="1" x14ac:dyDescent="0.35">
      <c r="A100" s="9"/>
      <c r="B100" s="10"/>
      <c r="C100" s="10"/>
      <c r="D100" s="10"/>
      <c r="E100" s="10"/>
      <c r="F100" s="10"/>
      <c r="G100" s="10"/>
      <c r="H100" s="3" t="str">
        <f t="shared" si="3"/>
        <v/>
      </c>
      <c r="I100" s="10"/>
    </row>
    <row r="101" spans="1:9" ht="32" customHeight="1" x14ac:dyDescent="0.35">
      <c r="A101" s="9"/>
      <c r="B101" s="10"/>
      <c r="C101" s="10"/>
      <c r="D101" s="10"/>
      <c r="E101" s="10"/>
      <c r="F101" s="10"/>
      <c r="G101" s="10"/>
      <c r="H101" s="3" t="str">
        <f t="shared" si="3"/>
        <v/>
      </c>
      <c r="I101" s="10"/>
    </row>
    <row r="102" spans="1:9" ht="32" customHeight="1" x14ac:dyDescent="0.35">
      <c r="A102" s="9"/>
      <c r="B102" s="10"/>
      <c r="C102" s="10"/>
      <c r="D102" s="10"/>
      <c r="E102" s="10"/>
      <c r="F102" s="10"/>
      <c r="G102" s="10"/>
      <c r="H102" s="3" t="str">
        <f t="shared" si="3"/>
        <v/>
      </c>
      <c r="I102" s="10"/>
    </row>
    <row r="103" spans="1:9" ht="32" customHeight="1" x14ac:dyDescent="0.35">
      <c r="A103" s="9"/>
      <c r="B103" s="10"/>
      <c r="C103" s="10"/>
      <c r="D103" s="10"/>
      <c r="E103" s="10"/>
      <c r="F103" s="10"/>
      <c r="G103" s="10"/>
      <c r="H103" s="3" t="str">
        <f t="shared" si="3"/>
        <v/>
      </c>
      <c r="I103" s="10"/>
    </row>
    <row r="104" spans="1:9" ht="32" customHeight="1" x14ac:dyDescent="0.35">
      <c r="A104" s="9"/>
      <c r="B104" s="10"/>
      <c r="C104" s="10"/>
      <c r="D104" s="10"/>
      <c r="E104" s="10"/>
      <c r="F104" s="10"/>
      <c r="G104" s="10"/>
      <c r="H104" s="3" t="str">
        <f t="shared" si="3"/>
        <v/>
      </c>
      <c r="I104" s="10"/>
    </row>
    <row r="105" spans="1:9" ht="32" customHeight="1" x14ac:dyDescent="0.35">
      <c r="A105" s="9"/>
      <c r="B105" s="10"/>
      <c r="C105" s="10"/>
      <c r="D105" s="10"/>
      <c r="E105" s="10"/>
      <c r="F105" s="10"/>
      <c r="G105" s="10"/>
      <c r="H105" s="3" t="str">
        <f t="shared" si="3"/>
        <v/>
      </c>
      <c r="I105" s="10"/>
    </row>
    <row r="106" spans="1:9" ht="32" customHeight="1" x14ac:dyDescent="0.35">
      <c r="A106" s="9"/>
      <c r="B106" s="10"/>
      <c r="C106" s="10"/>
      <c r="D106" s="10"/>
      <c r="E106" s="10"/>
      <c r="F106" s="10"/>
      <c r="G106" s="10"/>
      <c r="H106" s="3" t="str">
        <f t="shared" si="3"/>
        <v/>
      </c>
      <c r="I106" s="10"/>
    </row>
    <row r="107" spans="1:9" ht="32" customHeight="1" x14ac:dyDescent="0.35">
      <c r="A107" s="9"/>
      <c r="B107" s="10"/>
      <c r="C107" s="10"/>
      <c r="D107" s="10"/>
      <c r="E107" s="10"/>
      <c r="F107" s="10"/>
      <c r="G107" s="10"/>
      <c r="H107" s="3" t="str">
        <f t="shared" si="3"/>
        <v/>
      </c>
      <c r="I107" s="10"/>
    </row>
    <row r="108" spans="1:9" ht="32" customHeight="1" x14ac:dyDescent="0.35">
      <c r="A108" s="9"/>
      <c r="B108" s="10"/>
      <c r="C108" s="10"/>
      <c r="D108" s="10"/>
      <c r="E108" s="10"/>
      <c r="F108" s="10"/>
      <c r="G108" s="10"/>
      <c r="H108" s="3" t="str">
        <f t="shared" si="3"/>
        <v/>
      </c>
      <c r="I108" s="10"/>
    </row>
    <row r="109" spans="1:9" ht="32" customHeight="1" x14ac:dyDescent="0.35">
      <c r="A109" s="9"/>
      <c r="B109" s="10"/>
      <c r="C109" s="10"/>
      <c r="D109" s="10"/>
      <c r="E109" s="10"/>
      <c r="F109" s="10"/>
      <c r="G109" s="10"/>
      <c r="H109" s="3" t="str">
        <f t="shared" si="3"/>
        <v/>
      </c>
      <c r="I109" s="10"/>
    </row>
    <row r="110" spans="1:9" ht="32" customHeight="1" x14ac:dyDescent="0.35">
      <c r="A110" s="9"/>
      <c r="B110" s="10"/>
      <c r="C110" s="10"/>
      <c r="D110" s="10"/>
      <c r="E110" s="10"/>
      <c r="F110" s="10"/>
      <c r="G110" s="10"/>
      <c r="H110" s="3" t="str">
        <f t="shared" si="3"/>
        <v/>
      </c>
      <c r="I110" s="10"/>
    </row>
    <row r="111" spans="1:9" ht="32" customHeight="1" x14ac:dyDescent="0.35">
      <c r="A111" s="9"/>
      <c r="B111" s="10"/>
      <c r="C111" s="10"/>
      <c r="D111" s="10"/>
      <c r="E111" s="10"/>
      <c r="F111" s="10"/>
      <c r="G111" s="10"/>
      <c r="H111" s="3" t="str">
        <f t="shared" si="3"/>
        <v/>
      </c>
      <c r="I111" s="10"/>
    </row>
    <row r="112" spans="1:9" ht="32" customHeight="1" x14ac:dyDescent="0.35">
      <c r="A112" s="9"/>
      <c r="B112" s="10"/>
      <c r="C112" s="10"/>
      <c r="D112" s="10"/>
      <c r="E112" s="10"/>
      <c r="F112" s="10"/>
      <c r="G112" s="10"/>
      <c r="H112" s="3" t="str">
        <f t="shared" si="3"/>
        <v/>
      </c>
      <c r="I112" s="10"/>
    </row>
    <row r="113" spans="1:9" ht="32" customHeight="1" x14ac:dyDescent="0.35">
      <c r="A113" s="9"/>
      <c r="B113" s="10"/>
      <c r="C113" s="10"/>
      <c r="D113" s="10"/>
      <c r="E113" s="10"/>
      <c r="F113" s="10"/>
      <c r="G113" s="10"/>
      <c r="H113" s="3" t="str">
        <f t="shared" si="3"/>
        <v/>
      </c>
      <c r="I113" s="10"/>
    </row>
    <row r="114" spans="1:9" ht="32" customHeight="1" x14ac:dyDescent="0.35">
      <c r="A114" s="9"/>
      <c r="B114" s="10"/>
      <c r="C114" s="10"/>
      <c r="D114" s="10"/>
      <c r="E114" s="10"/>
      <c r="F114" s="10"/>
      <c r="G114" s="10"/>
      <c r="H114" s="3" t="str">
        <f t="shared" si="3"/>
        <v/>
      </c>
      <c r="I114" s="10"/>
    </row>
    <row r="115" spans="1:9" ht="32" customHeight="1" x14ac:dyDescent="0.35">
      <c r="A115" s="9"/>
      <c r="B115" s="10"/>
      <c r="C115" s="10"/>
      <c r="D115" s="10"/>
      <c r="E115" s="10"/>
      <c r="F115" s="10"/>
      <c r="G115" s="10"/>
      <c r="H115" s="3" t="str">
        <f t="shared" si="3"/>
        <v/>
      </c>
      <c r="I115" s="10"/>
    </row>
    <row r="116" spans="1:9" ht="32" customHeight="1" x14ac:dyDescent="0.35">
      <c r="A116" s="9"/>
      <c r="B116" s="10"/>
      <c r="C116" s="10"/>
      <c r="D116" s="10"/>
      <c r="E116" s="10"/>
      <c r="F116" s="10"/>
      <c r="G116" s="10"/>
      <c r="H116" s="3" t="str">
        <f t="shared" si="3"/>
        <v/>
      </c>
      <c r="I116" s="10"/>
    </row>
    <row r="117" spans="1:9" ht="32" customHeight="1" x14ac:dyDescent="0.35">
      <c r="A117" s="9"/>
      <c r="B117" s="10"/>
      <c r="C117" s="10"/>
      <c r="D117" s="10"/>
      <c r="E117" s="10"/>
      <c r="F117" s="10"/>
      <c r="G117" s="10"/>
      <c r="H117" s="3" t="str">
        <f t="shared" si="3"/>
        <v/>
      </c>
      <c r="I117" s="10"/>
    </row>
    <row r="118" spans="1:9" ht="32" customHeight="1" x14ac:dyDescent="0.35">
      <c r="A118" s="9"/>
      <c r="B118" s="10"/>
      <c r="C118" s="10"/>
      <c r="D118" s="10"/>
      <c r="E118" s="10"/>
      <c r="F118" s="10"/>
      <c r="G118" s="10"/>
      <c r="H118" s="3" t="str">
        <f t="shared" si="3"/>
        <v/>
      </c>
      <c r="I118" s="10"/>
    </row>
    <row r="119" spans="1:9" ht="32" customHeight="1" x14ac:dyDescent="0.35">
      <c r="A119" s="9"/>
      <c r="B119" s="10"/>
      <c r="C119" s="10"/>
      <c r="D119" s="10"/>
      <c r="E119" s="10"/>
      <c r="F119" s="10"/>
      <c r="G119" s="10"/>
      <c r="H119" s="3" t="str">
        <f t="shared" si="3"/>
        <v/>
      </c>
      <c r="I119" s="10"/>
    </row>
    <row r="120" spans="1:9" ht="32" customHeight="1" x14ac:dyDescent="0.35">
      <c r="A120" s="9"/>
      <c r="B120" s="10"/>
      <c r="C120" s="10"/>
      <c r="D120" s="10"/>
      <c r="E120" s="10"/>
      <c r="F120" s="10"/>
      <c r="G120" s="10"/>
      <c r="H120" s="3" t="str">
        <f t="shared" si="3"/>
        <v/>
      </c>
      <c r="I120" s="10"/>
    </row>
    <row r="121" spans="1:9" ht="32" customHeight="1" x14ac:dyDescent="0.35">
      <c r="A121" s="9"/>
      <c r="B121" s="10"/>
      <c r="C121" s="10"/>
      <c r="D121" s="10"/>
      <c r="E121" s="10"/>
      <c r="F121" s="10"/>
      <c r="G121" s="10"/>
      <c r="H121" s="3" t="str">
        <f t="shared" si="3"/>
        <v/>
      </c>
      <c r="I121" s="10"/>
    </row>
    <row r="122" spans="1:9" ht="32" customHeight="1" x14ac:dyDescent="0.35">
      <c r="A122" s="9"/>
      <c r="B122" s="10"/>
      <c r="C122" s="10"/>
      <c r="D122" s="10"/>
      <c r="E122" s="10"/>
      <c r="F122" s="10"/>
      <c r="G122" s="10"/>
      <c r="H122" s="3" t="str">
        <f t="shared" si="3"/>
        <v/>
      </c>
      <c r="I122" s="10"/>
    </row>
    <row r="123" spans="1:9" ht="32" customHeight="1" x14ac:dyDescent="0.35">
      <c r="A123" s="9"/>
      <c r="B123" s="10"/>
      <c r="C123" s="10"/>
      <c r="D123" s="10"/>
      <c r="E123" s="10"/>
      <c r="F123" s="10"/>
      <c r="G123" s="10"/>
      <c r="H123" s="3" t="str">
        <f t="shared" si="3"/>
        <v/>
      </c>
      <c r="I123" s="10"/>
    </row>
    <row r="124" spans="1:9" ht="32" customHeight="1" x14ac:dyDescent="0.35">
      <c r="A124" s="9"/>
      <c r="B124" s="10"/>
      <c r="C124" s="10"/>
      <c r="D124" s="10"/>
      <c r="E124" s="10"/>
      <c r="F124" s="10"/>
      <c r="G124" s="10"/>
      <c r="H124" s="3" t="str">
        <f t="shared" si="3"/>
        <v/>
      </c>
      <c r="I124" s="10"/>
    </row>
    <row r="125" spans="1:9" ht="32" customHeight="1" x14ac:dyDescent="0.35">
      <c r="A125" s="9"/>
      <c r="B125" s="10"/>
      <c r="C125" s="10"/>
      <c r="D125" s="10"/>
      <c r="E125" s="10"/>
      <c r="F125" s="10"/>
      <c r="G125" s="10"/>
      <c r="H125" s="3" t="str">
        <f t="shared" si="3"/>
        <v/>
      </c>
      <c r="I125" s="10"/>
    </row>
    <row r="126" spans="1:9" ht="32" customHeight="1" x14ac:dyDescent="0.35">
      <c r="A126" s="9"/>
      <c r="B126" s="10"/>
      <c r="C126" s="10"/>
      <c r="D126" s="10"/>
      <c r="E126" s="10"/>
      <c r="F126" s="10"/>
      <c r="G126" s="10"/>
      <c r="H126" s="3" t="str">
        <f t="shared" si="3"/>
        <v/>
      </c>
      <c r="I126" s="10"/>
    </row>
    <row r="127" spans="1:9" ht="32" customHeight="1" x14ac:dyDescent="0.35">
      <c r="A127" s="9"/>
      <c r="B127" s="10"/>
      <c r="C127" s="10"/>
      <c r="D127" s="10"/>
      <c r="E127" s="10"/>
      <c r="F127" s="10"/>
      <c r="G127" s="10"/>
      <c r="H127" s="3" t="str">
        <f t="shared" si="3"/>
        <v/>
      </c>
      <c r="I127" s="10"/>
    </row>
    <row r="128" spans="1:9" ht="32" customHeight="1" x14ac:dyDescent="0.35">
      <c r="A128" s="9"/>
      <c r="B128" s="10"/>
      <c r="C128" s="10"/>
      <c r="D128" s="10"/>
      <c r="E128" s="10"/>
      <c r="F128" s="10"/>
      <c r="G128" s="10"/>
      <c r="H128" s="3" t="str">
        <f t="shared" si="3"/>
        <v/>
      </c>
      <c r="I128" s="10"/>
    </row>
    <row r="129" spans="1:9" ht="32" customHeight="1" x14ac:dyDescent="0.35">
      <c r="A129" s="9"/>
      <c r="B129" s="10"/>
      <c r="C129" s="10"/>
      <c r="D129" s="10"/>
      <c r="E129" s="10"/>
      <c r="F129" s="10"/>
      <c r="G129" s="10"/>
      <c r="H129" s="3" t="str">
        <f t="shared" si="3"/>
        <v/>
      </c>
      <c r="I129" s="10"/>
    </row>
    <row r="130" spans="1:9" ht="32" customHeight="1" x14ac:dyDescent="0.35">
      <c r="A130" s="9"/>
      <c r="B130" s="10"/>
      <c r="C130" s="10"/>
      <c r="D130" s="10"/>
      <c r="E130" s="10"/>
      <c r="F130" s="10"/>
      <c r="G130" s="10"/>
      <c r="H130" s="3" t="str">
        <f t="shared" ref="H130:H161" si="4">IF(ISNUMBER(A130),A130+7,"")</f>
        <v/>
      </c>
      <c r="I130" s="10"/>
    </row>
    <row r="131" spans="1:9" ht="32" customHeight="1" x14ac:dyDescent="0.35">
      <c r="A131" s="9"/>
      <c r="B131" s="10"/>
      <c r="C131" s="10"/>
      <c r="D131" s="10"/>
      <c r="E131" s="10"/>
      <c r="F131" s="10"/>
      <c r="G131" s="10"/>
      <c r="H131" s="3" t="str">
        <f t="shared" si="4"/>
        <v/>
      </c>
      <c r="I131" s="10"/>
    </row>
    <row r="132" spans="1:9" ht="32" customHeight="1" x14ac:dyDescent="0.35">
      <c r="A132" s="9"/>
      <c r="B132" s="10"/>
      <c r="C132" s="10"/>
      <c r="D132" s="10"/>
      <c r="E132" s="10"/>
      <c r="F132" s="10"/>
      <c r="G132" s="10"/>
      <c r="H132" s="3" t="str">
        <f t="shared" si="4"/>
        <v/>
      </c>
      <c r="I132" s="10"/>
    </row>
    <row r="133" spans="1:9" ht="32" customHeight="1" x14ac:dyDescent="0.35">
      <c r="A133" s="9"/>
      <c r="B133" s="10"/>
      <c r="C133" s="10"/>
      <c r="D133" s="10"/>
      <c r="E133" s="10"/>
      <c r="F133" s="10"/>
      <c r="G133" s="10"/>
      <c r="H133" s="3" t="str">
        <f t="shared" si="4"/>
        <v/>
      </c>
      <c r="I133" s="10"/>
    </row>
    <row r="134" spans="1:9" ht="32" customHeight="1" x14ac:dyDescent="0.35">
      <c r="A134" s="9"/>
      <c r="B134" s="10"/>
      <c r="C134" s="10"/>
      <c r="D134" s="10"/>
      <c r="E134" s="10"/>
      <c r="F134" s="10"/>
      <c r="G134" s="10"/>
      <c r="H134" s="3" t="str">
        <f t="shared" si="4"/>
        <v/>
      </c>
      <c r="I134" s="10"/>
    </row>
    <row r="135" spans="1:9" ht="32" customHeight="1" x14ac:dyDescent="0.35">
      <c r="A135" s="9"/>
      <c r="B135" s="10"/>
      <c r="C135" s="10"/>
      <c r="D135" s="10"/>
      <c r="E135" s="10"/>
      <c r="F135" s="10"/>
      <c r="G135" s="10"/>
      <c r="H135" s="3" t="str">
        <f t="shared" si="4"/>
        <v/>
      </c>
      <c r="I135" s="10"/>
    </row>
    <row r="136" spans="1:9" ht="32" customHeight="1" x14ac:dyDescent="0.35">
      <c r="A136" s="9"/>
      <c r="B136" s="10"/>
      <c r="C136" s="10"/>
      <c r="D136" s="10"/>
      <c r="E136" s="10"/>
      <c r="F136" s="10"/>
      <c r="G136" s="10"/>
      <c r="H136" s="3" t="str">
        <f t="shared" si="4"/>
        <v/>
      </c>
      <c r="I136" s="10"/>
    </row>
    <row r="137" spans="1:9" ht="32" customHeight="1" x14ac:dyDescent="0.35">
      <c r="A137" s="9"/>
      <c r="B137" s="10"/>
      <c r="C137" s="10"/>
      <c r="D137" s="10"/>
      <c r="E137" s="10"/>
      <c r="F137" s="10"/>
      <c r="G137" s="10"/>
      <c r="H137" s="3" t="str">
        <f t="shared" si="4"/>
        <v/>
      </c>
      <c r="I137" s="10"/>
    </row>
    <row r="138" spans="1:9" ht="32" customHeight="1" x14ac:dyDescent="0.35">
      <c r="A138" s="9"/>
      <c r="B138" s="10"/>
      <c r="C138" s="10"/>
      <c r="D138" s="10"/>
      <c r="E138" s="10"/>
      <c r="F138" s="10"/>
      <c r="G138" s="10"/>
      <c r="H138" s="3" t="str">
        <f t="shared" si="4"/>
        <v/>
      </c>
      <c r="I138" s="10"/>
    </row>
    <row r="139" spans="1:9" ht="32" customHeight="1" x14ac:dyDescent="0.35">
      <c r="A139" s="9"/>
      <c r="B139" s="10"/>
      <c r="C139" s="10"/>
      <c r="D139" s="10"/>
      <c r="E139" s="10"/>
      <c r="F139" s="10"/>
      <c r="G139" s="10"/>
      <c r="H139" s="3" t="str">
        <f t="shared" si="4"/>
        <v/>
      </c>
      <c r="I139" s="10"/>
    </row>
    <row r="140" spans="1:9" ht="32" customHeight="1" x14ac:dyDescent="0.35">
      <c r="A140" s="9"/>
      <c r="B140" s="10"/>
      <c r="C140" s="10"/>
      <c r="D140" s="10"/>
      <c r="E140" s="10"/>
      <c r="F140" s="10"/>
      <c r="G140" s="10"/>
      <c r="H140" s="3" t="str">
        <f t="shared" si="4"/>
        <v/>
      </c>
      <c r="I140" s="10"/>
    </row>
    <row r="141" spans="1:9" ht="32" customHeight="1" x14ac:dyDescent="0.35">
      <c r="A141" s="9"/>
      <c r="B141" s="10"/>
      <c r="C141" s="10"/>
      <c r="D141" s="10"/>
      <c r="E141" s="10"/>
      <c r="F141" s="10"/>
      <c r="G141" s="10"/>
      <c r="H141" s="3" t="str">
        <f t="shared" si="4"/>
        <v/>
      </c>
      <c r="I141" s="10"/>
    </row>
    <row r="142" spans="1:9" ht="32" customHeight="1" x14ac:dyDescent="0.35">
      <c r="A142" s="9"/>
      <c r="B142" s="10"/>
      <c r="C142" s="10"/>
      <c r="D142" s="10"/>
      <c r="E142" s="10"/>
      <c r="F142" s="10"/>
      <c r="G142" s="10"/>
      <c r="H142" s="3" t="str">
        <f t="shared" si="4"/>
        <v/>
      </c>
      <c r="I142" s="10"/>
    </row>
    <row r="143" spans="1:9" ht="32" customHeight="1" x14ac:dyDescent="0.35">
      <c r="A143" s="9"/>
      <c r="B143" s="10"/>
      <c r="C143" s="10"/>
      <c r="D143" s="10"/>
      <c r="E143" s="10"/>
      <c r="F143" s="10"/>
      <c r="G143" s="10"/>
      <c r="H143" s="3" t="str">
        <f t="shared" si="4"/>
        <v/>
      </c>
      <c r="I143" s="10"/>
    </row>
    <row r="144" spans="1:9" ht="32" customHeight="1" x14ac:dyDescent="0.35">
      <c r="A144" s="9"/>
      <c r="B144" s="10"/>
      <c r="C144" s="10"/>
      <c r="D144" s="10"/>
      <c r="E144" s="10"/>
      <c r="F144" s="10"/>
      <c r="G144" s="10"/>
      <c r="H144" s="3" t="str">
        <f t="shared" si="4"/>
        <v/>
      </c>
      <c r="I144" s="10"/>
    </row>
    <row r="145" spans="1:9" ht="32" customHeight="1" x14ac:dyDescent="0.35">
      <c r="A145" s="9"/>
      <c r="B145" s="10"/>
      <c r="C145" s="10"/>
      <c r="D145" s="10"/>
      <c r="E145" s="10"/>
      <c r="F145" s="10"/>
      <c r="G145" s="10"/>
      <c r="H145" s="3" t="str">
        <f t="shared" si="4"/>
        <v/>
      </c>
      <c r="I145" s="10"/>
    </row>
    <row r="146" spans="1:9" ht="32" customHeight="1" x14ac:dyDescent="0.35">
      <c r="A146" s="9"/>
      <c r="B146" s="10"/>
      <c r="C146" s="10"/>
      <c r="D146" s="10"/>
      <c r="E146" s="10"/>
      <c r="F146" s="10"/>
      <c r="G146" s="10"/>
      <c r="H146" s="3" t="str">
        <f t="shared" si="4"/>
        <v/>
      </c>
      <c r="I146" s="10"/>
    </row>
    <row r="147" spans="1:9" ht="32" customHeight="1" x14ac:dyDescent="0.35">
      <c r="A147" s="9"/>
      <c r="B147" s="10"/>
      <c r="C147" s="10"/>
      <c r="D147" s="10"/>
      <c r="E147" s="10"/>
      <c r="F147" s="10"/>
      <c r="G147" s="10"/>
      <c r="H147" s="3" t="str">
        <f t="shared" si="4"/>
        <v/>
      </c>
      <c r="I147" s="10"/>
    </row>
    <row r="148" spans="1:9" ht="32" customHeight="1" x14ac:dyDescent="0.35">
      <c r="A148" s="9"/>
      <c r="B148" s="10"/>
      <c r="C148" s="10"/>
      <c r="D148" s="10"/>
      <c r="E148" s="10"/>
      <c r="F148" s="10"/>
      <c r="G148" s="10"/>
      <c r="H148" s="3" t="str">
        <f t="shared" si="4"/>
        <v/>
      </c>
      <c r="I148" s="10"/>
    </row>
    <row r="149" spans="1:9" ht="32" customHeight="1" x14ac:dyDescent="0.35">
      <c r="A149" s="9"/>
      <c r="B149" s="10"/>
      <c r="C149" s="10"/>
      <c r="D149" s="10"/>
      <c r="E149" s="10"/>
      <c r="F149" s="10"/>
      <c r="G149" s="10"/>
      <c r="H149" s="3" t="str">
        <f t="shared" si="4"/>
        <v/>
      </c>
      <c r="I149" s="10"/>
    </row>
    <row r="150" spans="1:9" ht="32" customHeight="1" x14ac:dyDescent="0.35">
      <c r="A150" s="9"/>
      <c r="B150" s="10"/>
      <c r="C150" s="10"/>
      <c r="D150" s="10"/>
      <c r="E150" s="10"/>
      <c r="F150" s="10"/>
      <c r="G150" s="10"/>
      <c r="H150" s="3" t="str">
        <f t="shared" si="4"/>
        <v/>
      </c>
      <c r="I150" s="10"/>
    </row>
    <row r="151" spans="1:9" ht="32" customHeight="1" x14ac:dyDescent="0.35">
      <c r="A151" s="9"/>
      <c r="B151" s="10"/>
      <c r="C151" s="10"/>
      <c r="D151" s="10"/>
      <c r="E151" s="10"/>
      <c r="F151" s="10"/>
      <c r="G151" s="10"/>
      <c r="H151" s="3" t="str">
        <f t="shared" si="4"/>
        <v/>
      </c>
      <c r="I151" s="10"/>
    </row>
    <row r="152" spans="1:9" ht="32" customHeight="1" x14ac:dyDescent="0.35">
      <c r="A152" s="9"/>
      <c r="B152" s="10"/>
      <c r="C152" s="10"/>
      <c r="D152" s="10"/>
      <c r="E152" s="10"/>
      <c r="F152" s="10"/>
      <c r="G152" s="10"/>
      <c r="H152" s="3" t="str">
        <f t="shared" si="4"/>
        <v/>
      </c>
      <c r="I152" s="10"/>
    </row>
    <row r="153" spans="1:9" ht="32" customHeight="1" x14ac:dyDescent="0.35">
      <c r="A153" s="9"/>
      <c r="B153" s="10"/>
      <c r="C153" s="10"/>
      <c r="D153" s="10"/>
      <c r="E153" s="10"/>
      <c r="F153" s="10"/>
      <c r="G153" s="10"/>
      <c r="H153" s="3" t="str">
        <f t="shared" si="4"/>
        <v/>
      </c>
      <c r="I153" s="10"/>
    </row>
    <row r="154" spans="1:9" ht="32" customHeight="1" x14ac:dyDescent="0.35">
      <c r="A154" s="9"/>
      <c r="B154" s="10"/>
      <c r="C154" s="10"/>
      <c r="D154" s="10"/>
      <c r="E154" s="10"/>
      <c r="F154" s="10"/>
      <c r="G154" s="10"/>
      <c r="H154" s="3" t="str">
        <f t="shared" si="4"/>
        <v/>
      </c>
      <c r="I154" s="10"/>
    </row>
    <row r="155" spans="1:9" ht="32" customHeight="1" x14ac:dyDescent="0.35">
      <c r="A155" s="9"/>
      <c r="B155" s="10"/>
      <c r="C155" s="10"/>
      <c r="D155" s="10"/>
      <c r="E155" s="10"/>
      <c r="F155" s="10"/>
      <c r="G155" s="10"/>
      <c r="H155" s="3" t="str">
        <f t="shared" si="4"/>
        <v/>
      </c>
      <c r="I155" s="10"/>
    </row>
    <row r="156" spans="1:9" ht="32" customHeight="1" x14ac:dyDescent="0.35">
      <c r="A156" s="9"/>
      <c r="B156" s="10"/>
      <c r="C156" s="10"/>
      <c r="D156" s="10"/>
      <c r="E156" s="10"/>
      <c r="F156" s="10"/>
      <c r="G156" s="10"/>
      <c r="H156" s="3" t="str">
        <f t="shared" si="4"/>
        <v/>
      </c>
      <c r="I156" s="10"/>
    </row>
    <row r="157" spans="1:9" ht="32" customHeight="1" x14ac:dyDescent="0.35">
      <c r="A157" s="9"/>
      <c r="B157" s="10"/>
      <c r="C157" s="10"/>
      <c r="D157" s="10"/>
      <c r="E157" s="10"/>
      <c r="F157" s="10"/>
      <c r="G157" s="10"/>
      <c r="H157" s="3" t="str">
        <f t="shared" si="4"/>
        <v/>
      </c>
      <c r="I157" s="10"/>
    </row>
    <row r="158" spans="1:9" ht="32" customHeight="1" x14ac:dyDescent="0.35">
      <c r="A158" s="9"/>
      <c r="B158" s="10"/>
      <c r="C158" s="10"/>
      <c r="D158" s="10"/>
      <c r="E158" s="10"/>
      <c r="F158" s="10"/>
      <c r="G158" s="10"/>
      <c r="H158" s="3" t="str">
        <f t="shared" si="4"/>
        <v/>
      </c>
      <c r="I158" s="10"/>
    </row>
    <row r="159" spans="1:9" ht="32" customHeight="1" x14ac:dyDescent="0.35">
      <c r="A159" s="9"/>
      <c r="B159" s="10"/>
      <c r="C159" s="10"/>
      <c r="D159" s="10"/>
      <c r="E159" s="10"/>
      <c r="F159" s="10"/>
      <c r="G159" s="10"/>
      <c r="H159" s="3" t="str">
        <f t="shared" si="4"/>
        <v/>
      </c>
      <c r="I159" s="10"/>
    </row>
    <row r="160" spans="1:9" ht="32" customHeight="1" x14ac:dyDescent="0.35">
      <c r="A160" s="9"/>
      <c r="B160" s="10"/>
      <c r="C160" s="10"/>
      <c r="D160" s="10"/>
      <c r="E160" s="10"/>
      <c r="F160" s="10"/>
      <c r="G160" s="10"/>
      <c r="H160" s="3" t="str">
        <f t="shared" si="4"/>
        <v/>
      </c>
      <c r="I160" s="10"/>
    </row>
    <row r="161" spans="1:9" ht="32" customHeight="1" x14ac:dyDescent="0.35">
      <c r="A161" s="9"/>
      <c r="B161" s="10"/>
      <c r="C161" s="10"/>
      <c r="D161" s="10"/>
      <c r="E161" s="10"/>
      <c r="F161" s="10"/>
      <c r="G161" s="10"/>
      <c r="H161" s="3" t="str">
        <f t="shared" si="4"/>
        <v/>
      </c>
      <c r="I161" s="10"/>
    </row>
    <row r="162" spans="1:9" ht="32" customHeight="1" x14ac:dyDescent="0.35">
      <c r="A162" s="9"/>
      <c r="B162" s="10"/>
      <c r="C162" s="10"/>
      <c r="D162" s="10"/>
      <c r="E162" s="10"/>
      <c r="F162" s="10"/>
      <c r="G162" s="10"/>
      <c r="H162" s="3" t="str">
        <f t="shared" ref="H162:H193" si="5">IF(ISNUMBER(A162),A162+7,"")</f>
        <v/>
      </c>
      <c r="I162" s="10"/>
    </row>
    <row r="163" spans="1:9" ht="32" customHeight="1" x14ac:dyDescent="0.35">
      <c r="A163" s="9"/>
      <c r="B163" s="10"/>
      <c r="C163" s="10"/>
      <c r="D163" s="10"/>
      <c r="E163" s="10"/>
      <c r="F163" s="10"/>
      <c r="G163" s="10"/>
      <c r="H163" s="3" t="str">
        <f t="shared" si="5"/>
        <v/>
      </c>
      <c r="I163" s="10"/>
    </row>
    <row r="164" spans="1:9" ht="32" customHeight="1" x14ac:dyDescent="0.35">
      <c r="A164" s="9"/>
      <c r="B164" s="10"/>
      <c r="C164" s="10"/>
      <c r="D164" s="10"/>
      <c r="E164" s="10"/>
      <c r="F164" s="10"/>
      <c r="G164" s="10"/>
      <c r="H164" s="3" t="str">
        <f t="shared" si="5"/>
        <v/>
      </c>
      <c r="I164" s="10"/>
    </row>
    <row r="165" spans="1:9" ht="32" customHeight="1" x14ac:dyDescent="0.35">
      <c r="A165" s="9"/>
      <c r="B165" s="10"/>
      <c r="C165" s="10"/>
      <c r="D165" s="10"/>
      <c r="E165" s="10"/>
      <c r="F165" s="10"/>
      <c r="G165" s="10"/>
      <c r="H165" s="3" t="str">
        <f t="shared" si="5"/>
        <v/>
      </c>
      <c r="I165" s="10"/>
    </row>
    <row r="166" spans="1:9" ht="32" customHeight="1" x14ac:dyDescent="0.35">
      <c r="A166" s="9"/>
      <c r="B166" s="10"/>
      <c r="C166" s="10"/>
      <c r="D166" s="10"/>
      <c r="E166" s="10"/>
      <c r="F166" s="10"/>
      <c r="G166" s="10"/>
      <c r="H166" s="3" t="str">
        <f t="shared" si="5"/>
        <v/>
      </c>
      <c r="I166" s="10"/>
    </row>
    <row r="167" spans="1:9" ht="32" customHeight="1" x14ac:dyDescent="0.35">
      <c r="A167" s="9"/>
      <c r="B167" s="10"/>
      <c r="C167" s="10"/>
      <c r="D167" s="10"/>
      <c r="E167" s="10"/>
      <c r="F167" s="10"/>
      <c r="G167" s="10"/>
      <c r="H167" s="3" t="str">
        <f t="shared" si="5"/>
        <v/>
      </c>
      <c r="I167" s="10"/>
    </row>
    <row r="168" spans="1:9" ht="32" customHeight="1" x14ac:dyDescent="0.35">
      <c r="A168" s="9"/>
      <c r="B168" s="10"/>
      <c r="C168" s="10"/>
      <c r="D168" s="10"/>
      <c r="E168" s="10"/>
      <c r="F168" s="10"/>
      <c r="G168" s="10"/>
      <c r="H168" s="3" t="str">
        <f t="shared" si="5"/>
        <v/>
      </c>
      <c r="I168" s="10"/>
    </row>
    <row r="169" spans="1:9" ht="32" customHeight="1" x14ac:dyDescent="0.35">
      <c r="A169" s="9"/>
      <c r="B169" s="10"/>
      <c r="C169" s="10"/>
      <c r="D169" s="10"/>
      <c r="E169" s="10"/>
      <c r="F169" s="10"/>
      <c r="G169" s="10"/>
      <c r="H169" s="3" t="str">
        <f t="shared" si="5"/>
        <v/>
      </c>
      <c r="I169" s="10"/>
    </row>
    <row r="170" spans="1:9" ht="32" customHeight="1" x14ac:dyDescent="0.35">
      <c r="A170" s="9"/>
      <c r="B170" s="10"/>
      <c r="C170" s="10"/>
      <c r="D170" s="10"/>
      <c r="E170" s="10"/>
      <c r="F170" s="10"/>
      <c r="G170" s="10"/>
      <c r="H170" s="3" t="str">
        <f t="shared" si="5"/>
        <v/>
      </c>
      <c r="I170" s="10"/>
    </row>
    <row r="171" spans="1:9" ht="32" customHeight="1" x14ac:dyDescent="0.35">
      <c r="A171" s="9"/>
      <c r="B171" s="10"/>
      <c r="C171" s="10"/>
      <c r="D171" s="10"/>
      <c r="E171" s="10"/>
      <c r="F171" s="10"/>
      <c r="G171" s="10"/>
      <c r="H171" s="3" t="str">
        <f t="shared" si="5"/>
        <v/>
      </c>
      <c r="I171" s="10"/>
    </row>
    <row r="172" spans="1:9" ht="32" customHeight="1" x14ac:dyDescent="0.35">
      <c r="A172" s="9"/>
      <c r="B172" s="10"/>
      <c r="C172" s="10"/>
      <c r="D172" s="10"/>
      <c r="E172" s="10"/>
      <c r="F172" s="10"/>
      <c r="G172" s="10"/>
      <c r="H172" s="3" t="str">
        <f t="shared" si="5"/>
        <v/>
      </c>
      <c r="I172" s="10"/>
    </row>
    <row r="173" spans="1:9" ht="32" customHeight="1" x14ac:dyDescent="0.35">
      <c r="A173" s="9"/>
      <c r="B173" s="10"/>
      <c r="C173" s="10"/>
      <c r="D173" s="10"/>
      <c r="E173" s="10"/>
      <c r="F173" s="10"/>
      <c r="G173" s="10"/>
      <c r="H173" s="3" t="str">
        <f t="shared" si="5"/>
        <v/>
      </c>
      <c r="I173" s="10"/>
    </row>
    <row r="174" spans="1:9" ht="32" customHeight="1" x14ac:dyDescent="0.35">
      <c r="A174" s="9"/>
      <c r="B174" s="10"/>
      <c r="C174" s="10"/>
      <c r="D174" s="10"/>
      <c r="E174" s="10"/>
      <c r="F174" s="10"/>
      <c r="G174" s="10"/>
      <c r="H174" s="3" t="str">
        <f t="shared" si="5"/>
        <v/>
      </c>
      <c r="I174" s="10"/>
    </row>
    <row r="175" spans="1:9" ht="32" customHeight="1" x14ac:dyDescent="0.35">
      <c r="A175" s="9"/>
      <c r="B175" s="10"/>
      <c r="C175" s="10"/>
      <c r="D175" s="10"/>
      <c r="E175" s="10"/>
      <c r="F175" s="10"/>
      <c r="G175" s="10"/>
      <c r="H175" s="3" t="str">
        <f t="shared" si="5"/>
        <v/>
      </c>
      <c r="I175" s="10"/>
    </row>
    <row r="176" spans="1:9" ht="32" customHeight="1" x14ac:dyDescent="0.35">
      <c r="A176" s="9"/>
      <c r="B176" s="10"/>
      <c r="C176" s="10"/>
      <c r="D176" s="10"/>
      <c r="E176" s="10"/>
      <c r="F176" s="10"/>
      <c r="G176" s="10"/>
      <c r="H176" s="3" t="str">
        <f t="shared" si="5"/>
        <v/>
      </c>
      <c r="I176" s="10"/>
    </row>
    <row r="177" spans="1:9" ht="32" customHeight="1" x14ac:dyDescent="0.35">
      <c r="A177" s="9"/>
      <c r="B177" s="10"/>
      <c r="C177" s="10"/>
      <c r="D177" s="10"/>
      <c r="E177" s="10"/>
      <c r="F177" s="10"/>
      <c r="G177" s="10"/>
      <c r="H177" s="3" t="str">
        <f t="shared" si="5"/>
        <v/>
      </c>
      <c r="I177" s="10"/>
    </row>
    <row r="178" spans="1:9" ht="32" customHeight="1" x14ac:dyDescent="0.35">
      <c r="A178" s="9"/>
      <c r="B178" s="10"/>
      <c r="C178" s="10"/>
      <c r="D178" s="10"/>
      <c r="E178" s="10"/>
      <c r="F178" s="10"/>
      <c r="G178" s="10"/>
      <c r="H178" s="3" t="str">
        <f t="shared" si="5"/>
        <v/>
      </c>
      <c r="I178" s="10"/>
    </row>
    <row r="179" spans="1:9" ht="32" customHeight="1" x14ac:dyDescent="0.35">
      <c r="A179" s="9"/>
      <c r="B179" s="10"/>
      <c r="C179" s="10"/>
      <c r="D179" s="10"/>
      <c r="E179" s="10"/>
      <c r="F179" s="10"/>
      <c r="G179" s="10"/>
      <c r="H179" s="3" t="str">
        <f t="shared" si="5"/>
        <v/>
      </c>
      <c r="I179" s="10"/>
    </row>
    <row r="180" spans="1:9" ht="32" customHeight="1" x14ac:dyDescent="0.35">
      <c r="A180" s="9"/>
      <c r="B180" s="10"/>
      <c r="C180" s="10"/>
      <c r="D180" s="10"/>
      <c r="E180" s="10"/>
      <c r="F180" s="10"/>
      <c r="G180" s="10"/>
      <c r="H180" s="3" t="str">
        <f t="shared" si="5"/>
        <v/>
      </c>
      <c r="I180" s="10"/>
    </row>
    <row r="181" spans="1:9" ht="32" customHeight="1" x14ac:dyDescent="0.35">
      <c r="A181" s="9"/>
      <c r="B181" s="10"/>
      <c r="C181" s="10"/>
      <c r="D181" s="10"/>
      <c r="E181" s="10"/>
      <c r="F181" s="10"/>
      <c r="G181" s="10"/>
      <c r="H181" s="3" t="str">
        <f t="shared" si="5"/>
        <v/>
      </c>
      <c r="I181" s="10"/>
    </row>
    <row r="182" spans="1:9" ht="32" customHeight="1" x14ac:dyDescent="0.35">
      <c r="A182" s="9"/>
      <c r="B182" s="10"/>
      <c r="C182" s="10"/>
      <c r="D182" s="10"/>
      <c r="E182" s="10"/>
      <c r="F182" s="10"/>
      <c r="G182" s="10"/>
      <c r="H182" s="3" t="str">
        <f t="shared" si="5"/>
        <v/>
      </c>
      <c r="I182" s="10"/>
    </row>
    <row r="183" spans="1:9" ht="32" customHeight="1" x14ac:dyDescent="0.35">
      <c r="A183" s="9"/>
      <c r="B183" s="10"/>
      <c r="C183" s="10"/>
      <c r="D183" s="10"/>
      <c r="E183" s="10"/>
      <c r="F183" s="10"/>
      <c r="G183" s="10"/>
      <c r="H183" s="3" t="str">
        <f t="shared" si="5"/>
        <v/>
      </c>
      <c r="I183" s="10"/>
    </row>
    <row r="184" spans="1:9" ht="32" customHeight="1" x14ac:dyDescent="0.35">
      <c r="A184" s="9"/>
      <c r="B184" s="10"/>
      <c r="C184" s="10"/>
      <c r="D184" s="10"/>
      <c r="E184" s="10"/>
      <c r="F184" s="10"/>
      <c r="G184" s="10"/>
      <c r="H184" s="3" t="str">
        <f t="shared" si="5"/>
        <v/>
      </c>
      <c r="I184" s="10"/>
    </row>
    <row r="185" spans="1:9" ht="32" customHeight="1" x14ac:dyDescent="0.35">
      <c r="A185" s="9"/>
      <c r="B185" s="10"/>
      <c r="C185" s="10"/>
      <c r="D185" s="10"/>
      <c r="E185" s="10"/>
      <c r="F185" s="10"/>
      <c r="G185" s="10"/>
      <c r="H185" s="3" t="str">
        <f t="shared" si="5"/>
        <v/>
      </c>
      <c r="I185" s="10"/>
    </row>
    <row r="186" spans="1:9" ht="32" customHeight="1" x14ac:dyDescent="0.35">
      <c r="A186" s="9"/>
      <c r="B186" s="10"/>
      <c r="C186" s="10"/>
      <c r="D186" s="10"/>
      <c r="E186" s="10"/>
      <c r="F186" s="10"/>
      <c r="G186" s="10"/>
      <c r="H186" s="3" t="str">
        <f t="shared" si="5"/>
        <v/>
      </c>
      <c r="I186" s="10"/>
    </row>
    <row r="187" spans="1:9" ht="32" customHeight="1" x14ac:dyDescent="0.35">
      <c r="A187" s="9"/>
      <c r="B187" s="10"/>
      <c r="C187" s="10"/>
      <c r="D187" s="10"/>
      <c r="E187" s="10"/>
      <c r="F187" s="10"/>
      <c r="G187" s="10"/>
      <c r="H187" s="3" t="str">
        <f t="shared" si="5"/>
        <v/>
      </c>
      <c r="I187" s="10"/>
    </row>
    <row r="188" spans="1:9" ht="32" customHeight="1" x14ac:dyDescent="0.35">
      <c r="A188" s="9"/>
      <c r="B188" s="10"/>
      <c r="C188" s="10"/>
      <c r="D188" s="10"/>
      <c r="E188" s="10"/>
      <c r="F188" s="10"/>
      <c r="G188" s="10"/>
      <c r="H188" s="3" t="str">
        <f t="shared" si="5"/>
        <v/>
      </c>
      <c r="I188" s="10"/>
    </row>
    <row r="189" spans="1:9" ht="32" customHeight="1" x14ac:dyDescent="0.35">
      <c r="A189" s="9"/>
      <c r="B189" s="10"/>
      <c r="C189" s="10"/>
      <c r="D189" s="10"/>
      <c r="E189" s="10"/>
      <c r="F189" s="10"/>
      <c r="G189" s="10"/>
      <c r="H189" s="3" t="str">
        <f t="shared" si="5"/>
        <v/>
      </c>
      <c r="I189" s="10"/>
    </row>
    <row r="190" spans="1:9" ht="32" customHeight="1" x14ac:dyDescent="0.35">
      <c r="A190" s="9"/>
      <c r="B190" s="10"/>
      <c r="C190" s="10"/>
      <c r="D190" s="10"/>
      <c r="E190" s="10"/>
      <c r="F190" s="10"/>
      <c r="G190" s="10"/>
      <c r="H190" s="3" t="str">
        <f t="shared" si="5"/>
        <v/>
      </c>
      <c r="I190" s="10"/>
    </row>
    <row r="191" spans="1:9" ht="32" customHeight="1" x14ac:dyDescent="0.35">
      <c r="A191" s="9"/>
      <c r="B191" s="10"/>
      <c r="C191" s="10"/>
      <c r="D191" s="10"/>
      <c r="E191" s="10"/>
      <c r="F191" s="10"/>
      <c r="G191" s="10"/>
      <c r="H191" s="3" t="str">
        <f t="shared" si="5"/>
        <v/>
      </c>
      <c r="I191" s="10"/>
    </row>
    <row r="192" spans="1:9" ht="32" customHeight="1" x14ac:dyDescent="0.35">
      <c r="A192" s="9"/>
      <c r="B192" s="10"/>
      <c r="C192" s="10"/>
      <c r="D192" s="10"/>
      <c r="E192" s="10"/>
      <c r="F192" s="10"/>
      <c r="G192" s="10"/>
      <c r="H192" s="3" t="str">
        <f t="shared" si="5"/>
        <v/>
      </c>
      <c r="I192" s="10"/>
    </row>
    <row r="193" spans="1:9" ht="32" customHeight="1" x14ac:dyDescent="0.35">
      <c r="A193" s="9"/>
      <c r="B193" s="10"/>
      <c r="C193" s="10"/>
      <c r="D193" s="10"/>
      <c r="E193" s="10"/>
      <c r="F193" s="10"/>
      <c r="G193" s="10"/>
      <c r="H193" s="3" t="str">
        <f t="shared" si="5"/>
        <v/>
      </c>
      <c r="I193" s="10"/>
    </row>
    <row r="194" spans="1:9" ht="32" customHeight="1" x14ac:dyDescent="0.35">
      <c r="A194" s="9"/>
      <c r="B194" s="10"/>
      <c r="C194" s="10"/>
      <c r="D194" s="10"/>
      <c r="E194" s="10"/>
      <c r="F194" s="10"/>
      <c r="G194" s="10"/>
      <c r="H194" s="3" t="str">
        <f t="shared" ref="H194:H201" si="6">IF(ISNUMBER(A194),A194+7,"")</f>
        <v/>
      </c>
      <c r="I194" s="10"/>
    </row>
    <row r="195" spans="1:9" ht="32" customHeight="1" x14ac:dyDescent="0.35">
      <c r="A195" s="9"/>
      <c r="B195" s="10"/>
      <c r="C195" s="10"/>
      <c r="D195" s="10"/>
      <c r="E195" s="10"/>
      <c r="F195" s="10"/>
      <c r="G195" s="10"/>
      <c r="H195" s="3" t="str">
        <f t="shared" si="6"/>
        <v/>
      </c>
      <c r="I195" s="10"/>
    </row>
    <row r="196" spans="1:9" ht="32" customHeight="1" x14ac:dyDescent="0.35">
      <c r="A196" s="9"/>
      <c r="B196" s="10"/>
      <c r="C196" s="10"/>
      <c r="D196" s="10"/>
      <c r="E196" s="10"/>
      <c r="F196" s="10"/>
      <c r="G196" s="10"/>
      <c r="H196" s="3" t="str">
        <f t="shared" si="6"/>
        <v/>
      </c>
      <c r="I196" s="10"/>
    </row>
    <row r="197" spans="1:9" ht="32" customHeight="1" x14ac:dyDescent="0.35">
      <c r="A197" s="9"/>
      <c r="B197" s="10"/>
      <c r="C197" s="10"/>
      <c r="D197" s="10"/>
      <c r="E197" s="10"/>
      <c r="F197" s="10"/>
      <c r="G197" s="10"/>
      <c r="H197" s="3" t="str">
        <f t="shared" si="6"/>
        <v/>
      </c>
      <c r="I197" s="10"/>
    </row>
    <row r="198" spans="1:9" ht="32" customHeight="1" x14ac:dyDescent="0.35">
      <c r="A198" s="9"/>
      <c r="B198" s="10"/>
      <c r="C198" s="10"/>
      <c r="D198" s="10"/>
      <c r="E198" s="10"/>
      <c r="F198" s="10"/>
      <c r="G198" s="10"/>
      <c r="H198" s="3" t="str">
        <f t="shared" si="6"/>
        <v/>
      </c>
      <c r="I198" s="10"/>
    </row>
    <row r="199" spans="1:9" ht="32" customHeight="1" x14ac:dyDescent="0.35">
      <c r="A199" s="9"/>
      <c r="B199" s="10"/>
      <c r="C199" s="10"/>
      <c r="D199" s="10"/>
      <c r="E199" s="10"/>
      <c r="F199" s="10"/>
      <c r="G199" s="10"/>
      <c r="H199" s="3" t="str">
        <f t="shared" si="6"/>
        <v/>
      </c>
      <c r="I199" s="10"/>
    </row>
    <row r="200" spans="1:9" ht="32" customHeight="1" x14ac:dyDescent="0.35">
      <c r="A200" s="9"/>
      <c r="B200" s="10"/>
      <c r="C200" s="10"/>
      <c r="D200" s="10"/>
      <c r="E200" s="10"/>
      <c r="F200" s="10"/>
      <c r="G200" s="10"/>
      <c r="H200" s="3" t="str">
        <f t="shared" si="6"/>
        <v/>
      </c>
      <c r="I200" s="10"/>
    </row>
    <row r="201" spans="1:9" ht="32" customHeight="1" x14ac:dyDescent="0.35">
      <c r="A201" s="25"/>
      <c r="B201" s="26"/>
      <c r="C201" s="26"/>
      <c r="D201" s="26"/>
      <c r="E201" s="26"/>
      <c r="F201" s="26"/>
      <c r="G201" s="26"/>
      <c r="H201" s="3" t="str">
        <f t="shared" si="6"/>
        <v/>
      </c>
      <c r="I201" s="26"/>
    </row>
  </sheetData>
  <sheetProtection sheet="1" objects="1" scenarios="1" formatColumns="0" formatRows="0" autoFilter="0"/>
  <autoFilter ref="A1:I201" xr:uid="{9B7328EC-7F5C-43A1-9C46-6E39F29396BD}"/>
  <mergeCells count="1">
    <mergeCell ref="K1:K2"/>
  </mergeCells>
  <conditionalFormatting sqref="A2:G201 I2:I201">
    <cfRule type="expression" dxfId="1" priority="1" stopIfTrue="1">
      <formula>AND(MOD(ROW(),2)=0,COLUMN()=8)</formula>
    </cfRule>
  </conditionalFormatting>
  <conditionalFormatting sqref="H2:H201">
    <cfRule type="expression" dxfId="0" priority="2" stopIfTrue="1">
      <formula>AND(ISNUMBER(H2),H2&lt;TODAY())</formula>
    </cfRule>
  </conditionalFormatting>
  <dataValidations count="2">
    <dataValidation type="list" allowBlank="1" showInputMessage="1" showErrorMessage="1" sqref="B2:B201" xr:uid="{56B1FC1E-CB7E-4BB5-A829-CA8A78444A24}">
      <formula1>"LeetCode,NeetCode,Deep-ML,DataLemur,Project"</formula1>
    </dataValidation>
    <dataValidation type="list" allowBlank="1" showInputMessage="1" showErrorMessage="1" sqref="F2:F201" xr:uid="{5A792DBA-1BC4-468E-92FE-C8F6D0DA24B9}">
      <formula1>"Unaided,With hint,Review needed,Explained,Project evidence"</formula1>
    </dataValidation>
  </dataValidations>
  <hyperlinks>
    <hyperlink ref="K1:K2" location="'Overview'!A1" tooltip="Return to the executive overview." display="Overview" xr:uid="{7ABADD43-CE12-40BA-B98E-246977FDA065}"/>
  </hyperlinks>
  <pageMargins left="0.3" right="0.3" top="0.4" bottom="0.4" header="0.3" footer="0.3"/>
  <pageSetup paperSize="9" scale="50" fitToHeight="0" orientation="landscape" r:id="rId1"/>
  <headerFooter>
    <oddFooter>&amp;LFDE Study Planner | &amp;A&amp;R&amp;P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22</vt:i4>
      </vt:variant>
    </vt:vector>
  </HeadingPairs>
  <TitlesOfParts>
    <vt:vector size="31" baseType="lpstr">
      <vt:lpstr>Overview</vt:lpstr>
      <vt:lpstr>Read Me</vt:lpstr>
      <vt:lpstr>Settings</vt:lpstr>
      <vt:lpstr>Dashboard</vt:lpstr>
      <vt:lpstr>Schedule</vt:lpstr>
      <vt:lpstr>Weekly Timeline</vt:lpstr>
      <vt:lpstr>Topic Map</vt:lpstr>
      <vt:lpstr>Holidays</vt:lpstr>
      <vt:lpstr>Practice Log</vt:lpstr>
      <vt:lpstr>Planner_CoreShare</vt:lpstr>
      <vt:lpstr>Planner_DailyHours</vt:lpstr>
      <vt:lpstr>Planner_DeliveryShare</vt:lpstr>
      <vt:lpstr>Planner_PracticeShare</vt:lpstr>
      <vt:lpstr>Planner_StartDate</vt:lpstr>
      <vt:lpstr>Dashboard!Print_Area</vt:lpstr>
      <vt:lpstr>Holidays!Print_Area</vt:lpstr>
      <vt:lpstr>Overview!Print_Area</vt:lpstr>
      <vt:lpstr>'Practice Log'!Print_Area</vt:lpstr>
      <vt:lpstr>'Read Me'!Print_Area</vt:lpstr>
      <vt:lpstr>Schedule!Print_Area</vt:lpstr>
      <vt:lpstr>Settings!Print_Area</vt:lpstr>
      <vt:lpstr>'Topic Map'!Print_Area</vt:lpstr>
      <vt:lpstr>'Weekly Timeline'!Print_Area</vt:lpstr>
      <vt:lpstr>Dashboard!Print_Titles</vt:lpstr>
      <vt:lpstr>Holidays!Print_Titles</vt:lpstr>
      <vt:lpstr>'Practice Log'!Print_Titles</vt:lpstr>
      <vt:lpstr>'Read Me'!Print_Titles</vt:lpstr>
      <vt:lpstr>Schedule!Print_Titles</vt:lpstr>
      <vt:lpstr>Settings!Print_Titles</vt:lpstr>
      <vt:lpstr>'Topic Map'!Print_Titles</vt:lpstr>
      <vt:lpstr>'Weekly Timeline'!Print_Titles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Tripathi</dc:creator>
  <cp:lastModifiedBy>Rajan Tripathi</cp:lastModifiedBy>
  <dcterms:created xsi:type="dcterms:W3CDTF">2026-10-23T10:40:12Z</dcterms:created>
  <dcterms:modified xsi:type="dcterms:W3CDTF">2026-10-23T13:56:07Z</dcterms:modified>
</cp:coreProperties>
</file>